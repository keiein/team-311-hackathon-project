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rvice Types" sheetId="1" state="visible" r:id="rId3"/>
    <sheet name="2026 Remaining Services" sheetId="2" state="visible" r:id="rId4"/>
    <sheet name="Multi-Agency Flags" sheetId="3" state="visible" r:id="rId5"/>
  </sheets>
  <definedNames>
    <definedName function="false" hidden="true" localSheetId="1" name="_xlnm._FilterDatabase" vbProcedure="false">'2026 Remaining Services'!$A$1:$K$457</definedName>
    <definedName function="false" hidden="true" localSheetId="2" name="_xlnm._FilterDatabase" vbProcedure="false">'Multi-Agency Flags'!$A$1:$K$783</definedName>
    <definedName function="false" hidden="true" localSheetId="0" name="_xlnm._FilterDatabase" vbProcedure="false">'Service Types'!$A$1:$P$741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<sst xmlns="http://schemas.openxmlformats.org/spreadsheetml/2006/main" count="5923" uniqueCount="1553">
  <si>
    <t xml:space="preserve">service_name</t>
  </si>
  <si>
    <t xml:space="preserve">agency_responsible</t>
  </si>
  <si>
    <t xml:space="preserve">agency_count</t>
  </si>
  <si>
    <t xml:space="preserve">total_tickets</t>
  </si>
  <si>
    <t xml:space="preserve">tickets_2026</t>
  </si>
  <si>
    <t xml:space="preserve">open_now</t>
  </si>
  <si>
    <t xml:space="preserve">open_now_gt60d</t>
  </si>
  <si>
    <t xml:space="preserve">closed_tickets_used</t>
  </si>
  <si>
    <t xml:space="preserve">median_days_to_close</t>
  </si>
  <si>
    <t xml:space="preserve">mean_days_to_close</t>
  </si>
  <si>
    <t xml:space="preserve">p90_days_to_close</t>
  </si>
  <si>
    <t xml:space="preserve">p90_own</t>
  </si>
  <si>
    <t xml:space="preserve">p90_flag</t>
  </si>
  <si>
    <t xml:space="preserve">pct_of_agency_volume</t>
  </si>
  <si>
    <t xml:space="preserve">cumulative_pct</t>
  </si>
  <si>
    <t xml:space="preserve">in_core_set</t>
  </si>
  <si>
    <t xml:space="preserve">Parameters (edit yellow cells)</t>
  </si>
  <si>
    <t xml:space="preserve">CED - Filming and Drone Activities (Behind The Scenes)</t>
  </si>
  <si>
    <t xml:space="preserve">AO - Calgary Economic Development</t>
  </si>
  <si>
    <t xml:space="preserve">Core-set cutoff: cumulative % of agency volume</t>
  </si>
  <si>
    <t xml:space="preserve">Calgary Housing - General Inquiry</t>
  </si>
  <si>
    <t xml:space="preserve">AO - Calgary Housing</t>
  </si>
  <si>
    <t xml:space="preserve">p90 flag: min absolute gap (days)</t>
  </si>
  <si>
    <t xml:space="preserve">CHO - Affordable Housing</t>
  </si>
  <si>
    <t xml:space="preserve">CEO - Chief Housing Office</t>
  </si>
  <si>
    <t xml:space="preserve">p90 flag: min relative gap (vs own p90)</t>
  </si>
  <si>
    <t xml:space="preserve">AT - Property Tax Account Inquiry</t>
  </si>
  <si>
    <t xml:space="preserve">CPFS - Assessment and Tax</t>
  </si>
  <si>
    <t xml:space="preserve">Finance - Property Tax Account Inquiry</t>
  </si>
  <si>
    <t xml:space="preserve">Notes</t>
  </si>
  <si>
    <t xml:space="preserve">Finance - ONLINE TIPP Agreement Request</t>
  </si>
  <si>
    <t xml:space="preserve">Source: 311_Service_Requests_20261002.zip (City of Calgary Open Data), 1,936,033 rows, requested 2023-01-02 to 2026-10-01.</t>
  </si>
  <si>
    <t xml:space="preserve">Finance - TIPP Agreement Request</t>
  </si>
  <si>
    <t xml:space="preserve">As-of date for open-ticket age: 2026-10-02 (export date in file name).</t>
  </si>
  <si>
    <t xml:space="preserve">AT - Assessed Value</t>
  </si>
  <si>
    <t xml:space="preserve">Dates: requested_date = start, closed_date = end. All timestamps are date-only (12:00 AM), so durations are whole days; same-day close = 0.</t>
  </si>
  <si>
    <t xml:space="preserve">Finance - ONLINE Property Tax Document Request</t>
  </si>
  <si>
    <t xml:space="preserve">days_to_close basis: status = 'Closed' only, 0 to 1,095 days (3 x 365). 'Duplicate (Closed)' excluded.</t>
  </si>
  <si>
    <t xml:space="preserve">AT - Property Tax Bill and Statement Request</t>
  </si>
  <si>
    <t xml:space="preserve">Excluded from median/mean/p90_own: 64 Closed tickets over 3 years; 0 negative; 0 Closed with no close date.</t>
  </si>
  <si>
    <t xml:space="preserve">AT - ONLINE Property Tax Document Request</t>
  </si>
  <si>
    <t xml:space="preserve">open_now = status 'Open' (Duplicate (Open) not counted). open_now_gt60d = Open and requested more than 60 days before as-of date.</t>
  </si>
  <si>
    <t xml:space="preserve">AT - TIPP Agreement Request</t>
  </si>
  <si>
    <t xml:space="preserve">agency_responsible = most common agency for the service; ties go to the most recently used. Agency labels kept as-is (legacy labels not remapped).</t>
  </si>
  <si>
    <t xml:space="preserve">AT - ONLINE TIPP Information Request</t>
  </si>
  <si>
    <t xml:space="preserve">pct_of_agency_volume / cumulative_pct use total_tickets (all time), grouped by agency_responsible as shown, sorted by volume.</t>
  </si>
  <si>
    <t xml:space="preserve">AT - Property Tax Invoice and Charge Inquiry</t>
  </si>
  <si>
    <t xml:space="preserve">in_core_set = TRUE when the cumulative % BEFORE this row is below the cutoff (the type that crosses the cutoff is included).</t>
  </si>
  <si>
    <t xml:space="preserve">AT - Assessment General Inquiry</t>
  </si>
  <si>
    <t xml:space="preserve">p90_days_to_close = from analysis/service_catalog.csv (Closed tickets, no 3-year exclusion). p90_own = this file's basis. Linear interpolation.</t>
  </si>
  <si>
    <t xml:space="preserve">AT - ONLINE TIPP Agreement Request</t>
  </si>
  <si>
    <t xml:space="preserve">Columns A-L are values computed in Python from the raw zip; M-P are formulas.</t>
  </si>
  <si>
    <t xml:space="preserve">AT - Tax Account Maintenance</t>
  </si>
  <si>
    <t xml:space="preserve">AT - Property Tax Payment Adjustments and Tax Programs</t>
  </si>
  <si>
    <t xml:space="preserve">Finance - Tax Account Maintenance</t>
  </si>
  <si>
    <t xml:space="preserve">AT - BIA Tax Account Inquiry</t>
  </si>
  <si>
    <t xml:space="preserve">AT - (PTAP) Property Tax Assistance Program Inquiry</t>
  </si>
  <si>
    <t xml:space="preserve">AT - Assessment General Inquiry - After Hours and Overflow</t>
  </si>
  <si>
    <t xml:space="preserve">AT - Property Details</t>
  </si>
  <si>
    <t xml:space="preserve">Finance - BIA and Business Tax Inquiry</t>
  </si>
  <si>
    <t xml:space="preserve">AT - BTIPP Agreement Request</t>
  </si>
  <si>
    <t xml:space="preserve">ASMT - Assessment General Concern - After Hours and Overflow</t>
  </si>
  <si>
    <t xml:space="preserve">AT - School Support Notice Document Request</t>
  </si>
  <si>
    <t xml:space="preserve">AT - Assessment Property Details</t>
  </si>
  <si>
    <t xml:space="preserve">Finance - BTIPP Agreement Request</t>
  </si>
  <si>
    <t xml:space="preserve">Finance - School Support Notice Document Request</t>
  </si>
  <si>
    <t xml:space="preserve">Finance - Credit and Collection Inquiries</t>
  </si>
  <si>
    <t xml:space="preserve">CPFS - Finance</t>
  </si>
  <si>
    <t xml:space="preserve">Finance - ONLINE eBill Inquiry</t>
  </si>
  <si>
    <t xml:space="preserve">Finance - Corporate Billing and eBill Inquiry</t>
  </si>
  <si>
    <t xml:space="preserve">Finance - Accounts Payable</t>
  </si>
  <si>
    <t xml:space="preserve">Regulatory Affairs - General Inquiry</t>
  </si>
  <si>
    <t xml:space="preserve">Supply - General Inquiries</t>
  </si>
  <si>
    <t xml:space="preserve">CPFS - Supply Management</t>
  </si>
  <si>
    <t xml:space="preserve">AS - Animal Licence - Concerns on Existing</t>
  </si>
  <si>
    <t xml:space="preserve">CS - Calgary Community Standards</t>
  </si>
  <si>
    <t xml:space="preserve">AS - No Cost Spay or Neuter Program Inquiries</t>
  </si>
  <si>
    <t xml:space="preserve">AS - Livestock - Bird(s) in the City</t>
  </si>
  <si>
    <t xml:space="preserve">Compliance - BL - Employee Complaint  Compliment</t>
  </si>
  <si>
    <t xml:space="preserve">CEMA - Ready Calgary Inquiries</t>
  </si>
  <si>
    <t xml:space="preserve">CS - Calgary Emergency Management Agency</t>
  </si>
  <si>
    <t xml:space="preserve">CFD - Business Licence Inspection - FHB</t>
  </si>
  <si>
    <t xml:space="preserve">CS - Calgary Fire</t>
  </si>
  <si>
    <t xml:space="preserve">CFD - Fire Code and General Inquiries - FHB</t>
  </si>
  <si>
    <t xml:space="preserve">CFD - Provincial Licence Inspection - FHB</t>
  </si>
  <si>
    <t xml:space="preserve">CFD - Fire Station Tour</t>
  </si>
  <si>
    <t xml:space="preserve">CFD - Life Safety Systems Inspection - FHB</t>
  </si>
  <si>
    <t xml:space="preserve">CFD - Fire Code Hazard Complaint - FHB</t>
  </si>
  <si>
    <t xml:space="preserve">CFD - Incident Report Request</t>
  </si>
  <si>
    <t xml:space="preserve">CFD - Special Events Inspection - FHB</t>
  </si>
  <si>
    <t xml:space="preserve">CFD - Lockbox Inquiry - FHB</t>
  </si>
  <si>
    <t xml:space="preserve">CFD - Land Search - Property Search</t>
  </si>
  <si>
    <t xml:space="preserve">CFD - Fire Safety Plan Review - FHB</t>
  </si>
  <si>
    <t xml:space="preserve">CFD - Fire Truck Booking</t>
  </si>
  <si>
    <t xml:space="preserve">CFD - Mobile Food Concession Inspection - FHB</t>
  </si>
  <si>
    <t xml:space="preserve">CFD - Fireworks Pyro Open Flame Blasting Inspection - FHB</t>
  </si>
  <si>
    <t xml:space="preserve">CFD - Occupant Load Inspection - FHB</t>
  </si>
  <si>
    <t xml:space="preserve">CFD - Lockbox Programming or Billing Concern</t>
  </si>
  <si>
    <t xml:space="preserve">CFD - Smoke Alarm Inquiries &amp; Asst. for Seniors/Disabled</t>
  </si>
  <si>
    <t xml:space="preserve">CFD - Fire Drill - Warden Lecture - FHB</t>
  </si>
  <si>
    <t xml:space="preserve">CFD - Safe Housing - FHB</t>
  </si>
  <si>
    <t xml:space="preserve">CFD - Fire Safety Presentation</t>
  </si>
  <si>
    <t xml:space="preserve">CFD - Request to attend a Fire Drill - FHB</t>
  </si>
  <si>
    <t xml:space="preserve">CFD - Community Safety Inquiries</t>
  </si>
  <si>
    <t xml:space="preserve">CFD - Smoke Alarm Inquiries - Asst. for Seniors/Disabled</t>
  </si>
  <si>
    <t xml:space="preserve">CFD - SCHOOL Fire Drill with Local Fire Station - ONLINE</t>
  </si>
  <si>
    <t xml:space="preserve">CFD - Tank Inspection - FHB</t>
  </si>
  <si>
    <t xml:space="preserve">CFD - Building in Progress Inspection - FHB</t>
  </si>
  <si>
    <t xml:space="preserve">CFD - Invoice Inquiry</t>
  </si>
  <si>
    <t xml:space="preserve">CFD - Missed Annual Inspection - FHB</t>
  </si>
  <si>
    <t xml:space="preserve">CFD - Compliments / Thank You / Recognition</t>
  </si>
  <si>
    <t xml:space="preserve">CFD - Technical Services Review - FHB</t>
  </si>
  <si>
    <t xml:space="preserve">CFD - Hazmat Inquiries</t>
  </si>
  <si>
    <t xml:space="preserve">CFD - Public Affairs Inquiries</t>
  </si>
  <si>
    <t xml:space="preserve">CFD - 100th Birthday Surprise</t>
  </si>
  <si>
    <t xml:space="preserve">CFD - Provincial Accreditation or Licence Inspection - FHB</t>
  </si>
  <si>
    <t xml:space="preserve">CFD - Pre-Purchase Insurance Inspection- FHB</t>
  </si>
  <si>
    <t xml:space="preserve">CFD - Occupancy Inspection - FHB</t>
  </si>
  <si>
    <t xml:space="preserve">CN - Subsidized Programs - Fair Entry</t>
  </si>
  <si>
    <t xml:space="preserve">CS - Calgary Neighbourhoods</t>
  </si>
  <si>
    <t xml:space="preserve">CN - Registered Social Worker Letter</t>
  </si>
  <si>
    <t xml:space="preserve">CN - Senior Services Home Maintenance Inquiry</t>
  </si>
  <si>
    <t xml:space="preserve">CN - Snow Angels Campaign</t>
  </si>
  <si>
    <t xml:space="preserve">CN - Volunteer Request - Summer</t>
  </si>
  <si>
    <t xml:space="preserve">CN - Property Tax Assistance Program (PTAP)</t>
  </si>
  <si>
    <t xml:space="preserve">CN - Employee Complaint - Compliment</t>
  </si>
  <si>
    <t xml:space="preserve">CN - Calgary After School Program Inquiry</t>
  </si>
  <si>
    <t xml:space="preserve">CN - Neighbourhood Services Programs</t>
  </si>
  <si>
    <t xml:space="preserve">Recreation - Athletic Park Application</t>
  </si>
  <si>
    <t xml:space="preserve">CS - Calgary Recreation</t>
  </si>
  <si>
    <t xml:space="preserve">REC - Pool - Canyon Meadows</t>
  </si>
  <si>
    <t xml:space="preserve">REC - Arena Inquiry</t>
  </si>
  <si>
    <t xml:space="preserve">Recreation - Athletic Park Special Event and Tournament Appl</t>
  </si>
  <si>
    <t xml:space="preserve">Recreation - Playfield (D &amp; E) Community Fields Application</t>
  </si>
  <si>
    <t xml:space="preserve">Recreation - Field Tournament Application</t>
  </si>
  <si>
    <t xml:space="preserve">REC - Southland Leisure Centre Inquiry</t>
  </si>
  <si>
    <t xml:space="preserve">REC - Pool - Administration Inquiry</t>
  </si>
  <si>
    <t xml:space="preserve">REC - Pool - Sir Winston Churchill</t>
  </si>
  <si>
    <t xml:space="preserve">REC - Pool - Thornhill</t>
  </si>
  <si>
    <t xml:space="preserve">REC - Pool - Renfrew</t>
  </si>
  <si>
    <t xml:space="preserve">REC - Pool - Killarney</t>
  </si>
  <si>
    <t xml:space="preserve">REC - Athletic Park Inquiry</t>
  </si>
  <si>
    <t xml:space="preserve">REC - Pool - Acadia</t>
  </si>
  <si>
    <t xml:space="preserve">REC - Pool - Glenmore</t>
  </si>
  <si>
    <t xml:space="preserve">REC - Program Registration Inquiry</t>
  </si>
  <si>
    <t xml:space="preserve">REC - Pool - Bob Bahan</t>
  </si>
  <si>
    <t xml:space="preserve">REC - Pool - Foothills</t>
  </si>
  <si>
    <t xml:space="preserve">Recreation - Volunteer Request</t>
  </si>
  <si>
    <t xml:space="preserve">REC - Booking Inquiry</t>
  </si>
  <si>
    <t xml:space="preserve">REC - Village Square Leisure Centre Inquiry</t>
  </si>
  <si>
    <t xml:space="preserve">REC - Pool - Shouldice</t>
  </si>
  <si>
    <t xml:space="preserve">REC - Pool - Inglewood</t>
  </si>
  <si>
    <t xml:space="preserve">REC - Calgary Soccer Centre Inquiry</t>
  </si>
  <si>
    <t xml:space="preserve">REC - Golf Course Inquiry</t>
  </si>
  <si>
    <t xml:space="preserve">Recreation - Calgary After School Program Inquiries</t>
  </si>
  <si>
    <t xml:space="preserve">Comm Strategies - General Concerns</t>
  </si>
  <si>
    <t xml:space="preserve">CS - Community Strategies</t>
  </si>
  <si>
    <t xml:space="preserve">CN - General Concerns</t>
  </si>
  <si>
    <t xml:space="preserve">CS - General Concerns</t>
  </si>
  <si>
    <t xml:space="preserve">Comm Strategies - Disability/Accessibility - Meeting &amp; Event</t>
  </si>
  <si>
    <t xml:space="preserve">CS - Disability/Accessibility - Meeting and Event Support</t>
  </si>
  <si>
    <t xml:space="preserve">CN - Disability/Accessibility - Meeting and Event Support</t>
  </si>
  <si>
    <t xml:space="preserve">CS - Employee Complaint - Compliment</t>
  </si>
  <si>
    <t xml:space="preserve">Comm Strategies - Disability/Accessibility - Meeting &amp; Eve</t>
  </si>
  <si>
    <t xml:space="preserve">Comm Strategies - Employee Complaint - Compliment</t>
  </si>
  <si>
    <t xml:space="preserve">Bylaw - Snow and Ice on Sidewalk</t>
  </si>
  <si>
    <t xml:space="preserve">CS - Emergency Management and Community Safety</t>
  </si>
  <si>
    <t xml:space="preserve">Corporate - Graffiti Concerns</t>
  </si>
  <si>
    <t xml:space="preserve">Bylaw - Long Grass - Weeds Infraction</t>
  </si>
  <si>
    <t xml:space="preserve">Bylaw - Material on Public Property</t>
  </si>
  <si>
    <t xml:space="preserve">Corporate - Encampment Concerns</t>
  </si>
  <si>
    <t xml:space="preserve">Bylaw - Noise Concerns</t>
  </si>
  <si>
    <t xml:space="preserve">Bylaw - Disturbance and Behavioural Concerns</t>
  </si>
  <si>
    <t xml:space="preserve">AS - Pick Up Stray</t>
  </si>
  <si>
    <t xml:space="preserve">Bylaw - Tree - Shrub Infraction</t>
  </si>
  <si>
    <t xml:space="preserve">AS - Animal at Large</t>
  </si>
  <si>
    <t xml:space="preserve">Bylaw - Waste and Recycling Infractions</t>
  </si>
  <si>
    <t xml:space="preserve">Bylaw - Water Misuse / Wasting Concern</t>
  </si>
  <si>
    <t xml:space="preserve">AS - Animal Noise</t>
  </si>
  <si>
    <t xml:space="preserve">Bylaw - Vehicle Concerns</t>
  </si>
  <si>
    <t xml:space="preserve">Bylaw - Property Maintenance Concerns</t>
  </si>
  <si>
    <t xml:space="preserve">Community Safety - Information Request</t>
  </si>
  <si>
    <t xml:space="preserve">ACPL - Animal Licence - Inquiries</t>
  </si>
  <si>
    <t xml:space="preserve">ACPL - Lost and Found Animal</t>
  </si>
  <si>
    <t xml:space="preserve">Business Safety - Business Licence Concern - RMS</t>
  </si>
  <si>
    <t xml:space="preserve">Bylaw - Temporary Signs Infraction on City Property</t>
  </si>
  <si>
    <t xml:space="preserve">Bylaw - Permit - Noise Exemption</t>
  </si>
  <si>
    <t xml:space="preserve">Compliance - Business Licence Concern</t>
  </si>
  <si>
    <t xml:space="preserve">Business Safety - Business Licence Concern</t>
  </si>
  <si>
    <t xml:space="preserve">Evacuated Residents Registration Form</t>
  </si>
  <si>
    <t xml:space="preserve">AS - Animal Bite</t>
  </si>
  <si>
    <t xml:space="preserve">AS - Animal Chase - Threat</t>
  </si>
  <si>
    <t xml:space="preserve">AS - Dog Defecation</t>
  </si>
  <si>
    <t xml:space="preserve">AS - Animal Damaging Pet or Property</t>
  </si>
  <si>
    <t xml:space="preserve">VFH - Taxi/Limousine/TNC (Ride Sharing) Concern - RMS</t>
  </si>
  <si>
    <t xml:space="preserve">Compliance - Taxi/Limousine/TNC (Ride Sharing) Concern</t>
  </si>
  <si>
    <t xml:space="preserve">VFH - Taxi/Limousine/TNC (Ride Sharing) Concern</t>
  </si>
  <si>
    <t xml:space="preserve">Animal / Bylaw - Information Request</t>
  </si>
  <si>
    <t xml:space="preserve">Bylaw - Spills Concerns</t>
  </si>
  <si>
    <t xml:space="preserve">AS - Lost and Found Animal</t>
  </si>
  <si>
    <t xml:space="preserve">Bylaw - Vandalism and Property Damage Concerns</t>
  </si>
  <si>
    <t xml:space="preserve">ACPL - No Cost Spay or Neuter Program Inquiries</t>
  </si>
  <si>
    <t xml:space="preserve">AS - Urban Livestock Licenses and Permits</t>
  </si>
  <si>
    <t xml:space="preserve">AS - Animal Public Relations</t>
  </si>
  <si>
    <t xml:space="preserve">Bylaw - Invoice Appeal</t>
  </si>
  <si>
    <t xml:space="preserve">AS - Animal Licence - Inquiries</t>
  </si>
  <si>
    <t xml:space="preserve">Bylaw - Water Services Request</t>
  </si>
  <si>
    <t xml:space="preserve">Community Safety - Employee Complaint - Compliment</t>
  </si>
  <si>
    <t xml:space="preserve">AS - Livestock and Bird(s) in the City</t>
  </si>
  <si>
    <t xml:space="preserve">Bylaw - Advocacy Sign Concerns</t>
  </si>
  <si>
    <t xml:space="preserve">ZZZ Business Safety - Business Licence Concern</t>
  </si>
  <si>
    <t xml:space="preserve">AS - Human Injury</t>
  </si>
  <si>
    <t xml:space="preserve">AS - Animal Injured</t>
  </si>
  <si>
    <t xml:space="preserve">AS - Animal Tethered -Tied</t>
  </si>
  <si>
    <t xml:space="preserve">ZZZ VFH - Taxi/Limousine/TNC (Ride Sharing) Concern</t>
  </si>
  <si>
    <t xml:space="preserve">AS - Rat Sighting</t>
  </si>
  <si>
    <t xml:space="preserve">AS - Animal Park - Pathway Concerns</t>
  </si>
  <si>
    <t xml:space="preserve">ACPL - Bite Prevention Program Application</t>
  </si>
  <si>
    <t xml:space="preserve">AS - Animal Services Assistance Required</t>
  </si>
  <si>
    <t xml:space="preserve">AS - No Control Dog in Off Leash Area</t>
  </si>
  <si>
    <t xml:space="preserve">AS - Unlicensed Animal</t>
  </si>
  <si>
    <t xml:space="preserve">Community Safety - Publications Request</t>
  </si>
  <si>
    <t xml:space="preserve">CEMA - Non Emergency Request</t>
  </si>
  <si>
    <t xml:space="preserve">Bylaw - Public Relations</t>
  </si>
  <si>
    <t xml:space="preserve">Animal / Bylaw - Employee Complaint - Compliment</t>
  </si>
  <si>
    <t xml:space="preserve">Bylaw - Cannabis Concerns</t>
  </si>
  <si>
    <t xml:space="preserve">AS - Excess Pet Concern</t>
  </si>
  <si>
    <t xml:space="preserve">AS - Animal Vehicle Offences</t>
  </si>
  <si>
    <t xml:space="preserve">AS - Honeybee Swarm or Beekeeping Inquiry</t>
  </si>
  <si>
    <t xml:space="preserve">ACPL - Magpie Trap Information Request</t>
  </si>
  <si>
    <t xml:space="preserve">VFH - Taxi/Limousine/TNC (Ride Sharing) Compliment - RMS</t>
  </si>
  <si>
    <t xml:space="preserve">AS - Animal Interference</t>
  </si>
  <si>
    <t xml:space="preserve">Animal / Bylaw - Publications Request</t>
  </si>
  <si>
    <t xml:space="preserve">AS - Professional Dogwalker Permit</t>
  </si>
  <si>
    <t xml:space="preserve">AS - Excess Pet Permit</t>
  </si>
  <si>
    <t xml:space="preserve">AS - Magpie Trap Information Request</t>
  </si>
  <si>
    <t xml:space="preserve">AS - Bee Concern or Inquiry</t>
  </si>
  <si>
    <t xml:space="preserve">Compliance - Taxi or Limousine Compliment</t>
  </si>
  <si>
    <t xml:space="preserve">Bylaw - Prohibited Business</t>
  </si>
  <si>
    <t xml:space="preserve">VFH - Taxi or Limousine Compliment - RMS</t>
  </si>
  <si>
    <t xml:space="preserve">ACPL - Wise Whiskers  Think Like a Scientist Class Kit</t>
  </si>
  <si>
    <t xml:space="preserve">VFH - Taxi or Limousine Compliment</t>
  </si>
  <si>
    <t xml:space="preserve">ZZZ VFH - Taxi or Limousine Compliment</t>
  </si>
  <si>
    <t xml:space="preserve">Business Safety - Employee Complaint -  Compliment</t>
  </si>
  <si>
    <t xml:space="preserve">Compliance - LTS - Employee Complaint - Compliment</t>
  </si>
  <si>
    <t xml:space="preserve">Bylaw - Beyond the Badge Program Request</t>
  </si>
  <si>
    <t xml:space="preserve">Community Clean Up Event - Application</t>
  </si>
  <si>
    <t xml:space="preserve">VFH - Employee Complaint - Compliment</t>
  </si>
  <si>
    <t xml:space="preserve">Partnerships - Community Association Inquiries</t>
  </si>
  <si>
    <t xml:space="preserve">CS - Partnerships</t>
  </si>
  <si>
    <t xml:space="preserve">BIA Requests</t>
  </si>
  <si>
    <t xml:space="preserve">Partnerships - Festival, Events and Cultural Development</t>
  </si>
  <si>
    <t xml:space="preserve">Partnerships - Arts and Culture</t>
  </si>
  <si>
    <t xml:space="preserve">Partnerships - Sport and Facility Development</t>
  </si>
  <si>
    <t xml:space="preserve">Partnerships - Public Art</t>
  </si>
  <si>
    <t xml:space="preserve">Partnerships - Housing Solutions</t>
  </si>
  <si>
    <t xml:space="preserve">Partnerships - Employee Complaint - Compliment</t>
  </si>
  <si>
    <t xml:space="preserve">RSP - Subsidized Programs - Fair Entry</t>
  </si>
  <si>
    <t xml:space="preserve">CS - Recreation and Social Programs</t>
  </si>
  <si>
    <t xml:space="preserve">Recreation - School Facility Booking Application</t>
  </si>
  <si>
    <t xml:space="preserve">Recreation - Arena Booking Application</t>
  </si>
  <si>
    <t xml:space="preserve">Recreation - Athletic Park Booking Application</t>
  </si>
  <si>
    <t xml:space="preserve">RSP - Registered Social Worker Letter</t>
  </si>
  <si>
    <t xml:space="preserve">Recreation - Playfield Booking Application</t>
  </si>
  <si>
    <t xml:space="preserve">Active Living Program Application</t>
  </si>
  <si>
    <t xml:space="preserve">Recreation - Pool Booking Application</t>
  </si>
  <si>
    <t xml:space="preserve">RSP - Senior Services Home Maintenance Inquiry</t>
  </si>
  <si>
    <t xml:space="preserve">Recreation - Boat Stall Application</t>
  </si>
  <si>
    <t xml:space="preserve">Recreation - Tennis / Pickleball Court Application</t>
  </si>
  <si>
    <t xml:space="preserve">RSP - Home Services for Seniors Inquiry</t>
  </si>
  <si>
    <t xml:space="preserve">RSP - Arena Inquiry</t>
  </si>
  <si>
    <t xml:space="preserve">Recreation - Arena Meeting Room Application</t>
  </si>
  <si>
    <t xml:space="preserve">RSP - Volunteer Request</t>
  </si>
  <si>
    <t xml:space="preserve">RSP - Athletic Park Inquiry</t>
  </si>
  <si>
    <t xml:space="preserve">Recreation - LC - Gym/Room/Courts Booking Application</t>
  </si>
  <si>
    <t xml:space="preserve">RSP - Property Tax Assistance Program (PTAP)</t>
  </si>
  <si>
    <t xml:space="preserve">RSP - Pool - Killarney</t>
  </si>
  <si>
    <t xml:space="preserve">RSP - Southland Leisure Centre Inquiry</t>
  </si>
  <si>
    <t xml:space="preserve">RSP - Pool - Renfrew</t>
  </si>
  <si>
    <t xml:space="preserve">RSP - Pool - Canyon Meadows</t>
  </si>
  <si>
    <t xml:space="preserve">RSP - Pool - Thornhill</t>
  </si>
  <si>
    <t xml:space="preserve">Recreation - Employee Complaint - Compliment</t>
  </si>
  <si>
    <t xml:space="preserve">Recreation - Arena Tournament and Special Event Application</t>
  </si>
  <si>
    <t xml:space="preserve">RSP - Pool - Sir Winston Churchill</t>
  </si>
  <si>
    <t xml:space="preserve">RSP - Pool - Bob Bahan</t>
  </si>
  <si>
    <t xml:space="preserve">RSP - Booking Inquiry</t>
  </si>
  <si>
    <t xml:space="preserve">RSP - Program Registration Inquiry</t>
  </si>
  <si>
    <t xml:space="preserve">RSP - Pool - Glenmore</t>
  </si>
  <si>
    <t xml:space="preserve">RSP - Pool - Administration Inquiry</t>
  </si>
  <si>
    <t xml:space="preserve">RSP - Pool - Inglewood</t>
  </si>
  <si>
    <t xml:space="preserve">RSP - Snow Angels Campaign</t>
  </si>
  <si>
    <t xml:space="preserve">RSP - Village Square Leisure Centre Inquiry</t>
  </si>
  <si>
    <t xml:space="preserve">RSP - Calgary AfterSchool Program Inquires</t>
  </si>
  <si>
    <t xml:space="preserve">RSP - Pool - Foothills</t>
  </si>
  <si>
    <t xml:space="preserve">RSP - Pool - Shouldice</t>
  </si>
  <si>
    <t xml:space="preserve">RSP - Pool - Acadia</t>
  </si>
  <si>
    <t xml:space="preserve">Recreation - School Connections Booking Application</t>
  </si>
  <si>
    <t xml:space="preserve">RSP - Sport Hub Inquiry</t>
  </si>
  <si>
    <t xml:space="preserve">RSP - Calgary Soccer Centre Inquiry</t>
  </si>
  <si>
    <t xml:space="preserve">Recreation - Sailing School Application</t>
  </si>
  <si>
    <t xml:space="preserve">RSP - Glenmore Reservoir - Boat Rentals</t>
  </si>
  <si>
    <t xml:space="preserve">LEAD Program Inquiry</t>
  </si>
  <si>
    <t xml:space="preserve">Recreation - Arena Tournament and Special Event Applicatio</t>
  </si>
  <si>
    <t xml:space="preserve">RSP - Mobile Adventure Playground</t>
  </si>
  <si>
    <t xml:space="preserve">RSP - Glenmore Sailing School Inquiry</t>
  </si>
  <si>
    <t xml:space="preserve">RSP - Glenmore Reservoir - Boat Dock/Storage Repair</t>
  </si>
  <si>
    <t xml:space="preserve">RSP - Free Summer Programs</t>
  </si>
  <si>
    <t xml:space="preserve">RSP - Senior Services Home Maintenance - Bylaw Concern</t>
  </si>
  <si>
    <t xml:space="preserve">RSP - Home Services for Seniors - Bylaw Concern</t>
  </si>
  <si>
    <t xml:space="preserve">Opinions on Business Units</t>
  </si>
  <si>
    <t xml:space="preserve">Corporate Wide Service Requests</t>
  </si>
  <si>
    <t xml:space="preserve">CAI - Employee Complaint - Compliment</t>
  </si>
  <si>
    <t xml:space="preserve">DCMO - Corporate Analytics and Innovation</t>
  </si>
  <si>
    <t xml:space="preserve">Fleet - Inquiry</t>
  </si>
  <si>
    <t xml:space="preserve">DCMO - Fleet Services</t>
  </si>
  <si>
    <t xml:space="preserve">Mayor's Office - General Concerns</t>
  </si>
  <si>
    <t xml:space="preserve">Elected Officials</t>
  </si>
  <si>
    <t xml:space="preserve">Mayors Office - General Concerns</t>
  </si>
  <si>
    <t xml:space="preserve">Mayor's Office - Meeting Request</t>
  </si>
  <si>
    <t xml:space="preserve">Mayors Office - Meeting Request</t>
  </si>
  <si>
    <t xml:space="preserve">Mayor's Office - Neighbour Day Event Invite</t>
  </si>
  <si>
    <t xml:space="preserve">Mayors Office - Neighbour Day Event Invite</t>
  </si>
  <si>
    <t xml:space="preserve">Mayor's Office - Birthday or Anniversary Request</t>
  </si>
  <si>
    <t xml:space="preserve">Mayors Office - Birthday or Anniversary Request</t>
  </si>
  <si>
    <t xml:space="preserve">Mayors Office - Event Invitation</t>
  </si>
  <si>
    <t xml:space="preserve">Mayor's Office - Event Invitation</t>
  </si>
  <si>
    <t xml:space="preserve">Mayor's Office - Proclamation or Recognition Letter Request</t>
  </si>
  <si>
    <t xml:space="preserve">Mayors Office - Proclamation or Recognition Letter Request</t>
  </si>
  <si>
    <t xml:space="preserve">Mayor's Office - Greeting Message Request</t>
  </si>
  <si>
    <t xml:space="preserve">Mayors Office - Greeting Message Request</t>
  </si>
  <si>
    <t xml:space="preserve">CPBS - Bridge - Tunnel - Underpass Concern</t>
  </si>
  <si>
    <t xml:space="preserve">IS - Capital Planning and Business Services</t>
  </si>
  <si>
    <t xml:space="preserve">CPBS - Addressing Inquiry</t>
  </si>
  <si>
    <t xml:space="preserve">CPBS - Plus 15 Skywalk</t>
  </si>
  <si>
    <t xml:space="preserve">CPBS - Wooden Stairs - Repairs</t>
  </si>
  <si>
    <t xml:space="preserve">CPBS - Water and Sewer Main Condition Inquiries</t>
  </si>
  <si>
    <t xml:space="preserve">TP - Future Road Planning and Upgrades</t>
  </si>
  <si>
    <t xml:space="preserve">IS - Capital Priorities and Investments</t>
  </si>
  <si>
    <t xml:space="preserve">TP - Noise Barrier Wall</t>
  </si>
  <si>
    <t xml:space="preserve">TP - Neighbourhood Streets Projects</t>
  </si>
  <si>
    <t xml:space="preserve">TP - Transportation Data</t>
  </si>
  <si>
    <t xml:space="preserve">TP - Employee Complaint - Compliment</t>
  </si>
  <si>
    <t xml:space="preserve">CPI - Employee Complaint - Compliment</t>
  </si>
  <si>
    <t xml:space="preserve">PD - Noise Barrier Wall</t>
  </si>
  <si>
    <t xml:space="preserve">IS - Project Development</t>
  </si>
  <si>
    <t xml:space="preserve">PD - Future Road Planning and Upgrades</t>
  </si>
  <si>
    <t xml:space="preserve">PD - Neighbourhood Streets Projects</t>
  </si>
  <si>
    <t xml:space="preserve">Project Development - Employee Complaint - Compliment</t>
  </si>
  <si>
    <t xml:space="preserve">PSD - Local Improvement Inquiry</t>
  </si>
  <si>
    <t xml:space="preserve">IS - Public Spaces Delivery</t>
  </si>
  <si>
    <t xml:space="preserve">PSD - Driveway Crossings - Curb Lowering</t>
  </si>
  <si>
    <t xml:space="preserve">PSD - Backlane Paving Construction</t>
  </si>
  <si>
    <t xml:space="preserve">PSD - Transportation Special Projects</t>
  </si>
  <si>
    <t xml:space="preserve">TI - Special Projects Inquiry</t>
  </si>
  <si>
    <t xml:space="preserve">PSD - Annual Paving Program - Major Roads</t>
  </si>
  <si>
    <t xml:space="preserve">TI - Major Road Projects Inquiry</t>
  </si>
  <si>
    <t xml:space="preserve">PSD - Major Road Projects Inquiry</t>
  </si>
  <si>
    <t xml:space="preserve">PSD - Parks and Open Spaces</t>
  </si>
  <si>
    <t xml:space="preserve">PSD - Various Street Improvements - Current Projects</t>
  </si>
  <si>
    <t xml:space="preserve">PSD - Special Projects Inquiry</t>
  </si>
  <si>
    <t xml:space="preserve">TI - Bridges and Structures Inquiry</t>
  </si>
  <si>
    <t xml:space="preserve">PSD - Bridges and Structures Inquiry</t>
  </si>
  <si>
    <t xml:space="preserve">PSD - Buildings - Architecture</t>
  </si>
  <si>
    <t xml:space="preserve">PSD - Urban Initiatives General Inquiries</t>
  </si>
  <si>
    <t xml:space="preserve">PSD - Major Transit Projects Inquiry</t>
  </si>
  <si>
    <t xml:space="preserve">PSD - Downtown Major Projects</t>
  </si>
  <si>
    <t xml:space="preserve">PSD - Geotechnical Inquiry</t>
  </si>
  <si>
    <t xml:space="preserve">TI - Major Transit Projects Inquiry</t>
  </si>
  <si>
    <t xml:space="preserve">PSD - Events Centre - Scotia Place</t>
  </si>
  <si>
    <t xml:space="preserve">PSD - Eau Claire Area Improvements</t>
  </si>
  <si>
    <t xml:space="preserve">PSD - Hillside Stability</t>
  </si>
  <si>
    <t xml:space="preserve">TI - Connections to South West Ring Road</t>
  </si>
  <si>
    <t xml:space="preserve">TI - Employee Complaint - Compliment</t>
  </si>
  <si>
    <t xml:space="preserve">PSD - Employee Complaint - Compliment</t>
  </si>
  <si>
    <t xml:space="preserve">Eau Claire Area Improvements</t>
  </si>
  <si>
    <t xml:space="preserve">PSD - Major Mobility - Paving Program</t>
  </si>
  <si>
    <t xml:space="preserve">Stewardship of City Owned Land</t>
  </si>
  <si>
    <t xml:space="preserve">IS - Real Estate and Development Services</t>
  </si>
  <si>
    <t xml:space="preserve">REDS - Property Leasing and Sales Inquiry</t>
  </si>
  <si>
    <t xml:space="preserve">REDS - Encroachment Agreements on City Land</t>
  </si>
  <si>
    <t xml:space="preserve">REDS - Development Project Inquiry</t>
  </si>
  <si>
    <t xml:space="preserve">REDS - Acquisitions and Expropriations</t>
  </si>
  <si>
    <t xml:space="preserve">UD - Major Projects Inquiry</t>
  </si>
  <si>
    <t xml:space="preserve">IS - Utilities Delivery</t>
  </si>
  <si>
    <t xml:space="preserve">WATR - Major Projects Inquiry</t>
  </si>
  <si>
    <t xml:space="preserve">UD - Corrosion - Digging Close to Critical Main</t>
  </si>
  <si>
    <t xml:space="preserve">UD - Utility Inspection - Corrosion - Indemnification</t>
  </si>
  <si>
    <t xml:space="preserve">CAO - Chief Administrator's Office Inquiry</t>
  </si>
  <si>
    <t xml:space="preserve">LLSS - Chief Administrators Office</t>
  </si>
  <si>
    <t xml:space="preserve">City Clerks - Municipal Election Question</t>
  </si>
  <si>
    <t xml:space="preserve">LLSS - City Clerk's Office</t>
  </si>
  <si>
    <t xml:space="preserve">City Clerk's - General Concerns</t>
  </si>
  <si>
    <t xml:space="preserve">City Clerk's - Municipal Election Question</t>
  </si>
  <si>
    <t xml:space="preserve">City Clerks - General Concerns</t>
  </si>
  <si>
    <t xml:space="preserve">City Clerk's - Municipal Complex Tour</t>
  </si>
  <si>
    <t xml:space="preserve">City Clerks - Self-Guided Municipal Complex Tour</t>
  </si>
  <si>
    <t xml:space="preserve">City Clerk's - Census Inquiry</t>
  </si>
  <si>
    <t xml:space="preserve">CMO - City Manager's Office - General Concerns</t>
  </si>
  <si>
    <t xml:space="preserve">LLSS - City Manager's Office</t>
  </si>
  <si>
    <t xml:space="preserve">Law - Risk Management and Claims</t>
  </si>
  <si>
    <t xml:space="preserve">LLSS - Law</t>
  </si>
  <si>
    <t xml:space="preserve">Law - Insurance and Claims</t>
  </si>
  <si>
    <t xml:space="preserve">Law - General Concern - After Hours</t>
  </si>
  <si>
    <t xml:space="preserve">CT - Lost Property</t>
  </si>
  <si>
    <t xml:space="preserve">OS - Calgary Transit</t>
  </si>
  <si>
    <t xml:space="preserve">CT - Bus Route or Bus Schedule</t>
  </si>
  <si>
    <t xml:space="preserve">CT - Bus Stops</t>
  </si>
  <si>
    <t xml:space="preserve">CT - Transit Pass Programs</t>
  </si>
  <si>
    <t xml:space="preserve">CT AC - Trip Feedback - CTA</t>
  </si>
  <si>
    <t xml:space="preserve">After Hours Transit - General Concerns</t>
  </si>
  <si>
    <t xml:space="preserve">CT - CTrain Stations</t>
  </si>
  <si>
    <t xml:space="preserve">CT - Transit Safety / Public Etiquette</t>
  </si>
  <si>
    <t xml:space="preserve">CT - Advertising and Communications</t>
  </si>
  <si>
    <t xml:space="preserve">CT AC - Activity Report - CTA INTERNAL</t>
  </si>
  <si>
    <t xml:space="preserve">CT - Snow and Ice Control</t>
  </si>
  <si>
    <t xml:space="preserve">CT - Bus or CTrain Vehicle Maintenance</t>
  </si>
  <si>
    <t xml:space="preserve">CT - CTrain Schedule</t>
  </si>
  <si>
    <t xml:space="preserve">CT - Park and Ride Lot - LRT or Bus</t>
  </si>
  <si>
    <t xml:space="preserve">CT - Fair Entry Inquiry</t>
  </si>
  <si>
    <t xml:space="preserve">CT - Projects</t>
  </si>
  <si>
    <t xml:space="preserve">CT - Shared E-Scooter</t>
  </si>
  <si>
    <t xml:space="preserve">CT - Bikes on Transit</t>
  </si>
  <si>
    <t xml:space="preserve">CT AC - Fair Entry Inquiry</t>
  </si>
  <si>
    <t xml:space="preserve">CT AC - Activity Report INTERNAL</t>
  </si>
  <si>
    <t xml:space="preserve">CT - Shared E-Bike</t>
  </si>
  <si>
    <t xml:space="preserve">Facility Mgmt - FMCCC - Customer Care Centre</t>
  </si>
  <si>
    <t xml:space="preserve">OS - Facility Management</t>
  </si>
  <si>
    <t xml:space="preserve">Public - Municipal Complex - Atrium or Plaza Use Request</t>
  </si>
  <si>
    <t xml:space="preserve">Facility Mgmt - Facility - Public Use Booking</t>
  </si>
  <si>
    <t xml:space="preserve">Fleet and Inventory - Inquiry</t>
  </si>
  <si>
    <t xml:space="preserve">OS - Fleet and Inventory</t>
  </si>
  <si>
    <t xml:space="preserve">Fleet - Employee Complaint - Compliment</t>
  </si>
  <si>
    <t xml:space="preserve">Roads - Pothole Maintenance</t>
  </si>
  <si>
    <t xml:space="preserve">OS - Mobility</t>
  </si>
  <si>
    <t xml:space="preserve">Roads - Snow and Ice Control</t>
  </si>
  <si>
    <t xml:space="preserve">Roads - Debris on Street/Sidewalk/Boulevard</t>
  </si>
  <si>
    <t xml:space="preserve">Roads - Signs - Missing - Damaged</t>
  </si>
  <si>
    <t xml:space="preserve">Roads - Streetlight Maintenance</t>
  </si>
  <si>
    <t xml:space="preserve">Roads - Backlane Maintenance</t>
  </si>
  <si>
    <t xml:space="preserve">Roads - Dead Animal Pick-Up</t>
  </si>
  <si>
    <t xml:space="preserve">Roads - Sidewalk - Curb and Gutter Repair</t>
  </si>
  <si>
    <t xml:space="preserve">Roads - Roadway Maintenance</t>
  </si>
  <si>
    <t xml:space="preserve">Roads - Traffic or Pedestrian Light Repair</t>
  </si>
  <si>
    <t xml:space="preserve">Roads - Signs - Traffic and Roadmarking</t>
  </si>
  <si>
    <t xml:space="preserve">Roads - Signs - Parking</t>
  </si>
  <si>
    <t xml:space="preserve">Roads - Traffic Signal Timing Inquiry</t>
  </si>
  <si>
    <t xml:space="preserve">Roads - Temporary Sign Removal</t>
  </si>
  <si>
    <t xml:space="preserve">Roads - Detour Inquiry</t>
  </si>
  <si>
    <t xml:space="preserve">Roads - Pathway Concerns</t>
  </si>
  <si>
    <t xml:space="preserve">Roads - Detour Urgent (Safety) Concerns</t>
  </si>
  <si>
    <t xml:space="preserve">Roads - Street Cleaning Annual Program</t>
  </si>
  <si>
    <t xml:space="preserve">Roads - Safety and Education</t>
  </si>
  <si>
    <t xml:space="preserve">Roads - Pathway Snow and Ice Concerns</t>
  </si>
  <si>
    <t xml:space="preserve">Roads - Fence - Noise Barrier - Retaining Wall Repair</t>
  </si>
  <si>
    <t xml:space="preserve">Roads - NEW Signal, Left Turn or Pedestrian Light Request</t>
  </si>
  <si>
    <t xml:space="preserve">Roads - Permits - Requests and Inquiries</t>
  </si>
  <si>
    <t xml:space="preserve">Roads - Streetlight Damage</t>
  </si>
  <si>
    <t xml:space="preserve">Roads - Streetlight - General Inquiry</t>
  </si>
  <si>
    <t xml:space="preserve">Roads - Traffic Operational Improvement Suggestions</t>
  </si>
  <si>
    <t xml:space="preserve">Roads - Street Paving Program</t>
  </si>
  <si>
    <t xml:space="preserve">Roads - NEW Sidewalk - Curb and Gutter Repair</t>
  </si>
  <si>
    <t xml:space="preserve">Roads - Employee Complaint - Compliment</t>
  </si>
  <si>
    <t xml:space="preserve">Roads - Pavement Markings - Missing or Faded</t>
  </si>
  <si>
    <t xml:space="preserve">Roads - Repaving Candidate Street and Inquiries</t>
  </si>
  <si>
    <t xml:space="preserve">Roads - Boulevard Maintenance</t>
  </si>
  <si>
    <t xml:space="preserve">Roads - Traffic Signal Lane Designation Sign</t>
  </si>
  <si>
    <t xml:space="preserve">Roads - New Signal, Left Turn or Pedestrian Light Request</t>
  </si>
  <si>
    <t xml:space="preserve">Roads - E-Scooter</t>
  </si>
  <si>
    <t xml:space="preserve">Roads - Feedback - Community Traffic Safety Projects</t>
  </si>
  <si>
    <t xml:space="preserve">Roads - Bridge - Tunnel - Underpass Concern</t>
  </si>
  <si>
    <t xml:space="preserve">Roads - Traffic Signal Construction Inquiry</t>
  </si>
  <si>
    <t xml:space="preserve">Roads - Local Improvement Inquiry</t>
  </si>
  <si>
    <t xml:space="preserve">Roads - Curb Lowering for Existing Driveways</t>
  </si>
  <si>
    <t xml:space="preserve">Roads - Sidewalk Installation and Accessibility</t>
  </si>
  <si>
    <t xml:space="preserve">Roads - Traffic Signal Operation Report - Intersection Plan</t>
  </si>
  <si>
    <t xml:space="preserve">Roads - Wheelchair Slope - Request For</t>
  </si>
  <si>
    <t xml:space="preserve">Roads - BIA Maintenance</t>
  </si>
  <si>
    <t xml:space="preserve">Roads - Traffic Control Change Feedback</t>
  </si>
  <si>
    <t xml:space="preserve">Roads - Traffic Operational Improvement Inquiry</t>
  </si>
  <si>
    <t xml:space="preserve">Roads - Indemnification Agreement - Request For</t>
  </si>
  <si>
    <t xml:space="preserve">Roads - Minor Projects Construction</t>
  </si>
  <si>
    <t xml:space="preserve">Roads - Plus 15 Skywalk</t>
  </si>
  <si>
    <t xml:space="preserve">Roads - Utility Placement Inquiry</t>
  </si>
  <si>
    <t xml:space="preserve">Roads - New Subdivisions</t>
  </si>
  <si>
    <t xml:space="preserve">Roads - Backlane Paving Construction</t>
  </si>
  <si>
    <t xml:space="preserve">CPA - Employee Complaint - Compliment</t>
  </si>
  <si>
    <t xml:space="preserve">Roads - Shared E-Bike</t>
  </si>
  <si>
    <t xml:space="preserve">Roads - New Audible/Accessible Pedestrian Signal</t>
  </si>
  <si>
    <t xml:space="preserve">Roads - Traffic Camera and ATIS Inquiries</t>
  </si>
  <si>
    <t xml:space="preserve">Roads - Bike Rack Request - NEW</t>
  </si>
  <si>
    <t xml:space="preserve">Roads - Stairs - Damage</t>
  </si>
  <si>
    <t xml:space="preserve">Roads - Boulevard Garden and Landscaping Request</t>
  </si>
  <si>
    <t xml:space="preserve">Roads - Traffic Signal Operation Report - Intersection Pla</t>
  </si>
  <si>
    <t xml:space="preserve">Roads - Traffic Vibration Concerns</t>
  </si>
  <si>
    <t xml:space="preserve">Roads - Transportation Data</t>
  </si>
  <si>
    <t xml:space="preserve">Roads - Adaptive Roadways and Seasonal Patio Programs</t>
  </si>
  <si>
    <t xml:space="preserve">Roads - Load Ban and Overweight Vehicle on Road Inquiry</t>
  </si>
  <si>
    <t xml:space="preserve">Roads - Shared and Rental E-Scooter Program</t>
  </si>
  <si>
    <t xml:space="preserve">Roads - 5G Wireless Infrastructure Deployment Inquiry</t>
  </si>
  <si>
    <t xml:space="preserve">Roads - Shared and Rental E-Bike Program</t>
  </si>
  <si>
    <t xml:space="preserve">Roads - Agricultural Crossing Request</t>
  </si>
  <si>
    <t xml:space="preserve">Roads - Hillside Stability</t>
  </si>
  <si>
    <t xml:space="preserve">Roads - Shared E-Scooter</t>
  </si>
  <si>
    <t xml:space="preserve">Filming and Movie and Drone Activities</t>
  </si>
  <si>
    <t xml:space="preserve">OS - Operational Excellence</t>
  </si>
  <si>
    <t xml:space="preserve">Parks - Tree Concern - GIS</t>
  </si>
  <si>
    <t xml:space="preserve">OS - Parks and Open Spaces</t>
  </si>
  <si>
    <t xml:space="preserve">Parks - Tree Concern - WAM</t>
  </si>
  <si>
    <t xml:space="preserve">Parks - Garbage - GIS</t>
  </si>
  <si>
    <t xml:space="preserve">Parks - Wildlife Sightings</t>
  </si>
  <si>
    <t xml:space="preserve">Parks - Wildlife Management</t>
  </si>
  <si>
    <t xml:space="preserve">Parks - Mowing Request - GIS</t>
  </si>
  <si>
    <t xml:space="preserve">Parks - Infrastructure - GIS</t>
  </si>
  <si>
    <t xml:space="preserve">Parks - Maintenance - GIS</t>
  </si>
  <si>
    <t xml:space="preserve">Parks - Snow and Ice Concerns - WAM</t>
  </si>
  <si>
    <t xml:space="preserve">Parks - Venue Bookings and Inquiries</t>
  </si>
  <si>
    <t xml:space="preserve">Parks - Garbage - WAM</t>
  </si>
  <si>
    <t xml:space="preserve">Parks - Parks and Open Spaces Bookings</t>
  </si>
  <si>
    <t xml:space="preserve">Parks - Roadside Greens - GIS</t>
  </si>
  <si>
    <t xml:space="preserve">Parks - Infrastructure - WAM</t>
  </si>
  <si>
    <t xml:space="preserve">Parks - Maintenance - WAM</t>
  </si>
  <si>
    <t xml:space="preserve">Parks - Irrigation Maintenance - GIS</t>
  </si>
  <si>
    <t xml:space="preserve">Parks - Natural Area Maintenance - GIS</t>
  </si>
  <si>
    <t xml:space="preserve">Parks - Weed Control Issues - GIS</t>
  </si>
  <si>
    <t xml:space="preserve">Parks - Pathway Concern - WAM</t>
  </si>
  <si>
    <t xml:space="preserve">Parks - Mowing Request - WAM</t>
  </si>
  <si>
    <t xml:space="preserve">Parks - General Concerns</t>
  </si>
  <si>
    <t xml:space="preserve">Parks - Tree Planting and Tree Watering Inquiries - GIS</t>
  </si>
  <si>
    <t xml:space="preserve">Parks - Snow and Ice Concerns - GIS</t>
  </si>
  <si>
    <t xml:space="preserve">Parks - Pest Concerns - GIS</t>
  </si>
  <si>
    <t xml:space="preserve">Parks - Planning Inquiries</t>
  </si>
  <si>
    <t xml:space="preserve">Parks - Development - Tree Concern - GIS</t>
  </si>
  <si>
    <t xml:space="preserve">Parks - Irrigation Maintenance - WAM</t>
  </si>
  <si>
    <t xml:space="preserve">Parks - PlayBins</t>
  </si>
  <si>
    <t xml:space="preserve">Parks PlayBins</t>
  </si>
  <si>
    <t xml:space="preserve">Parks - Employee Complaint - Compliment</t>
  </si>
  <si>
    <t xml:space="preserve">Parks - Natural Area Inquiries - GIS</t>
  </si>
  <si>
    <t xml:space="preserve">Parks - Golf Course Inquiry</t>
  </si>
  <si>
    <t xml:space="preserve">Parks - Weed Control Issues - WAM</t>
  </si>
  <si>
    <t xml:space="preserve">Parks - Lighting Concern - GIS</t>
  </si>
  <si>
    <t xml:space="preserve">Parks - Branching Out Tree Program</t>
  </si>
  <si>
    <t xml:space="preserve">Parks - Lost and Found - GIS</t>
  </si>
  <si>
    <t xml:space="preserve">Parks - Natural Area Maintenance - WAM</t>
  </si>
  <si>
    <t xml:space="preserve">Parks - School Program Registration</t>
  </si>
  <si>
    <t xml:space="preserve">Parks - Pest Concerns - WAM</t>
  </si>
  <si>
    <t xml:space="preserve">Parks - Volunteer Request</t>
  </si>
  <si>
    <t xml:space="preserve">Parks - Community Inquiry</t>
  </si>
  <si>
    <t xml:space="preserve">Parks - Tree Education Programs</t>
  </si>
  <si>
    <t xml:space="preserve">Parks - Pest Management</t>
  </si>
  <si>
    <t xml:space="preserve">Parks - Lighting Concern - WAM</t>
  </si>
  <si>
    <t xml:space="preserve">Parks - Pathway Concern - GIS</t>
  </si>
  <si>
    <t xml:space="preserve">Parks - Development - Tree Concern - WAM</t>
  </si>
  <si>
    <t xml:space="preserve">Parks - Irrigation Line Location Request - GIS</t>
  </si>
  <si>
    <t xml:space="preserve">Parks - Lost and Found - WAM</t>
  </si>
  <si>
    <t xml:space="preserve">Parks - Natural Area Inquiries - WAM</t>
  </si>
  <si>
    <t xml:space="preserve">Parks - Playfield Usage Concerns</t>
  </si>
  <si>
    <t xml:space="preserve">Parks - Irrigation Line Location Request - WAM</t>
  </si>
  <si>
    <t xml:space="preserve">Parks - NAM - Inactive Camp Clean Up - GIS INTERNAL</t>
  </si>
  <si>
    <t xml:space="preserve">Parks - Mosquito Concerns</t>
  </si>
  <si>
    <t xml:space="preserve">Parks - Roadside Greens</t>
  </si>
  <si>
    <t xml:space="preserve">Playfield Portisan Placement Request</t>
  </si>
  <si>
    <t xml:space="preserve">Parks - Seasonal Vendor Application</t>
  </si>
  <si>
    <t xml:space="preserve">Parks - Cemetery - Maintenance - GIS</t>
  </si>
  <si>
    <t xml:space="preserve">Parks Seasonal Vendor Application</t>
  </si>
  <si>
    <t xml:space="preserve">Parks - Cemetery - Maintenance - WAM</t>
  </si>
  <si>
    <t xml:space="preserve">Parks - Playfield Portable Toilet Concern After Placement</t>
  </si>
  <si>
    <t xml:space="preserve">Parks - APT Maintenance</t>
  </si>
  <si>
    <t xml:space="preserve">WRS - Cart Management</t>
  </si>
  <si>
    <t xml:space="preserve">OS - Waste and Recycling Services</t>
  </si>
  <si>
    <t xml:space="preserve">WRS - Waste - Residential</t>
  </si>
  <si>
    <t xml:space="preserve">WRS - Recycling - Blue Cart</t>
  </si>
  <si>
    <t xml:space="preserve">WRS - Compost - Green Cart</t>
  </si>
  <si>
    <t xml:space="preserve">WRS - New Service - Carts</t>
  </si>
  <si>
    <t xml:space="preserve">WRS - Debris in Backlane</t>
  </si>
  <si>
    <t xml:space="preserve">WRS - Commercial Collection Services</t>
  </si>
  <si>
    <t xml:space="preserve">WRS - Programs</t>
  </si>
  <si>
    <t xml:space="preserve">WRS - Employee - Complaint Compliment</t>
  </si>
  <si>
    <t xml:space="preserve">WRS - Brochures</t>
  </si>
  <si>
    <t xml:space="preserve">WRS - Landfill - Disposal Information</t>
  </si>
  <si>
    <t xml:space="preserve">WRS - Landfill - Industrial Permit or Inquiry</t>
  </si>
  <si>
    <t xml:space="preserve">WRS - Landfill - Accounts and Billing</t>
  </si>
  <si>
    <t xml:space="preserve">WRS - Collection Schedule Inquiry</t>
  </si>
  <si>
    <t xml:space="preserve">WRS - Landfill - Operations</t>
  </si>
  <si>
    <t xml:space="preserve">WRS - Bin Checks</t>
  </si>
  <si>
    <t xml:space="preserve">WRS - Waste Requirements for Businesses</t>
  </si>
  <si>
    <t xml:space="preserve">WRS - Disposal Guide Tool Feedback</t>
  </si>
  <si>
    <t xml:space="preserve">WRS - School Landfill Tours Lottery</t>
  </si>
  <si>
    <t xml:space="preserve">WRS - Recycling - Depots</t>
  </si>
  <si>
    <t xml:space="preserve">WRS - Landfill - Clean Fill</t>
  </si>
  <si>
    <t xml:space="preserve">WRS - Multifamily Recycling and Composting</t>
  </si>
  <si>
    <t xml:space="preserve">WRS - Education Inquiries</t>
  </si>
  <si>
    <t xml:space="preserve">WRS - Special Collection</t>
  </si>
  <si>
    <t xml:space="preserve">WRS - Landfill - Diversion Programs</t>
  </si>
  <si>
    <t xml:space="preserve">WRS - Recycling - Community</t>
  </si>
  <si>
    <t xml:space="preserve">WATR - Utility Inspection - Corrosion - Indemnification</t>
  </si>
  <si>
    <t xml:space="preserve">OS - Water Resources</t>
  </si>
  <si>
    <t xml:space="preserve">WATR - Water Development Inquiry</t>
  </si>
  <si>
    <t xml:space="preserve">WATR - Water and Sewer Main Condition Inquiries</t>
  </si>
  <si>
    <t xml:space="preserve">WATR - Re-Use of Existing Site Services</t>
  </si>
  <si>
    <t xml:space="preserve">WATS - Sewage Back-up</t>
  </si>
  <si>
    <t xml:space="preserve">OS - Water Services</t>
  </si>
  <si>
    <t xml:space="preserve">WATS - Sewer Maintenance</t>
  </si>
  <si>
    <t xml:space="preserve">WATS - Catch Basin Concerns</t>
  </si>
  <si>
    <t xml:space="preserve">WATS - Service and Main Valve Issues</t>
  </si>
  <si>
    <t xml:space="preserve">WATS - Water Meter Issues</t>
  </si>
  <si>
    <t xml:space="preserve">WATS - Water Main Break or Leak</t>
  </si>
  <si>
    <t xml:space="preserve">WATS - Water Off-On Appointment</t>
  </si>
  <si>
    <t xml:space="preserve">WATS - Water Outage</t>
  </si>
  <si>
    <t xml:space="preserve">WATS - Water Meter Installation Request</t>
  </si>
  <si>
    <t xml:space="preserve">WATS - Fire Hydrant</t>
  </si>
  <si>
    <t xml:space="preserve">WATS - Construction Inquiry</t>
  </si>
  <si>
    <t xml:space="preserve">WATS - Emergency Water Temporary Off</t>
  </si>
  <si>
    <t xml:space="preserve">WATS - Water Pressure Issues</t>
  </si>
  <si>
    <t xml:space="preserve">UEP - Odour Inquiries</t>
  </si>
  <si>
    <t xml:space="preserve">WATS - Spills Entering Storm System</t>
  </si>
  <si>
    <t xml:space="preserve">WATS - Cross Connection Inquiries</t>
  </si>
  <si>
    <t xml:space="preserve">WATS - Water Quality</t>
  </si>
  <si>
    <t xml:space="preserve">WATS - Cross Connection Tester Support - ONLINE</t>
  </si>
  <si>
    <t xml:space="preserve">WATS - Manhole Concerns</t>
  </si>
  <si>
    <t xml:space="preserve">WATS - Erosion and Sediment Control</t>
  </si>
  <si>
    <t xml:space="preserve">WATS - Urgent Water Reconnect</t>
  </si>
  <si>
    <t xml:space="preserve">WATS - Construction Inquiry - MAX</t>
  </si>
  <si>
    <t xml:space="preserve">WATS - Fire Hydrant Flow Test</t>
  </si>
  <si>
    <t xml:space="preserve">WATS - Drainage Bylaw</t>
  </si>
  <si>
    <t xml:space="preserve">WATS - Hydrant Connection Unit - HCU Inspections</t>
  </si>
  <si>
    <t xml:space="preserve">WATS - Water Wagon Issues</t>
  </si>
  <si>
    <t xml:space="preserve">WATS - Property Rehab</t>
  </si>
  <si>
    <t xml:space="preserve">WATS - Tap Water Sampling Program</t>
  </si>
  <si>
    <t xml:space="preserve">WATS - Drainage Concerns</t>
  </si>
  <si>
    <t xml:space="preserve">WATS - Hydrant Control Unit - HCU Inspections</t>
  </si>
  <si>
    <t xml:space="preserve">WATS - Basement Seepage</t>
  </si>
  <si>
    <t xml:space="preserve">WATS - Storm Pond Concerns</t>
  </si>
  <si>
    <t xml:space="preserve">WATS - Bulk Water Accounts and Air Gap Vehicle Inspection</t>
  </si>
  <si>
    <t xml:space="preserve">WATS - Water Equipment Pickup</t>
  </si>
  <si>
    <t xml:space="preserve">WATS - Water Billing Concerns</t>
  </si>
  <si>
    <t xml:space="preserve">WATS - Temporary Water Line Issues</t>
  </si>
  <si>
    <t xml:space="preserve">WATS - Water Service Fee Invoice</t>
  </si>
  <si>
    <t xml:space="preserve">WATS - Flat to Meter Appointment</t>
  </si>
  <si>
    <t xml:space="preserve">WATS - Water Equipment Pickup - MAX</t>
  </si>
  <si>
    <t xml:space="preserve">WATS - Water Treatment Inquiries</t>
  </si>
  <si>
    <t xml:space="preserve">WATS - Bulk Water Station Inquiries</t>
  </si>
  <si>
    <t xml:space="preserve">WATS - Wastewater Treatment Information</t>
  </si>
  <si>
    <t xml:space="preserve">WATS - Water Data Request</t>
  </si>
  <si>
    <t xml:space="preserve">WATS - Industrial Monitoring Inquiry</t>
  </si>
  <si>
    <t xml:space="preserve">WATS - Lot Grading</t>
  </si>
  <si>
    <t xml:space="preserve">WATS - Water Run Inquiry</t>
  </si>
  <si>
    <t xml:space="preserve">WATS - Developer Request for Parks Irrigation Meter</t>
  </si>
  <si>
    <t xml:space="preserve">WATS - Location of Underground Water Lines</t>
  </si>
  <si>
    <t xml:space="preserve">WATS - Location of Underground Water Lines - MAX</t>
  </si>
  <si>
    <t xml:space="preserve">Z - OLD - WATS - Construction Inquiry</t>
  </si>
  <si>
    <t xml:space="preserve">WATS - Water Run Inquiry - MAX</t>
  </si>
  <si>
    <t xml:space="preserve">WATS - Treatment Plant Tours</t>
  </si>
  <si>
    <t xml:space="preserve">CT AC - Trip Feedback - Checker Taxi</t>
  </si>
  <si>
    <t xml:space="preserve">OSC - Calgary Transit</t>
  </si>
  <si>
    <t xml:space="preserve">CT AC - Trip Feedback - Care Calgary</t>
  </si>
  <si>
    <t xml:space="preserve">CT AC - Trip Feedback - Southland</t>
  </si>
  <si>
    <t xml:space="preserve">CT AC - Activity Report - Checker INTERNAL</t>
  </si>
  <si>
    <t xml:space="preserve">CT AC - Activity Report - Care Calgary INTERNAL</t>
  </si>
  <si>
    <t xml:space="preserve">CT AC - Activity Report - Southland INTERNAL</t>
  </si>
  <si>
    <t xml:space="preserve">Green Line - Spill and Substance Release Report (X217)</t>
  </si>
  <si>
    <t xml:space="preserve">OSC - Greenline</t>
  </si>
  <si>
    <t xml:space="preserve">GFL - Black Cart Collection</t>
  </si>
  <si>
    <t xml:space="preserve">OSC - Waste and Recycling Services</t>
  </si>
  <si>
    <t xml:space="preserve">City Auditors - General Concerns</t>
  </si>
  <si>
    <t xml:space="preserve">Office of the City Auditor</t>
  </si>
  <si>
    <t xml:space="preserve">City Auditors - General Inquiries</t>
  </si>
  <si>
    <t xml:space="preserve">CAC - Public Infrastructure Inquiry</t>
  </si>
  <si>
    <t xml:space="preserve">PD - Calgary Approvals Coordination</t>
  </si>
  <si>
    <t xml:space="preserve">CBS Inspection - SCP - New Home</t>
  </si>
  <si>
    <t xml:space="preserve">PD - Calgary Building Services</t>
  </si>
  <si>
    <t xml:space="preserve">CBS Inspection - Furnace Replacement</t>
  </si>
  <si>
    <t xml:space="preserve">CBS - Code Inquiry</t>
  </si>
  <si>
    <t xml:space="preserve">CBS - RIM - Property Research</t>
  </si>
  <si>
    <t xml:space="preserve">CBS Concern - Electrical</t>
  </si>
  <si>
    <t xml:space="preserve">CBS Inspection - Gas Fireplace Installation</t>
  </si>
  <si>
    <t xml:space="preserve">CBS Concern - Plumbing and Gas</t>
  </si>
  <si>
    <t xml:space="preserve">CBS - RIM - Subscription Services</t>
  </si>
  <si>
    <t xml:space="preserve">CBS - RIM - Policy Document Requests</t>
  </si>
  <si>
    <t xml:space="preserve">CBS - Public Protection Site Safety Meeting</t>
  </si>
  <si>
    <t xml:space="preserve">CRP - Historical Hydrant Data or Flow Test</t>
  </si>
  <si>
    <t xml:space="preserve">PDS - City and Regional Planning</t>
  </si>
  <si>
    <t xml:space="preserve">CRP - City and Regional Planning General Concerns</t>
  </si>
  <si>
    <t xml:space="preserve">CRP - City and Regional Planning General Inquiries</t>
  </si>
  <si>
    <t xml:space="preserve">CGS - Urban Initiatives General Inquiries</t>
  </si>
  <si>
    <t xml:space="preserve">CGS - Calgary Growth Strategies - General Concerns</t>
  </si>
  <si>
    <t xml:space="preserve">CE - Water Restrictions</t>
  </si>
  <si>
    <t xml:space="preserve">PDS - Climate and Environment</t>
  </si>
  <si>
    <t xml:space="preserve">CE - Environmental Inquiries</t>
  </si>
  <si>
    <t xml:space="preserve">WATR - Water Restrictions</t>
  </si>
  <si>
    <t xml:space="preserve">CE - Water Conservation Programs</t>
  </si>
  <si>
    <t xml:space="preserve">CE - Treatment Plant Tours</t>
  </si>
  <si>
    <t xml:space="preserve">CE - Watershed</t>
  </si>
  <si>
    <t xml:space="preserve">ESM - Environmental Inquiries</t>
  </si>
  <si>
    <t xml:space="preserve">CE  - Environmental Inquiries</t>
  </si>
  <si>
    <t xml:space="preserve">CE - Riparian - Riverbank Inquiries</t>
  </si>
  <si>
    <t xml:space="preserve">WATR - Watershed</t>
  </si>
  <si>
    <t xml:space="preserve">WATR - Riparian - Riverbank Inquiries</t>
  </si>
  <si>
    <t xml:space="preserve">CE - Water Brochure</t>
  </si>
  <si>
    <t xml:space="preserve">CE - Dashboard Feedback</t>
  </si>
  <si>
    <t xml:space="preserve">WATR - Water Brochure</t>
  </si>
  <si>
    <t xml:space="preserve">CP - Indemnification Agreements</t>
  </si>
  <si>
    <t xml:space="preserve">PDS - Community Planning</t>
  </si>
  <si>
    <t xml:space="preserve">CP - Community Planning - General Concerns</t>
  </si>
  <si>
    <t xml:space="preserve">CP - Water Development Inquiry</t>
  </si>
  <si>
    <t xml:space="preserve">CP - Community Planning - General Inquiries</t>
  </si>
  <si>
    <t xml:space="preserve">CP - Re-Use of Existing Site Services</t>
  </si>
  <si>
    <t xml:space="preserve">CP - Public Infrastructure Inquiry</t>
  </si>
  <si>
    <t xml:space="preserve">DBBS - RIM - Property Research</t>
  </si>
  <si>
    <t xml:space="preserve">PDS - Development, Business and Building Services</t>
  </si>
  <si>
    <t xml:space="preserve">CBS Inspection - Electrical</t>
  </si>
  <si>
    <t xml:space="preserve">DBBS Inspection - Electrical</t>
  </si>
  <si>
    <t xml:space="preserve">CBS Inspection - Commercial or Multi-Family</t>
  </si>
  <si>
    <t xml:space="preserve">DBBS Inspection - Commercial or Multi-Family</t>
  </si>
  <si>
    <t xml:space="preserve">DBBS Inspection - Residential Improvement Project - RIP</t>
  </si>
  <si>
    <t xml:space="preserve">CBS Inspection - Residential Improvement Project - RIP</t>
  </si>
  <si>
    <t xml:space="preserve">DBBS Concern - Building Without a Permit</t>
  </si>
  <si>
    <t xml:space="preserve">DBBS Inspection - Gas</t>
  </si>
  <si>
    <t xml:space="preserve">DBBS Inspection - Plumbing</t>
  </si>
  <si>
    <t xml:space="preserve">DBBS - Infill Construction Concerns</t>
  </si>
  <si>
    <t xml:space="preserve">DBBS - Code Inquiry</t>
  </si>
  <si>
    <t xml:space="preserve">DBBS Inspection - Furnace Replacement</t>
  </si>
  <si>
    <t xml:space="preserve">CBS Inspection - Plumbing</t>
  </si>
  <si>
    <t xml:space="preserve">DBBS - Planning and Development - After Hours SR</t>
  </si>
  <si>
    <t xml:space="preserve">DBBS Inspection - SCP - New Home</t>
  </si>
  <si>
    <t xml:space="preserve">DBBS Inspection - Heating and Ventilation</t>
  </si>
  <si>
    <t xml:space="preserve">CBS Inspection - Cancellation or Reschedule</t>
  </si>
  <si>
    <t xml:space="preserve">DBBS - Building Construction Concerns and Inquiries</t>
  </si>
  <si>
    <t xml:space="preserve">CBS Inspection - Gas</t>
  </si>
  <si>
    <t xml:space="preserve">DBBS Inspection - Cancellation or Reschedule</t>
  </si>
  <si>
    <t xml:space="preserve">CBS Inspection - Heating and Ventilation</t>
  </si>
  <si>
    <t xml:space="preserve">DBBS - PRC - Property Research</t>
  </si>
  <si>
    <t xml:space="preserve">DBBS - Urgent Safety Response</t>
  </si>
  <si>
    <t xml:space="preserve">DBBS - SDI - New Subdivision Parks Inspection</t>
  </si>
  <si>
    <t xml:space="preserve">CBS - Infill Construction Concerns</t>
  </si>
  <si>
    <t xml:space="preserve">CBS Concern - Building Without a Permit</t>
  </si>
  <si>
    <t xml:space="preserve">DBBS Concern - Electrical</t>
  </si>
  <si>
    <t xml:space="preserve">DBBS - Unsafe Derelict or Grow Op Property</t>
  </si>
  <si>
    <t xml:space="preserve">CBS - Planning and Development - After Hours SR</t>
  </si>
  <si>
    <t xml:space="preserve">DBBS - Safety Response</t>
  </si>
  <si>
    <t xml:space="preserve">DBBS Concern - Heating and Ventilation</t>
  </si>
  <si>
    <t xml:space="preserve">CBS - Urgent Safety Response</t>
  </si>
  <si>
    <t xml:space="preserve">DBBS - SDI - New Subdivision Surface Inspection</t>
  </si>
  <si>
    <t xml:space="preserve">DBBS - Unsafe Derelict or Unsecure Property</t>
  </si>
  <si>
    <t xml:space="preserve">DBBS Concern - Plumbing and Gas</t>
  </si>
  <si>
    <t xml:space="preserve">DBBS - SDI - Utility Inspection</t>
  </si>
  <si>
    <t xml:space="preserve">CBS - Building Construction Concerns and Inquiries</t>
  </si>
  <si>
    <t xml:space="preserve">CBS - Unsafe Derelict or Grow Op Property</t>
  </si>
  <si>
    <t xml:space="preserve">DBBS - SDI - Surface Indemnification Inspection</t>
  </si>
  <si>
    <t xml:space="preserve">CBS Concern - Heating &amp; Ventilation</t>
  </si>
  <si>
    <t xml:space="preserve">DBBS Inspection - Gas Fireplace Installation</t>
  </si>
  <si>
    <t xml:space="preserve">DBBS - SDI - Surface Improvements Inspections</t>
  </si>
  <si>
    <t xml:space="preserve">DBBS - SDI - New Subdivisions Inspections</t>
  </si>
  <si>
    <t xml:space="preserve">DBBS - Unsafe Derelict or Insecure Property</t>
  </si>
  <si>
    <t xml:space="preserve">DBBS - Public Protection Site Safety Meeting</t>
  </si>
  <si>
    <t xml:space="preserve">DBBS - SDI - Surface Improvements Inspection</t>
  </si>
  <si>
    <t xml:space="preserve">DBBS - RIM - Subscription Services</t>
  </si>
  <si>
    <t xml:space="preserve">DBBS - Emergency Electrical Reconnection</t>
  </si>
  <si>
    <t xml:space="preserve">DBBS - RIM - Policy Document Requests</t>
  </si>
  <si>
    <t xml:space="preserve">CBS Concern - Special Event Tent</t>
  </si>
  <si>
    <t xml:space="preserve">DBBS - SDI - New Subdivision Inspection</t>
  </si>
  <si>
    <t xml:space="preserve">Downtown Strategy - General Inquiries</t>
  </si>
  <si>
    <t xml:space="preserve">PDS - Downtown Strategy</t>
  </si>
  <si>
    <t xml:space="preserve">ERR - Watering Schedule</t>
  </si>
  <si>
    <t xml:space="preserve">PDS - Environmental Risk &amp; Resilience</t>
  </si>
  <si>
    <t xml:space="preserve">ERR - Water Conservation Programs</t>
  </si>
  <si>
    <t xml:space="preserve">ERR - Environmental Inquiries</t>
  </si>
  <si>
    <t xml:space="preserve">ERR - Riparian - Riverbank Inquiries</t>
  </si>
  <si>
    <t xml:space="preserve">ERR - Watershed</t>
  </si>
  <si>
    <t xml:space="preserve">ERR - Treatment Plant Tours</t>
  </si>
  <si>
    <t xml:space="preserve">ERR - Water Restrictions</t>
  </si>
  <si>
    <t xml:space="preserve">ERR - Water Brochure</t>
  </si>
  <si>
    <t xml:space="preserve">Corporate Research Inquiry</t>
  </si>
  <si>
    <t xml:space="preserve">PICS - 311 and Insights</t>
  </si>
  <si>
    <t xml:space="preserve">CAI - City Online - Concern</t>
  </si>
  <si>
    <t xml:space="preserve">PICS - Collaboration, Analytics and Innovation</t>
  </si>
  <si>
    <t xml:space="preserve">CAI - GIS Mapping and Analysis Inquiry</t>
  </si>
  <si>
    <t xml:space="preserve">CAI - Addressing Inquiry</t>
  </si>
  <si>
    <t xml:space="preserve">CAI - City Online - Feedback Form Only</t>
  </si>
  <si>
    <t xml:space="preserve">CAI - Open Data Catalogue Inquiry</t>
  </si>
  <si>
    <t xml:space="preserve">CAI - Utility Placement Inquiry</t>
  </si>
  <si>
    <t xml:space="preserve">CAI - Electronic Data Request</t>
  </si>
  <si>
    <t xml:space="preserve">CAI - Block Profile Inquiry</t>
  </si>
  <si>
    <t xml:space="preserve">CAI - Cadastral Mapping Service Inquiry</t>
  </si>
  <si>
    <t xml:space="preserve">CAI - 5G Wireless Infrastructure Deployment Inquiry</t>
  </si>
  <si>
    <t xml:space="preserve">CAI - Commercial Electronic Data License Request</t>
  </si>
  <si>
    <t xml:space="preserve">CAI - Educational Electronic Data License Request</t>
  </si>
  <si>
    <t xml:space="preserve">311 Contact Us</t>
  </si>
  <si>
    <t xml:space="preserve">PICS - Customer Service and Communications</t>
  </si>
  <si>
    <t xml:space="preserve">Customer Service &amp; Communications - General Concerns</t>
  </si>
  <si>
    <t xml:space="preserve">CSC - Calgary.ca Feedback and Issue Report</t>
  </si>
  <si>
    <t xml:space="preserve">Customer Service and Communications - General Concerns</t>
  </si>
  <si>
    <t xml:space="preserve">CSC - Corporate Research Inquiry</t>
  </si>
  <si>
    <t xml:space="preserve">CSC - Communications and Marketing Initiatives</t>
  </si>
  <si>
    <t xml:space="preserve">311 Ambassador Program</t>
  </si>
  <si>
    <t xml:space="preserve">HR - Recruitment and Program Inquiry</t>
  </si>
  <si>
    <t xml:space="preserve">PICS - Human Resources</t>
  </si>
  <si>
    <t xml:space="preserve">IT - City Online - Concern</t>
  </si>
  <si>
    <t xml:space="preserve">PICS - Information Technology</t>
  </si>
  <si>
    <t xml:space="preserve">IT - Public WiFi - Shaw Go WiFi at City Facilities</t>
  </si>
  <si>
    <t xml:space="preserve">IT - GIS Mapping and Analysis Inquiry</t>
  </si>
  <si>
    <t xml:space="preserve">IT - City Fibre Request</t>
  </si>
  <si>
    <t xml:space="preserve">IT - Block Profile Inquiry</t>
  </si>
  <si>
    <t xml:space="preserve">IT - Electronic Data Request</t>
  </si>
  <si>
    <t xml:space="preserve">MC - calgary.ca Feedback</t>
  </si>
  <si>
    <t xml:space="preserve">PICS - Marketing and Communication</t>
  </si>
  <si>
    <t xml:space="preserve">MC - Calgary.ca Feedback and Issue Report</t>
  </si>
  <si>
    <t xml:space="preserve">Partnerships - Neighbourhood Services Programs</t>
  </si>
  <si>
    <t xml:space="preserve">Partnerships</t>
  </si>
  <si>
    <t xml:space="preserve">Recreation - Food Truck Parking Stall Application</t>
  </si>
  <si>
    <t xml:space="preserve">Recreation and Social Programs</t>
  </si>
  <si>
    <t xml:space="preserve">Green Line Inquiry</t>
  </si>
  <si>
    <t xml:space="preserve">TRAN - Green Line</t>
  </si>
  <si>
    <t xml:space="preserve">Roads Permits - Requests and Inquiries</t>
  </si>
  <si>
    <t xml:space="preserve">TRAN - Roads</t>
  </si>
  <si>
    <t xml:space="preserve">Roads - Speed Education</t>
  </si>
  <si>
    <t xml:space="preserve">TP - Community Traffic - Cycling - Pedestrian Inquiries</t>
  </si>
  <si>
    <t xml:space="preserve">TRAN - Transportation Planning</t>
  </si>
  <si>
    <t xml:space="preserve">ESM - Employee Complaint - Compliment</t>
  </si>
  <si>
    <t xml:space="preserve">UEP - Environmental and Safety Management</t>
  </si>
  <si>
    <t xml:space="preserve">WRS - Chatbot Feedback</t>
  </si>
  <si>
    <t xml:space="preserve">UEP - Waste and Recycling Services</t>
  </si>
  <si>
    <t xml:space="preserve">WATR - Erosion and Sediment Control</t>
  </si>
  <si>
    <t xml:space="preserve">UEP - Water Resources</t>
  </si>
  <si>
    <t xml:space="preserve">WATR - Water Billing Concerns</t>
  </si>
  <si>
    <t xml:space="preserve">WATR - Industrial Monitoring Inquiry</t>
  </si>
  <si>
    <t xml:space="preserve">WATR - Water Reporting and Information</t>
  </si>
  <si>
    <t xml:space="preserve">WATR - Water Conservation Programs</t>
  </si>
  <si>
    <t xml:space="preserve">WATR - Treatment Plant Tours</t>
  </si>
  <si>
    <t xml:space="preserve">WATS - Air Gap Vehicle Inspection - ONLINE</t>
  </si>
  <si>
    <t xml:space="preserve">UEP - Water Services</t>
  </si>
  <si>
    <t xml:space="preserve">CPI - Bridge - Tunnel - Underpass Concern</t>
  </si>
  <si>
    <t xml:space="preserve">(blank)</t>
  </si>
  <si>
    <t xml:space="preserve">CPI - Water and Sewer Main Condition Inquiries</t>
  </si>
  <si>
    <t xml:space="preserve">CPI - Plus 15 Skywalk</t>
  </si>
  <si>
    <t xml:space="preserve">CPI - Noise Barrier Wall</t>
  </si>
  <si>
    <t xml:space="preserve">CPI - Future Road Planning and Upgrades</t>
  </si>
  <si>
    <t xml:space="preserve">CPI - Wooden Stairs - Repairs</t>
  </si>
  <si>
    <t xml:space="preserve">CPI - Neighbourhood Streets Projects</t>
  </si>
  <si>
    <t xml:space="preserve">rank</t>
  </si>
  <si>
    <t xml:space="preserve">456 of 740 service types had at least 1 ticket requested in 2026 (Jan 1 to Oct 1, 2026; data ends Oct 1).</t>
  </si>
  <si>
    <t xml:space="preserve">Sorted by tickets_2026, largest first (ties: total_tickets, then name).</t>
  </si>
  <si>
    <t xml:space="preserve">Service types with 0 tickets in 2026 are left out (retired or renamed types).</t>
  </si>
  <si>
    <t xml:space="preserve">Columns C-K link by formula to the same service's row on the 'Service Types' tab.</t>
  </si>
  <si>
    <t xml:space="preserve">Blank median / p90 = no closed tickets to measure yet.</t>
  </si>
  <si>
    <t xml:space="preserve">verdict</t>
  </si>
  <si>
    <t xml:space="preserve">is_primary</t>
  </si>
  <si>
    <t xml:space="preserve">tickets</t>
  </si>
  <si>
    <t xml:space="preserve">share_of_service</t>
  </si>
  <si>
    <t xml:space="preserve">first_seen</t>
  </si>
  <si>
    <t xml:space="preserve">last_seen</t>
  </si>
  <si>
    <t xml:space="preserve">pair_class</t>
  </si>
  <si>
    <t xml:space="preserve">note</t>
  </si>
  <si>
    <t xml:space="preserve">Classification rules</t>
  </si>
  <si>
    <t xml:space="preserve">Rename/merge</t>
  </si>
  <si>
    <t xml:space="preserve">Primary</t>
  </si>
  <si>
    <t xml:space="preserve">Used 2023-05-15 to 2024-02-27 (label retired)</t>
  </si>
  <si>
    <t xml:space="preserve">Rename (same unit, new label)</t>
  </si>
  <si>
    <t xml:space="preserve">Same unit name once the department prefix is stripped (e.g. UEP - Water Services -&gt; OS - Water Services).</t>
  </si>
  <si>
    <t xml:space="preserve">Affiliated Organizations</t>
  </si>
  <si>
    <t xml:space="preserve">Merge/reorg (old label retired)</t>
  </si>
  <si>
    <t xml:space="preserve">Used 2023-01-12 to 2023-05-04; overlap with primary 0 d (label retired)</t>
  </si>
  <si>
    <t xml:space="preserve">Different unit name; one label is unused anywhere in the final 12 months of data and the other takes over (e.g. TRAN - Roads -&gt; OS - Mobility).</t>
  </si>
  <si>
    <t xml:space="preserve">Used 2023-05-05 to 2026-09-23</t>
  </si>
  <si>
    <t xml:space="preserve">Merge/reorg (sequential handover)</t>
  </si>
  <si>
    <t xml:space="preserve">Different unit name; one stops, the other starts, little or no overlap.</t>
  </si>
  <si>
    <t xml:space="preserve">CS - Calgary Housing</t>
  </si>
  <si>
    <t xml:space="preserve">Used 2023-01-02 to 2023-04-21; overlap with primary 0 d (label retired)</t>
  </si>
  <si>
    <t xml:space="preserve">Concurrent - minor misrouting</t>
  </si>
  <si>
    <t xml:space="preserve">Minor agency used only inside the primary's active period, 5 or fewer tickets or under 2% share.</t>
  </si>
  <si>
    <t xml:space="preserve">Used 2026-04-19 to 2026-07-29</t>
  </si>
  <si>
    <t xml:space="preserve">Real split (temporary)</t>
  </si>
  <si>
    <t xml:space="preserve">Minor agency used inside the primary's active period with a material share.</t>
  </si>
  <si>
    <t xml:space="preserve">CS - Chief Housing Office</t>
  </si>
  <si>
    <t xml:space="preserve">Used 2026-08-11 to 2026-09-22; overlap with primary 0 d</t>
  </si>
  <si>
    <t xml:space="preserve">Real split (concurrent)</t>
  </si>
  <si>
    <t xml:space="preserve">Both agencies active together for more than 90 days through the end of the service's life. (None found.)</t>
  </si>
  <si>
    <t xml:space="preserve">Used 2023-01-16 to 2024-05-15</t>
  </si>
  <si>
    <t xml:space="preserve">Service-level: REAL SPLIT if any row is a real split; otherwise Rename/merge (with minor misrouting noted).</t>
  </si>
  <si>
    <t xml:space="preserve">CFOD - Finance</t>
  </si>
  <si>
    <t xml:space="preserve">Used 2023-01-02 to 2023-05-09; overlap with primary 113 d (label retired)</t>
  </si>
  <si>
    <t xml:space="preserve">label retired</t>
  </si>
  <si>
    <t xml:space="preserve">Agency label has no tickets anywhere in the data after 2025-10-02.</t>
  </si>
  <si>
    <t xml:space="preserve">Used 2023-01-02 to 2024-06-19</t>
  </si>
  <si>
    <t xml:space="preserve">Used 2023-01-02 to 2023-05-01; overlap with primary 119 d (label retired)</t>
  </si>
  <si>
    <t xml:space="preserve">Used 2023-01-04 to 2024-05-14</t>
  </si>
  <si>
    <t xml:space="preserve">Used 2023-01-02 to 2023-05-01; overlap with primary 117 d (label retired)</t>
  </si>
  <si>
    <t xml:space="preserve">Used 2023-05-06 to 2024-06-17</t>
  </si>
  <si>
    <t xml:space="preserve">Used 2023-01-02 to 2023-05-06; overlap with primary 0 d (label retired)</t>
  </si>
  <si>
    <t xml:space="preserve">Used 2023-01-04 to 2024-07-04</t>
  </si>
  <si>
    <t xml:space="preserve">Used 2023-01-02 to 2023-05-09; overlap with primary 125 d (label retired)</t>
  </si>
  <si>
    <t xml:space="preserve">Used 2023-04-28 to 2024-04-01</t>
  </si>
  <si>
    <t xml:space="preserve">Used 2023-01-04 to 2023-05-01; overlap with primary 3 d (label retired)</t>
  </si>
  <si>
    <t xml:space="preserve">Used 2023-05-01 to 2024-04-17</t>
  </si>
  <si>
    <t xml:space="preserve">Used 2023-01-11 to 2023-04-27; overlap with primary 0 d (label retired)</t>
  </si>
  <si>
    <t xml:space="preserve">Used 2023-01-13 to 2024-06-28</t>
  </si>
  <si>
    <t xml:space="preserve">Used 2023-01-04 to 2023-05-03; overlap with primary 110 d (label retired)</t>
  </si>
  <si>
    <t xml:space="preserve">Used 2023-01-31 to 2026-10-01</t>
  </si>
  <si>
    <t xml:space="preserve">Used 2023-01-04 to 2023-05-09; overlap with primary 98 d (label retired)</t>
  </si>
  <si>
    <t xml:space="preserve">Used 2023-05-14 to 2026-10-01</t>
  </si>
  <si>
    <t xml:space="preserve">Used 2023-01-06 to 2023-05-09; overlap with primary 0 d (label retired)</t>
  </si>
  <si>
    <t xml:space="preserve">Used 2023-04-17 to 2026-10-01</t>
  </si>
  <si>
    <t xml:space="preserve">Used 2023-01-04 to 2023-05-09; overlap with primary 22 d (label retired)</t>
  </si>
  <si>
    <t xml:space="preserve">Used 2023-03-17 to 2026-10-01</t>
  </si>
  <si>
    <t xml:space="preserve">Used 2023-01-03 to 2023-05-02; overlap with primary 46 d (label retired)</t>
  </si>
  <si>
    <t xml:space="preserve">Used 2023-05-16 to 2026-09-20</t>
  </si>
  <si>
    <t xml:space="preserve">DCMO - Supply</t>
  </si>
  <si>
    <t xml:space="preserve">Used 2023-01-25 to 2023-03-28; overlap with primary 0 d (label retired)</t>
  </si>
  <si>
    <t xml:space="preserve">Used 2023-01-02 to 2023-05-09 (label retired)</t>
  </si>
  <si>
    <t xml:space="preserve">Used 2023-05-09 to 2023-05-17; overlap with primary 0 d</t>
  </si>
  <si>
    <t xml:space="preserve">Used 2023-05-09 to 2023-09-19; overlap with primary 0 d</t>
  </si>
  <si>
    <t xml:space="preserve">Used 2023-01-11 to 2023-04-27 (label retired)</t>
  </si>
  <si>
    <t xml:space="preserve">Used 2023-04-09 to 2023-05-29; overlap with primary 18 d</t>
  </si>
  <si>
    <t xml:space="preserve">Used 2023-01-07 to 2023-02-27 (label retired)</t>
  </si>
  <si>
    <t xml:space="preserve">Used 2023-07-10 to 2023-08-25; overlap with primary 0 d</t>
  </si>
  <si>
    <t xml:space="preserve">Used 2023-01-08 to 2023-03-03 (label retired)</t>
  </si>
  <si>
    <t xml:space="preserve">Used 2023-03-14 to 2023-03-20; overlap with primary 0 d (label retired)</t>
  </si>
  <si>
    <t xml:space="preserve">Used 2023-02-14 to 2023-03-15 (label retired)</t>
  </si>
  <si>
    <t xml:space="preserve">Used 2023-05-17 to 2023-10-11; overlap with primary 0 d</t>
  </si>
  <si>
    <t xml:space="preserve">Used 2023-01-09 to 2023-03-14 (label retired)</t>
  </si>
  <si>
    <t xml:space="preserve">Used 2023-01-13 to 2023-02-10; overlap with primary 28 d</t>
  </si>
  <si>
    <t xml:space="preserve">Used 2023-01-05 to 2023-03-22 (label retired)</t>
  </si>
  <si>
    <t xml:space="preserve">Used 2023-03-15 to 2023-03-15; overlap with primary 0 d</t>
  </si>
  <si>
    <t xml:space="preserve">Used 2023-01-03 to 2023-04-18 (label retired)</t>
  </si>
  <si>
    <t xml:space="preserve">Used 2023-04-14 to 2023-07-05; overlap with primary 4 d</t>
  </si>
  <si>
    <t xml:space="preserve">Used 2023-05-08 to 2023-09-29</t>
  </si>
  <si>
    <t xml:space="preserve">Used 2023-02-02 to 2023-05-02; overlap with primary 0 d (label retired)</t>
  </si>
  <si>
    <t xml:space="preserve">Used 2023-03-30 to 2023-05-09</t>
  </si>
  <si>
    <t xml:space="preserve">Used 2023-03-23 to 2023-03-23; overlap with primary 0 d (label retired)</t>
  </si>
  <si>
    <t xml:space="preserve">Used 2023-01-02 to 2026-06-16</t>
  </si>
  <si>
    <t xml:space="preserve">Used 2023-01-02 to 2023-04-21; overlap with primary 109 d (label retired)</t>
  </si>
  <si>
    <t xml:space="preserve">Used 2023-01-03 to 2026-10-01</t>
  </si>
  <si>
    <t xml:space="preserve">Used 2023-01-02 to 2023-05-09; overlap with primary 126 d (label retired)</t>
  </si>
  <si>
    <t xml:space="preserve">Used 2023-03-24 to 2026-10-01</t>
  </si>
  <si>
    <t xml:space="preserve">Used 2023-01-25 to 2023-05-07; overlap with primary 44 d (label retired)</t>
  </si>
  <si>
    <t xml:space="preserve">Used 2023-01-12 to 2026-10-01</t>
  </si>
  <si>
    <t xml:space="preserve">Used 2023-01-02 to 2023-05-09; overlap with primary 117 d (label retired)</t>
  </si>
  <si>
    <t xml:space="preserve">Used 2023-01-02 to 2026-10-01</t>
  </si>
  <si>
    <t xml:space="preserve">Used 2023-01-02 to 2023-05-09; overlap with primary 127 d (label retired)</t>
  </si>
  <si>
    <t xml:space="preserve">Used 2023-01-02 to 2023-05-08; overlap with primary 126 d (label retired)</t>
  </si>
  <si>
    <t xml:space="preserve">Used 2023-01-09 to 2026-10-01</t>
  </si>
  <si>
    <t xml:space="preserve">Used 2023-01-02 to 2023-05-09; overlap with primary 120 d (label retired)</t>
  </si>
  <si>
    <t xml:space="preserve">Used 2023-01-19 to 2026-10-01</t>
  </si>
  <si>
    <t xml:space="preserve">Used 2023-01-03 to 2023-05-08; overlap with primary 109 d (label retired)</t>
  </si>
  <si>
    <t xml:space="preserve">Used 2023-01-05 to 2026-10-01</t>
  </si>
  <si>
    <t xml:space="preserve">Used 2023-01-02 to 2023-05-09; overlap with primary 124 d (label retired)</t>
  </si>
  <si>
    <t xml:space="preserve">Used 2023-01-02 to 2023-05-08; overlap with primary 125 d (label retired)</t>
  </si>
  <si>
    <t xml:space="preserve">Used 2023-01-20 to 2023-05-02; overlap with primary 0 d (label retired)</t>
  </si>
  <si>
    <t xml:space="preserve">Used 2023-01-02 to 2023-05-07; overlap with primary 122 d (label retired)</t>
  </si>
  <si>
    <t xml:space="preserve">Used 2023-01-02 to 2023-05-03; overlap with primary 121 d (label retired)</t>
  </si>
  <si>
    <t xml:space="preserve">Used 2023-01-10 to 2026-10-01</t>
  </si>
  <si>
    <t xml:space="preserve">Used 2023-01-03 to 2023-05-08; overlap with primary 118 d (label retired)</t>
  </si>
  <si>
    <t xml:space="preserve">Used 2023-01-09 to 2024-03-24</t>
  </si>
  <si>
    <t xml:space="preserve">Used 2023-01-13 to 2026-10-01</t>
  </si>
  <si>
    <t xml:space="preserve">Used 2023-01-02 to 2023-05-02; overlap with primary 109 d (label retired)</t>
  </si>
  <si>
    <t xml:space="preserve">Used 2023-03-23 to 2023-09-18</t>
  </si>
  <si>
    <t xml:space="preserve">Used 2023-01-02 to 2023-05-09; overlap with primary 47 d (label retired)</t>
  </si>
  <si>
    <t xml:space="preserve">Used 2023-01-03 to 2023-05-06; overlap with primary 113 d (label retired)</t>
  </si>
  <si>
    <t xml:space="preserve">Used 2023-01-21 to 2026-10-01</t>
  </si>
  <si>
    <t xml:space="preserve">Used 2023-01-02 to 2023-05-07; overlap with primary 106 d (label retired)</t>
  </si>
  <si>
    <t xml:space="preserve">Used 2023-04-06 to 2023-04-06; overlap with primary 0 d (label retired)</t>
  </si>
  <si>
    <t xml:space="preserve">Used 2023-01-23 to 2026-09-22</t>
  </si>
  <si>
    <t xml:space="preserve">Used 2023-01-02 to 2023-05-05; overlap with primary 102 d (label retired)</t>
  </si>
  <si>
    <t xml:space="preserve">Used 2023-04-08 to 2023-09-19</t>
  </si>
  <si>
    <t xml:space="preserve">Used 2023-01-02 to 2023-05-08; overlap with primary 30 d (label retired)</t>
  </si>
  <si>
    <t xml:space="preserve">Used 2023-01-25 to 2023-09-17</t>
  </si>
  <si>
    <t xml:space="preserve">Used 2023-01-02 to 2023-05-09; overlap with primary 104 d (label retired)</t>
  </si>
  <si>
    <t xml:space="preserve">Used 2023-02-09 to 2026-09-28</t>
  </si>
  <si>
    <t xml:space="preserve">Used 2023-01-03 to 2023-05-07; overlap with primary 87 d (label retired)</t>
  </si>
  <si>
    <t xml:space="preserve">Used 2023-05-09 to 2023-09-19</t>
  </si>
  <si>
    <t xml:space="preserve">Used 2023-01-02 to 2023-05-09; overlap with primary 0 d (label retired)</t>
  </si>
  <si>
    <t xml:space="preserve">Used 2023-02-06 to 2026-10-01</t>
  </si>
  <si>
    <t xml:space="preserve">Used 2023-01-04 to 2023-05-08; overlap with primary 91 d (label retired)</t>
  </si>
  <si>
    <t xml:space="preserve">Used 2023-01-04 to 2026-09-28</t>
  </si>
  <si>
    <t xml:space="preserve">Used 2023-01-06 to 2026-09-30</t>
  </si>
  <si>
    <t xml:space="preserve">Used 2023-01-02 to 2023-05-04; overlap with primary 118 d (label retired)</t>
  </si>
  <si>
    <t xml:space="preserve">Used 2023-01-12 to 2025-08-07</t>
  </si>
  <si>
    <t xml:space="preserve">Used 2023-01-02 to 2023-05-01; overlap with primary 109 d (label retired)</t>
  </si>
  <si>
    <t xml:space="preserve">Used 2023-03-07 to 2026-09-28</t>
  </si>
  <si>
    <t xml:space="preserve">Used 2023-02-02 to 2023-04-11; overlap with primary 35 d (label retired)</t>
  </si>
  <si>
    <t xml:space="preserve">Used 2023-02-04 to 2026-09-15</t>
  </si>
  <si>
    <t xml:space="preserve">Used 2023-01-20 to 2023-04-25; overlap with primary 80 d (label retired)</t>
  </si>
  <si>
    <t xml:space="preserve">Used 2023-01-18 to 2026-09-28</t>
  </si>
  <si>
    <t xml:space="preserve">Used 2023-01-17 to 2023-05-02; overlap with primary 104 d (label retired)</t>
  </si>
  <si>
    <t xml:space="preserve">Used 2023-05-04 to 2026-09-29</t>
  </si>
  <si>
    <t xml:space="preserve">Used 2023-01-15 to 2023-05-09; overlap with primary 5 d (label retired)</t>
  </si>
  <si>
    <t xml:space="preserve">Used 2023-04-27 to 2026-09-28</t>
  </si>
  <si>
    <t xml:space="preserve">Used 2023-01-09 to 2023-05-07; overlap with primary 10 d (label retired)</t>
  </si>
  <si>
    <t xml:space="preserve">Used 2023-05-14 to 2026-09-24</t>
  </si>
  <si>
    <t xml:space="preserve">Used 2023-01-14 to 2023-04-16; overlap with primary 0 d (label retired)</t>
  </si>
  <si>
    <t xml:space="preserve">Used 2023-05-20 to 2026-09-22</t>
  </si>
  <si>
    <t xml:space="preserve">Used 2023-01-04 to 2023-04-30; overlap with primary 0 d (label retired)</t>
  </si>
  <si>
    <t xml:space="preserve">Used 2023-04-21 to 2026-09-04</t>
  </si>
  <si>
    <t xml:space="preserve">Used 2023-01-20 to 2023-05-03; overlap with primary 12 d (label retired)</t>
  </si>
  <si>
    <t xml:space="preserve">Used 2023-01-06 to 2023-04-26; overlap with primary 97 d (label retired)</t>
  </si>
  <si>
    <t xml:space="preserve">Used 2023-06-29 to 2026-09-21</t>
  </si>
  <si>
    <t xml:space="preserve">Used 2023-01-06 to 2023-05-04; overlap with primary 0 d (label retired)</t>
  </si>
  <si>
    <t xml:space="preserve">Used 2023-04-06 to 2026-09-27</t>
  </si>
  <si>
    <t xml:space="preserve">Used 2023-01-27 to 2023-05-05; overlap with primary 29 d (label retired)</t>
  </si>
  <si>
    <t xml:space="preserve">Used 2023-01-28 to 2023-09-08</t>
  </si>
  <si>
    <t xml:space="preserve">Used 2023-01-03 to 2023-04-25; overlap with primary 87 d (label retired)</t>
  </si>
  <si>
    <t xml:space="preserve">Used 2023-07-16 to 2026-09-24</t>
  </si>
  <si>
    <t xml:space="preserve">Used 2023-01-19 to 2023-04-26; overlap with primary 0 d (label retired)</t>
  </si>
  <si>
    <t xml:space="preserve">Used 2023-01-25 to 2026-08-12</t>
  </si>
  <si>
    <t xml:space="preserve">Used 2023-01-17 to 2023-04-12; overlap with primary 77 d (label retired)</t>
  </si>
  <si>
    <t xml:space="preserve">Used 2023-05-14 to 2026-08-15</t>
  </si>
  <si>
    <t xml:space="preserve">Used 2023-01-22 to 2023-05-07; overlap with primary 0 d (label retired)</t>
  </si>
  <si>
    <t xml:space="preserve">Used 2023-05-22 to 2026-06-22</t>
  </si>
  <si>
    <t xml:space="preserve">Used 2023-02-01 to 2023-04-26; overlap with primary 0 d (label retired)</t>
  </si>
  <si>
    <t xml:space="preserve">Used 2023-05-10 to 2023-09-08</t>
  </si>
  <si>
    <t xml:space="preserve">Used 2023-01-14 to 2026-09-14</t>
  </si>
  <si>
    <t xml:space="preserve">Used 2023-01-16 to 2023-03-22; overlap with primary 65 d (label retired)</t>
  </si>
  <si>
    <t xml:space="preserve">Used 2023-02-26 to 2026-07-10</t>
  </si>
  <si>
    <t xml:space="preserve">Used 2023-01-31 to 2023-02-28; overlap with primary 2 d (label retired)</t>
  </si>
  <si>
    <t xml:space="preserve">Used 2023-05-19 to 2023-09-12</t>
  </si>
  <si>
    <t xml:space="preserve">Used 2023-02-28 to 2023-04-29; overlap with primary 0 d (label retired)</t>
  </si>
  <si>
    <t xml:space="preserve">Used 2023-05-15 to 2023-08-19</t>
  </si>
  <si>
    <t xml:space="preserve">Used 2023-02-28 to 2023-02-28; overlap with primary 0 d (label retired)</t>
  </si>
  <si>
    <t xml:space="preserve">Used 2023-05-14 to 2023-09-18</t>
  </si>
  <si>
    <t xml:space="preserve">Used 2023-02-17 to 2023-05-07; overlap with primary 0 d (label retired)</t>
  </si>
  <si>
    <t xml:space="preserve">Used 2023-05-16 to 2023-08-01</t>
  </si>
  <si>
    <t xml:space="preserve">Used 2023-02-14 to 2023-02-14; overlap with primary 0 d (label retired)</t>
  </si>
  <si>
    <t xml:space="preserve">Used 2023-05-02 to 2026-10-01</t>
  </si>
  <si>
    <t xml:space="preserve">Used 2023-01-23 to 2023-04-28; overlap with primary 0 d (label retired)</t>
  </si>
  <si>
    <t xml:space="preserve">Used 2025-04-30 to 2026-09-29</t>
  </si>
  <si>
    <t xml:space="preserve">Used 2023-05-16 to 2025-04-30; overlap with primary 0 d</t>
  </si>
  <si>
    <t xml:space="preserve">Used 2023-01-05 to 2023-05-01; overlap with primary 0 d (label retired)</t>
  </si>
  <si>
    <t xml:space="preserve">Used 2023-04-16 to 2025-04-22</t>
  </si>
  <si>
    <t xml:space="preserve">Used 2023-01-02 to 2023-04-20; overlap with primary 4 d (label retired)</t>
  </si>
  <si>
    <t xml:space="preserve">Used 2023-04-25 to 2026-09-28</t>
  </si>
  <si>
    <t xml:space="preserve">Used 2023-01-26 to 2023-04-28; overlap with primary 3 d (label retired)</t>
  </si>
  <si>
    <t xml:space="preserve">Used 2023-01-02 to 2023-05-02; overlap with primary 120 d (label retired)</t>
  </si>
  <si>
    <t xml:space="preserve">Used 2023-01-31 to 2023-02-15; overlap with primary 15 d (label retired)</t>
  </si>
  <si>
    <t xml:space="preserve">Used 2023-01-02 to 2023-03-22; overlap with primary 72 d (label retired)</t>
  </si>
  <si>
    <t xml:space="preserve">Used 2023-03-07 to 2023-05-07; overlap with primary 61 d (label retired)</t>
  </si>
  <si>
    <t xml:space="preserve">Used 2023-01-02 to 2023-03-23; overlap with primary 77 d (label retired)</t>
  </si>
  <si>
    <t xml:space="preserve">Used 2023-02-14 to 2023-05-06; overlap with primary 81 d (label retired)</t>
  </si>
  <si>
    <t xml:space="preserve">Used 2023-03-14 to 2026-10-01</t>
  </si>
  <si>
    <t xml:space="preserve">Used 2023-03-09 to 2023-05-07; overlap with primary 54 d (label retired)</t>
  </si>
  <si>
    <t xml:space="preserve">Used 2023-04-22 to 2026-10-01</t>
  </si>
  <si>
    <t xml:space="preserve">Used 2023-01-07 to 2023-04-27; overlap with primary 5 d (label retired)</t>
  </si>
  <si>
    <t xml:space="preserve">Used 2023-01-17 to 2023-02-08; overlap with primary 0 d (label retired)</t>
  </si>
  <si>
    <t xml:space="preserve">Used 2023-03-22 to 2026-09-29</t>
  </si>
  <si>
    <t xml:space="preserve">Used 2023-03-21 to 2023-05-05; overlap with primary 44 d (label retired)</t>
  </si>
  <si>
    <t xml:space="preserve">Used 2023-01-02 to 2025-12-11</t>
  </si>
  <si>
    <t xml:space="preserve">Used 2023-01-02 to 2023-04-11; overlap with primary 99 d (label retired)</t>
  </si>
  <si>
    <t xml:space="preserve">Used 2023-01-05 to 2023-05-06; overlap with primary 121 d (label retired)</t>
  </si>
  <si>
    <t xml:space="preserve">Used 2023-01-02 to 2023-03-21; overlap with primary 68 d (label retired)</t>
  </si>
  <si>
    <t xml:space="preserve">Used 2023-03-03 to 2023-05-04; overlap with primary 62 d (label retired)</t>
  </si>
  <si>
    <t xml:space="preserve">Used 2023-01-11 to 2025-10-20</t>
  </si>
  <si>
    <t xml:space="preserve">Used 2023-01-30 to 2023-05-08; overlap with primary 98 d (label retired)</t>
  </si>
  <si>
    <t xml:space="preserve">Used 2023-02-15 to 2023-02-22; overlap with primary 7 d (label retired)</t>
  </si>
  <si>
    <t xml:space="preserve">Used 2023-04-06 to 2026-09-29</t>
  </si>
  <si>
    <t xml:space="preserve">Used 2023-03-23 to 2023-05-06; overlap with primary 30 d (label retired)</t>
  </si>
  <si>
    <t xml:space="preserve">Used 2023-02-17 to 2023-03-22; overlap with primary 0 d (label retired)</t>
  </si>
  <si>
    <t xml:space="preserve">Used 2023-01-30 to 2026-09-28</t>
  </si>
  <si>
    <t xml:space="preserve">Used 2023-01-03 to 2023-03-18; overlap with primary 47 d (label retired)</t>
  </si>
  <si>
    <t xml:space="preserve">Used 2023-01-14 to 2023-05-07; overlap with primary 97 d (label retired)</t>
  </si>
  <si>
    <t xml:space="preserve">Used 2023-04-27 to 2026-09-30</t>
  </si>
  <si>
    <t xml:space="preserve">Used 2023-01-31 to 2023-05-03; overlap with primary 6 d (label retired)</t>
  </si>
  <si>
    <t xml:space="preserve">Used 2023-04-18 to 2026-10-01</t>
  </si>
  <si>
    <t xml:space="preserve">Used 2023-01-02 to 2023-03-18; overlap with primary 0 d (label retired)</t>
  </si>
  <si>
    <t xml:space="preserve">Used 2023-02-22 to 2023-05-07; overlap with primary 19 d (label retired)</t>
  </si>
  <si>
    <t xml:space="preserve">Used 2023-05-09 to 2026-06-20</t>
  </si>
  <si>
    <t xml:space="preserve">Used 2023-03-22 to 2023-05-02; overlap with primary 0 d (label retired)</t>
  </si>
  <si>
    <t xml:space="preserve">Used 2023-03-01 to 2023-05-06; overlap with primary 9 d (label retired)</t>
  </si>
  <si>
    <t xml:space="preserve">Used 2023-04-27 to 2025-02-19</t>
  </si>
  <si>
    <t xml:space="preserve">Used 2023-01-17 to 2023-05-03; overlap with primary 6 d (label retired)</t>
  </si>
  <si>
    <t xml:space="preserve">Used 2023-02-07 to 2023-02-07; overlap with primary 0 d (label retired)</t>
  </si>
  <si>
    <t xml:space="preserve">Used 2023-05-16 to 2026-09-26</t>
  </si>
  <si>
    <t xml:space="preserve">Used 2023-03-02 to 2023-05-08; overlap with primary 0 d (label retired)</t>
  </si>
  <si>
    <t xml:space="preserve">Used 2023-05-18 to 2026-09-27</t>
  </si>
  <si>
    <t xml:space="preserve">Used 2023-03-03 to 2023-05-08; overlap with primary 0 d (label retired)</t>
  </si>
  <si>
    <t xml:space="preserve">Used 2023-03-06 to 2023-03-08; overlap with primary 0 d (label retired)</t>
  </si>
  <si>
    <t xml:space="preserve">Used 2023-05-07 to 2026-09-29</t>
  </si>
  <si>
    <t xml:space="preserve">Used 2023-02-16 to 2023-05-05; overlap with primary 0 d (label retired)</t>
  </si>
  <si>
    <t xml:space="preserve">Used 2023-05-08 to 2026-09-30</t>
  </si>
  <si>
    <t xml:space="preserve">Used 2023-02-03 to 2023-04-23; overlap with primary 0 d (label retired)</t>
  </si>
  <si>
    <t xml:space="preserve">Used 2023-05-09 to 2026-09-20</t>
  </si>
  <si>
    <t xml:space="preserve">Used 2023-03-02 to 2023-05-03; overlap with primary 0 d (label retired)</t>
  </si>
  <si>
    <t xml:space="preserve">Used 2023-05-09 to 2025-08-05</t>
  </si>
  <si>
    <t xml:space="preserve">Used 2023-02-09 to 2023-05-02; overlap with primary 0 d (label retired)</t>
  </si>
  <si>
    <t xml:space="preserve">Used 2023-01-05 to 2023-02-19; overlap with primary 0 d (label retired)</t>
  </si>
  <si>
    <t xml:space="preserve">Used 2023-01-06 to 2026-03-03</t>
  </si>
  <si>
    <t xml:space="preserve">Used 2023-01-02 to 2023-04-04; overlap with primary 88 d (label retired)</t>
  </si>
  <si>
    <t xml:space="preserve">Used 2023-05-08 to 2026-09-24</t>
  </si>
  <si>
    <t xml:space="preserve">Used 2023-03-04 to 2023-05-04; overlap with primary 0 d (label retired)</t>
  </si>
  <si>
    <t xml:space="preserve">Used 2023-05-05 to 2026-09-29</t>
  </si>
  <si>
    <t xml:space="preserve">Used 2023-03-04 to 2023-05-02; overlap with primary 0 d (label retired)</t>
  </si>
  <si>
    <t xml:space="preserve">Used 2023-04-22 to 2026-09-22</t>
  </si>
  <si>
    <t xml:space="preserve">Used 2023-03-06 to 2023-04-27; overlap with primary 5 d (label retired)</t>
  </si>
  <si>
    <t xml:space="preserve">Used 2023-05-05 to 2026-10-01</t>
  </si>
  <si>
    <t xml:space="preserve">Used 2023-03-07 to 2023-04-25; overlap with primary 0 d (label retired)</t>
  </si>
  <si>
    <t xml:space="preserve">Used 2023-04-27 to 2026-09-25</t>
  </si>
  <si>
    <t xml:space="preserve">Used 2023-02-24 to 2023-04-18; overlap with primary 0 d (label retired)</t>
  </si>
  <si>
    <t xml:space="preserve">Used 2023-02-21 to 2026-09-28</t>
  </si>
  <si>
    <t xml:space="preserve">Used 2023-03-02 to 2023-05-02; overlap with primary 61 d (label retired)</t>
  </si>
  <si>
    <t xml:space="preserve">Used 2023-05-11 to 2026-10-01</t>
  </si>
  <si>
    <t xml:space="preserve">Used 2023-02-21 to 2023-05-05; overlap with primary 0 d (label retired)</t>
  </si>
  <si>
    <t xml:space="preserve">Used 2023-10-16 to 2026-04-28</t>
  </si>
  <si>
    <t xml:space="preserve">Used 2023-02-21 to 2023-04-06; overlap with primary 0 d (label retired)</t>
  </si>
  <si>
    <t xml:space="preserve">Used 2023-02-09 to 2023-02-21; overlap with primary 0 d (label retired)</t>
  </si>
  <si>
    <t xml:space="preserve">Used 2023-03-31 to 2026-09-17</t>
  </si>
  <si>
    <t xml:space="preserve">Used 2023-01-12 to 2023-04-13; overlap with primary 13 d (label retired)</t>
  </si>
  <si>
    <t xml:space="preserve">Used 2023-02-14 to 2026-09-29</t>
  </si>
  <si>
    <t xml:space="preserve">Used 2023-02-13 to 2023-03-03; overlap with primary 17 d (label retired)</t>
  </si>
  <si>
    <t xml:space="preserve">Used 2023-01-25 to 2023-01-25; overlap with primary 0 d (label retired)</t>
  </si>
  <si>
    <t xml:space="preserve">Used 2023-05-10 to 2026-09-15</t>
  </si>
  <si>
    <t xml:space="preserve">Used 2023-04-11 to 2023-05-08; overlap with primary 0 d (label retired)</t>
  </si>
  <si>
    <t xml:space="preserve">Used 2023-05-10 to 2026-09-19</t>
  </si>
  <si>
    <t xml:space="preserve">Used 2023-03-11 to 2023-04-24; overlap with primary 0 d (label retired)</t>
  </si>
  <si>
    <t xml:space="preserve">Used 2023-05-06 to 2025-07-25</t>
  </si>
  <si>
    <t xml:space="preserve">Used 2023-03-02 to 2023-05-09; overlap with primary 3 d (label retired)</t>
  </si>
  <si>
    <t xml:space="preserve">Used 2023-05-10 to 2026-10-01</t>
  </si>
  <si>
    <t xml:space="preserve">Used 2023-02-18 to 2023-02-18; overlap with primary 0 d (label retired)</t>
  </si>
  <si>
    <t xml:space="preserve">Used 2023-04-24 to 2026-09-22</t>
  </si>
  <si>
    <t xml:space="preserve">Used 2023-01-11 to 2023-04-06; overlap with primary 0 d (label retired)</t>
  </si>
  <si>
    <t xml:space="preserve">Used 2023-05-10 to 2026-08-23</t>
  </si>
  <si>
    <t xml:space="preserve">Used 2023-01-29 to 2023-04-23; overlap with primary 0 d (label retired)</t>
  </si>
  <si>
    <t xml:space="preserve">Used 2023-03-28 to 2026-02-26</t>
  </si>
  <si>
    <t xml:space="preserve">Used 2023-03-01 to 2023-04-05; overlap with primary 8 d (label retired)</t>
  </si>
  <si>
    <t xml:space="preserve">Used 2023-05-03 to 2026-09-28</t>
  </si>
  <si>
    <t xml:space="preserve">Used 2023-04-18 to 2023-05-02; overlap with primary 0 d (label retired)</t>
  </si>
  <si>
    <t xml:space="preserve">Used 2023-05-20 to 2026-09-10</t>
  </si>
  <si>
    <t xml:space="preserve">Used 2023-03-06 to 2023-05-01; overlap with primary 0 d (label retired)</t>
  </si>
  <si>
    <t xml:space="preserve">Used 2023-06-02 to 2026-08-18</t>
  </si>
  <si>
    <t xml:space="preserve">Used 2023-03-23 to 2023-04-27; overlap with primary 0 d (label retired)</t>
  </si>
  <si>
    <t xml:space="preserve">Used 2023-12-20 to 2025-10-18</t>
  </si>
  <si>
    <t xml:space="preserve">Used 2023-02-26 to 2023-02-26; overlap with primary 0 d (label retired)</t>
  </si>
  <si>
    <t xml:space="preserve">Used 2023-05-05 to 2024-12-24 (label retired)</t>
  </si>
  <si>
    <t xml:space="preserve">Used 2023-01-07 to 2023-05-02; overlap with primary 0 d (label retired)</t>
  </si>
  <si>
    <t xml:space="preserve">Used 2023-05-02 to 2024-11-13 (label retired)</t>
  </si>
  <si>
    <t xml:space="preserve">Used 2023-01-10 to 2023-05-03; overlap with primary 1 d (label retired)</t>
  </si>
  <si>
    <t xml:space="preserve">Used 2023-05-12 to 2023-08-31 (label retired)</t>
  </si>
  <si>
    <t xml:space="preserve">Used 2023-02-02 to 2023-04-25; overlap with primary 0 d (label retired)</t>
  </si>
  <si>
    <t xml:space="preserve">Rename/merge + minor misrouting</t>
  </si>
  <si>
    <t xml:space="preserve">Used 2023-04-18 to 2026-09-28</t>
  </si>
  <si>
    <t xml:space="preserve">Used 2023-06-12 to 2023-10-30; overlap with primary 140 d</t>
  </si>
  <si>
    <t xml:space="preserve">Used 2023-10-18 to 2023-10-18; overlap with primary 0 d</t>
  </si>
  <si>
    <t xml:space="preserve">Used 2023-04-05 to 2024-12-04</t>
  </si>
  <si>
    <t xml:space="preserve">TRAN - Transportation Infrastructure</t>
  </si>
  <si>
    <t xml:space="preserve">Used 2023-01-06 to 2023-05-04; overlap with primary 29 d (label retired)</t>
  </si>
  <si>
    <t xml:space="preserve">Used 2023-02-13 to 2024-12-05</t>
  </si>
  <si>
    <t xml:space="preserve">Used 2023-01-10 to 2023-04-29; overlap with primary 75 d (label retired)</t>
  </si>
  <si>
    <t xml:space="preserve">Used 2023-05-10 to 2024-12-09</t>
  </si>
  <si>
    <t xml:space="preserve">Used 2023-01-18 to 2023-05-03; overlap with primary 0 d (label retired)</t>
  </si>
  <si>
    <t xml:space="preserve">Used 2023-05-30 to 2024-12-11</t>
  </si>
  <si>
    <t xml:space="preserve">Used 2023-01-09 to 2023-01-09; overlap with primary 0 d (label retired)</t>
  </si>
  <si>
    <t xml:space="preserve">Used 2023-06-20 to 2024-05-13</t>
  </si>
  <si>
    <t xml:space="preserve">Used 2023-01-04 to 2023-04-06; overlap with primary 0 d (label retired)</t>
  </si>
  <si>
    <t xml:space="preserve">Used 2023-01-26 to 2026-10-01</t>
  </si>
  <si>
    <t xml:space="preserve">DCMO - Real Estate and Development Services</t>
  </si>
  <si>
    <t xml:space="preserve">Used 2023-01-04 to 2023-05-08; overlap with primary 102 d (label retired)</t>
  </si>
  <si>
    <t xml:space="preserve">Used 2023-01-04 to 2023-05-04; overlap with primary 103 d (label retired)</t>
  </si>
  <si>
    <t xml:space="preserve">Used 2023-01-10 to 2023-05-02; overlap with primary 0 d (label retired)</t>
  </si>
  <si>
    <t xml:space="preserve">Used 2023-05-09 to 2026-07-30</t>
  </si>
  <si>
    <t xml:space="preserve">Used 2023-01-05 to 2023-05-02; overlap with primary 0 d (label retired)</t>
  </si>
  <si>
    <t xml:space="preserve">Used 2023-05-15 to 2026-08-24</t>
  </si>
  <si>
    <t xml:space="preserve">Used 2023-02-21 to 2023-04-20; overlap with primary 0 d (label retired)</t>
  </si>
  <si>
    <t xml:space="preserve">Used 2023-04-20 to 2023-11-20</t>
  </si>
  <si>
    <t xml:space="preserve">Used 2023-01-03 to 2023-05-09; overlap with primary 19 d (label retired)</t>
  </si>
  <si>
    <t xml:space="preserve">Used 2023-03-28 to 2025-02-27</t>
  </si>
  <si>
    <t xml:space="preserve">LL - City Clerk's</t>
  </si>
  <si>
    <t xml:space="preserve">Used 2023-01-25 to 2023-04-15; overlap with primary 18 d (label retired)</t>
  </si>
  <si>
    <t xml:space="preserve">Used 2023-05-09 to 2025-02-27</t>
  </si>
  <si>
    <t xml:space="preserve">Used 2023-02-21 to 2023-04-25; overlap with primary 0 d (label retired)</t>
  </si>
  <si>
    <t xml:space="preserve">Used 2023-03-17 to 2023-09-09</t>
  </si>
  <si>
    <t xml:space="preserve">Used 2023-01-11 to 2023-03-23; overlap with primary 6 d (label retired)</t>
  </si>
  <si>
    <t xml:space="preserve">Used 2023-07-25 to 2024-05-30</t>
  </si>
  <si>
    <t xml:space="preserve">Used 2023-01-13 to 2023-05-01; overlap with primary 0 d (label retired)</t>
  </si>
  <si>
    <t xml:space="preserve">Used 2023-01-10 to 2025-02-03 (label retired)</t>
  </si>
  <si>
    <t xml:space="preserve">LL - City Manager's Office</t>
  </si>
  <si>
    <t xml:space="preserve">Used 2023-03-06 to 2023-04-25; overlap with primary 50 d (label retired)</t>
  </si>
  <si>
    <t xml:space="preserve">Used 2023-02-14 to 2026-06-29</t>
  </si>
  <si>
    <t xml:space="preserve">LL - Law</t>
  </si>
  <si>
    <t xml:space="preserve">Used 2023-01-02 to 2023-05-09; overlap with primary 84 d (label retired)</t>
  </si>
  <si>
    <t xml:space="preserve">Used 2023-01-05 to 2026-08-19</t>
  </si>
  <si>
    <t xml:space="preserve">Used 2023-02-15 to 2023-03-27; overlap with primary 40 d (label retired)</t>
  </si>
  <si>
    <t xml:space="preserve">TRAN - Calgary Transit</t>
  </si>
  <si>
    <t xml:space="preserve">Used 2023-01-02 to 2023-05-05; overlap with primary 123 d (label retired)</t>
  </si>
  <si>
    <t xml:space="preserve">Used 2023-02-27 to 2026-10-01</t>
  </si>
  <si>
    <t xml:space="preserve">Used 2023-01-02 to 2023-05-08; overlap with primary 70 d (label retired)</t>
  </si>
  <si>
    <t xml:space="preserve">Used 2023-03-03 to 2026-10-01</t>
  </si>
  <si>
    <t xml:space="preserve">Used 2023-01-02 to 2023-05-05; overlap with primary 63 d (label retired)</t>
  </si>
  <si>
    <t xml:space="preserve">Used 2023-04-26 to 2026-10-01</t>
  </si>
  <si>
    <t xml:space="preserve">Used 2023-01-02 to 2023-05-08; overlap with primary 12 d (label retired)</t>
  </si>
  <si>
    <t xml:space="preserve">Used 2023-01-02 to 2023-05-09; overlap with primary 116 d (label retired)</t>
  </si>
  <si>
    <t xml:space="preserve">Used 2023-02-10 to 2026-10-01</t>
  </si>
  <si>
    <t xml:space="preserve">Used 2023-01-02 to 2023-05-05; overlap with primary 84 d (label retired)</t>
  </si>
  <si>
    <t xml:space="preserve">Used 2023-02-24 to 2026-10-01</t>
  </si>
  <si>
    <t xml:space="preserve">Used 2023-01-02 to 2023-05-08; overlap with primary 73 d (label retired)</t>
  </si>
  <si>
    <t xml:space="preserve">Used 2023-01-23 to 2026-10-01</t>
  </si>
  <si>
    <t xml:space="preserve">Used 2023-01-02 to 2023-05-09; overlap with primary 106 d (label retired)</t>
  </si>
  <si>
    <t xml:space="preserve">Used 2023-10-23 to 2026-04-23</t>
  </si>
  <si>
    <t xml:space="preserve">Used 2023-01-03 to 2023-04-01; overlap with primary 0 d (label retired)</t>
  </si>
  <si>
    <t xml:space="preserve">Used 2023-01-02 to 2023-05-08; overlap with primary 21 d (label retired)</t>
  </si>
  <si>
    <t xml:space="preserve">Used 2023-04-25 to 2026-10-01</t>
  </si>
  <si>
    <t xml:space="preserve">Used 2023-01-03 to 2023-05-06; overlap with primary 11 d (label retired)</t>
  </si>
  <si>
    <t xml:space="preserve">Used 2023-01-11 to 2023-04-28; overlap with primary 3 d (label retired)</t>
  </si>
  <si>
    <t xml:space="preserve">Used 2023-05-10 to 2024-07-30</t>
  </si>
  <si>
    <t xml:space="preserve">Used 2023-01-02 to 2023-05-05; overlap with primary 0 d (label retired)</t>
  </si>
  <si>
    <t xml:space="preserve">Used 2023-05-05 to 2026-09-25</t>
  </si>
  <si>
    <t xml:space="preserve">Used 2023-01-03 to 2023-04-25; overlap with primary 0 d (label retired)</t>
  </si>
  <si>
    <t xml:space="preserve">Used 2023-05-09 to 2023-11-14</t>
  </si>
  <si>
    <t xml:space="preserve">Used 2023-01-06 to 2023-05-08; overlap with primary 0 d (label retired)</t>
  </si>
  <si>
    <t xml:space="preserve">Used 2023-04-25 to 2026-09-21</t>
  </si>
  <si>
    <t xml:space="preserve">Used 2023-01-10 to 2023-04-12; overlap with primary 0 d (label retired)</t>
  </si>
  <si>
    <t xml:space="preserve">Used 2023-05-10 to 2024-07-17</t>
  </si>
  <si>
    <t xml:space="preserve">Used 2023-04-26 to 2023-04-26; overlap with primary 0 d (label retired)</t>
  </si>
  <si>
    <t xml:space="preserve">Used 2023-01-04 to 2026-10-01</t>
  </si>
  <si>
    <t xml:space="preserve">DCMO - Facility Management</t>
  </si>
  <si>
    <t xml:space="preserve">Used 2023-01-04 to 2023-05-09; overlap with primary 125 d (label retired)</t>
  </si>
  <si>
    <t xml:space="preserve">Used 2023-01-04 to 2026-09-30</t>
  </si>
  <si>
    <t xml:space="preserve">Used 2023-01-02 to 2023-05-07; overlap with primary 123 d (label retired)</t>
  </si>
  <si>
    <t xml:space="preserve">Used 2023-10-26 to 2025-08-18</t>
  </si>
  <si>
    <t xml:space="preserve">Used 2023-01-23 to 2023-02-06; overlap with primary 0 d (label retired)</t>
  </si>
  <si>
    <t xml:space="preserve">Used 2023-05-09 to 2026-09-28</t>
  </si>
  <si>
    <t xml:space="preserve">Fleet and Inventory</t>
  </si>
  <si>
    <t xml:space="preserve">Used 2023-01-18 to 2023-03-31; overlap with primary 0 d (label retired)</t>
  </si>
  <si>
    <t xml:space="preserve">Used 2023-05-26 to 2025-08-05</t>
  </si>
  <si>
    <t xml:space="preserve">Used 2023-01-16 to 2023-03-28; overlap with primary 0 d (label retired)</t>
  </si>
  <si>
    <t xml:space="preserve">Used 2023-01-02 to 2026-06-30</t>
  </si>
  <si>
    <t xml:space="preserve">Used 2023-01-07 to 2026-10-01</t>
  </si>
  <si>
    <t xml:space="preserve">Used 2023-01-03 to 2023-05-09; overlap with primary 122 d (label retired)</t>
  </si>
  <si>
    <t xml:space="preserve">Used 2023-01-06 to 2026-10-01</t>
  </si>
  <si>
    <t xml:space="preserve">Used 2023-01-02 to 2023-05-09; overlap with primary 123 d (label retired)</t>
  </si>
  <si>
    <t xml:space="preserve">Used 2023-01-02 to 2026-08-17</t>
  </si>
  <si>
    <t xml:space="preserve">Used 2023-01-11 to 2026-10-01</t>
  </si>
  <si>
    <t xml:space="preserve">Used 2023-01-02 to 2023-05-09; overlap with primary 118 d (label retired)</t>
  </si>
  <si>
    <t xml:space="preserve">Used 2023-01-03 to 2023-05-09; overlap with primary 120 d (label retired)</t>
  </si>
  <si>
    <t xml:space="preserve">Used 2023-01-02 to 2023-05-04; overlap with primary 122 d (label retired)</t>
  </si>
  <si>
    <t xml:space="preserve">Used 2023-04-06 to 2026-07-14</t>
  </si>
  <si>
    <t xml:space="preserve">Used 2023-01-12 to 2023-05-09; overlap with primary 33 d (label retired)</t>
  </si>
  <si>
    <t xml:space="preserve">Used 2023-01-02 to 2023-05-08; overlap with primary 124 d (label retired)</t>
  </si>
  <si>
    <t xml:space="preserve">Used 2023-01-03 to 2026-07-15</t>
  </si>
  <si>
    <t xml:space="preserve">Used 2023-01-27 to 2023-01-27; overlap with primary 0 d (label retired)</t>
  </si>
  <si>
    <t xml:space="preserve">Used 2023-01-02 to 2023-05-02; overlap with primary 115 d (label retired)</t>
  </si>
  <si>
    <t xml:space="preserve">Used 2023-02-11 to 2026-10-01</t>
  </si>
  <si>
    <t xml:space="preserve">Used 2023-01-02 to 2023-05-03; overlap with primary 81 d (label retired)</t>
  </si>
  <si>
    <t xml:space="preserve">Used 2023-01-10 to 2023-05-03; overlap with primary 15 d (label retired)</t>
  </si>
  <si>
    <t xml:space="preserve">Used 2023-04-26 to 2025-08-07</t>
  </si>
  <si>
    <t xml:space="preserve">Used 2023-01-04 to 2023-05-06; overlap with primary 10 d (label retired)</t>
  </si>
  <si>
    <t xml:space="preserve">Used 2023-01-18 to 2026-09-30</t>
  </si>
  <si>
    <t xml:space="preserve">Used 2023-01-12 to 2023-04-29; overlap with primary 101 d (label retired)</t>
  </si>
  <si>
    <t xml:space="preserve">Used 2023-01-03 to 2023-05-04; overlap with primary 62 d (label retired)</t>
  </si>
  <si>
    <t xml:space="preserve">Used 2023-01-07 to 2023-10-20</t>
  </si>
  <si>
    <t xml:space="preserve">Used 2023-01-03 to 2023-05-08; overlap with primary 121 d (label retired)</t>
  </si>
  <si>
    <t xml:space="preserve">Used 2023-02-09 to 2026-09-29</t>
  </si>
  <si>
    <t xml:space="preserve">Used 2023-01-04 to 2023-03-23; overlap with primary 42 d (label retired)</t>
  </si>
  <si>
    <t xml:space="preserve">Used 2023-04-12 to 2024-10-30</t>
  </si>
  <si>
    <t xml:space="preserve">Used 2023-01-04 to 2023-05-04; overlap with primary 22 d (label retired)</t>
  </si>
  <si>
    <t xml:space="preserve">Used 2023-01-16 to 2026-10-01</t>
  </si>
  <si>
    <t xml:space="preserve">Used 2023-01-04 to 2023-05-08; overlap with primary 112 d (label retired)</t>
  </si>
  <si>
    <t xml:space="preserve">Used 2023-02-15 to 2023-09-28</t>
  </si>
  <si>
    <t xml:space="preserve">Used 2023-01-07 to 2023-05-09; overlap with primary 83 d (label retired)</t>
  </si>
  <si>
    <t xml:space="preserve">Used 2023-03-23 to 2023-10-19</t>
  </si>
  <si>
    <t xml:space="preserve">Used 2023-03-13 to 2026-03-24</t>
  </si>
  <si>
    <t xml:space="preserve">Used 2023-01-02 to 2023-05-09; overlap with primary 57 d (label retired)</t>
  </si>
  <si>
    <t xml:space="preserve">Used 2023-01-09 to 2023-05-05; overlap with primary 17 d (label retired)</t>
  </si>
  <si>
    <t xml:space="preserve">Used 2023-03-26 to 2026-09-29</t>
  </si>
  <si>
    <t xml:space="preserve">Used 2023-01-15 to 2023-05-05; overlap with primary 40 d (label retired)</t>
  </si>
  <si>
    <t xml:space="preserve">Used 2023-02-14 to 2026-09-27</t>
  </si>
  <si>
    <t xml:space="preserve">Used 2023-01-13 to 2023-05-03; overlap with primary 78 d (label retired)</t>
  </si>
  <si>
    <t xml:space="preserve">Used 2023-03-18 to 2023-10-18</t>
  </si>
  <si>
    <t xml:space="preserve">Used 2023-01-05 to 2023-05-08; overlap with primary 51 d (label retired)</t>
  </si>
  <si>
    <t xml:space="preserve">Used 2023-01-05 to 2024-02-05</t>
  </si>
  <si>
    <t xml:space="preserve">Used 2023-01-04 to 2023-05-08; overlap with primary 123 d (label retired)</t>
  </si>
  <si>
    <t xml:space="preserve">Used 2023-05-09 to 2024-07-12</t>
  </si>
  <si>
    <t xml:space="preserve">Used 2023-01-22 to 2023-05-08; overlap with primary 0 d (label retired)</t>
  </si>
  <si>
    <t xml:space="preserve">Used 2023-05-04 to 2024-12-12</t>
  </si>
  <si>
    <t xml:space="preserve">Used 2023-01-03 to 2023-04-26; overlap with primary 0 d (label retired)</t>
  </si>
  <si>
    <t xml:space="preserve">Used 2023-04-13 to 2024-01-31</t>
  </si>
  <si>
    <t xml:space="preserve">Used 2023-01-19 to 2023-05-05; overlap with primary 22 d (label retired)</t>
  </si>
  <si>
    <t xml:space="preserve">Used 2023-04-11 to 2023-10-30</t>
  </si>
  <si>
    <t xml:space="preserve">Used 2023-01-17 to 2023-05-04; overlap with primary 23 d (label retired)</t>
  </si>
  <si>
    <t xml:space="preserve">Used 2023-01-09 to 2025-08-04</t>
  </si>
  <si>
    <t xml:space="preserve">AO - Calgary Parking Authority</t>
  </si>
  <si>
    <t xml:space="preserve">Used 2023-01-17 to 2023-03-24; overlap with primary 66 d (label retired)</t>
  </si>
  <si>
    <t xml:space="preserve">Used 2023-05-15 to 2026-09-30</t>
  </si>
  <si>
    <t xml:space="preserve">Used 2023-01-29 to 2023-05-03; overlap with primary 0 d (label retired)</t>
  </si>
  <si>
    <t xml:space="preserve">Used 2023-04-27 to 2026-09-16</t>
  </si>
  <si>
    <t xml:space="preserve">Used 2023-01-04 to 2023-05-09; overlap with primary 12 d (label retired)</t>
  </si>
  <si>
    <t xml:space="preserve">Used 2023-05-23 to 2024-10-28</t>
  </si>
  <si>
    <t xml:space="preserve">Used 2023-01-05 to 2023-03-29; overlap with primary 0 d (label retired)</t>
  </si>
  <si>
    <t xml:space="preserve">Used 2023-04-03 to 2023-09-19</t>
  </si>
  <si>
    <t xml:space="preserve">Used 2023-01-03 to 2023-05-04; overlap with primary 31 d (label retired)</t>
  </si>
  <si>
    <t xml:space="preserve">Used 2023-02-03 to 2026-09-23</t>
  </si>
  <si>
    <t xml:space="preserve">Used 2023-01-23 to 2023-04-01; overlap with primary 57 d (label retired)</t>
  </si>
  <si>
    <t xml:space="preserve">Used 2023-04-12 to 2026-07-18</t>
  </si>
  <si>
    <t xml:space="preserve">Used 2023-05-12 to 2026-09-24</t>
  </si>
  <si>
    <t xml:space="preserve">Used 2023-01-11 to 2023-04-24; overlap with primary 0 d (label retired)</t>
  </si>
  <si>
    <t xml:space="preserve">Used 2023-06-05 to 2024-08-06</t>
  </si>
  <si>
    <t xml:space="preserve">Used 2023-03-22 to 2023-04-19; overlap with primary 0 d (label retired)</t>
  </si>
  <si>
    <t xml:space="preserve">Used 2023-03-29 to 2023-11-09</t>
  </si>
  <si>
    <t xml:space="preserve">Used 2023-01-25 to 2023-02-17; overlap with primary 0 d (label retired)</t>
  </si>
  <si>
    <t xml:space="preserve">Used 2023-01-03 to 2024-04-22</t>
  </si>
  <si>
    <t xml:space="preserve">CS - Calgary Parks</t>
  </si>
  <si>
    <t xml:space="preserve">Used 2023-01-03 to 2023-04-23; overlap with primary 110 d (label retired)</t>
  </si>
  <si>
    <t xml:space="preserve">Used 2023-01-09 to 2024-04-22</t>
  </si>
  <si>
    <t xml:space="preserve">Used 2023-01-02 to 2023-04-11; overlap with primary 92 d (label retired)</t>
  </si>
  <si>
    <t xml:space="preserve">Used 2023-01-02 to 2023-05-02; overlap with primary 106 d (label retired)</t>
  </si>
  <si>
    <t xml:space="preserve">Used 2023-03-21 to 2024-04-23</t>
  </si>
  <si>
    <t xml:space="preserve">Used 2023-01-02 to 2023-05-09; overlap with primary 49 d (label retired)</t>
  </si>
  <si>
    <t xml:space="preserve">Used 2023-01-03 to 2023-04-06; overlap with primary 93 d (label retired)</t>
  </si>
  <si>
    <t xml:space="preserve">Used 2023-01-04 to 2023-05-04; overlap with primary 120 d (label retired)</t>
  </si>
  <si>
    <t xml:space="preserve">Used 2023-02-27 to 2024-04-22</t>
  </si>
  <si>
    <t xml:space="preserve">Used 2023-01-02 to 2023-05-09; overlap with primary 71 d (label retired)</t>
  </si>
  <si>
    <t xml:space="preserve">Used 2023-03-21 to 2024-04-22</t>
  </si>
  <si>
    <t xml:space="preserve">Used 2023-04-28 to 2024-04-22</t>
  </si>
  <si>
    <t xml:space="preserve">Used 2023-01-03 to 2023-05-08; overlap with primary 10 d (label retired)</t>
  </si>
  <si>
    <t xml:space="preserve">Used 2023-04-30 to 2024-04-18</t>
  </si>
  <si>
    <t xml:space="preserve">Used 2023-01-07 to 2023-05-08; overlap with primary 8 d (label retired)</t>
  </si>
  <si>
    <t xml:space="preserve">Used 2023-03-10 to 2026-10-01</t>
  </si>
  <si>
    <t xml:space="preserve">Used 2023-01-03 to 2023-05-08; overlap with primary 59 d (label retired)</t>
  </si>
  <si>
    <t xml:space="preserve">Used 2023-01-05 to 2023-05-08; overlap with primary 123 d (label retired)</t>
  </si>
  <si>
    <t xml:space="preserve">Used 2023-01-26 to 2024-04-22</t>
  </si>
  <si>
    <t xml:space="preserve">Used 2023-01-03 to 2023-05-07; overlap with primary 101 d (label retired)</t>
  </si>
  <si>
    <t xml:space="preserve">Used 2023-02-09 to 2025-03-02</t>
  </si>
  <si>
    <t xml:space="preserve">Used 2023-01-03 to 2023-04-12; overlap with primary 62 d (label retired)</t>
  </si>
  <si>
    <t xml:space="preserve">Used 2023-05-04 to 2025-08-07</t>
  </si>
  <si>
    <t xml:space="preserve">Used 2023-01-04 to 2023-05-05; overlap with primary 1 d (label retired)</t>
  </si>
  <si>
    <t xml:space="preserve">Used 2023-04-29 to 2026-09-29</t>
  </si>
  <si>
    <t xml:space="preserve">Used 2023-01-16 to 2023-05-08; overlap with primary 9 d (label retired)</t>
  </si>
  <si>
    <t xml:space="preserve">Used 2023-04-11 to 2024-04-22</t>
  </si>
  <si>
    <t xml:space="preserve">Used 2023-02-02 to 2023-04-28; overlap with primary 17 d (label retired)</t>
  </si>
  <si>
    <t xml:space="preserve">Used 2023-04-01 to 2024-04-23</t>
  </si>
  <si>
    <t xml:space="preserve">Used 2023-01-03 to 2023-05-08; overlap with primary 37 d (label retired)</t>
  </si>
  <si>
    <t xml:space="preserve">Used 2023-05-29 to 2026-10-01</t>
  </si>
  <si>
    <t xml:space="preserve">Used 2023-03-13 to 2023-03-13; overlap with primary 0 d (label retired)</t>
  </si>
  <si>
    <t xml:space="preserve">Used 2023-03-06 to 2024-04-22</t>
  </si>
  <si>
    <t xml:space="preserve">Used 2023-01-18 to 2023-05-05; overlap with primary 60 d (label retired)</t>
  </si>
  <si>
    <t xml:space="preserve">Used 2023-04-28 to 2026-09-30</t>
  </si>
  <si>
    <t xml:space="preserve">Used 2023-01-11 to 2023-05-05; overlap with primary 7 d (label retired)</t>
  </si>
  <si>
    <t xml:space="preserve">Used 2023-04-20 to 2026-09-28</t>
  </si>
  <si>
    <t xml:space="preserve">Used 2023-01-09 to 2023-05-03; overlap with primary 13 d (label retired)</t>
  </si>
  <si>
    <t xml:space="preserve">Used 2023-03-22 to 2026-09-09</t>
  </si>
  <si>
    <t xml:space="preserve">Used 2023-01-30 to 2023-04-27; overlap with primary 36 d (label retired)</t>
  </si>
  <si>
    <t xml:space="preserve">Used 2023-04-10 to 2026-10-01</t>
  </si>
  <si>
    <t xml:space="preserve">Used 2023-01-10 to 2023-05-03; overlap with primary 23 d (label retired)</t>
  </si>
  <si>
    <t xml:space="preserve">Used 2023-05-04 to 2024-04-17</t>
  </si>
  <si>
    <t xml:space="preserve">Used 2023-01-03 to 2023-05-08; overlap with primary 4 d (label retired)</t>
  </si>
  <si>
    <t xml:space="preserve">Used 2023-04-13 to 2024-05-30</t>
  </si>
  <si>
    <t xml:space="preserve">Used 2023-01-04 to 2023-05-08; overlap with primary 25 d (label retired)</t>
  </si>
  <si>
    <t xml:space="preserve">Used 2023-05-05 to 2024-04-16</t>
  </si>
  <si>
    <t xml:space="preserve">Used 2023-01-02 to 2023-05-07; overlap with primary 2 d (label retired)</t>
  </si>
  <si>
    <t xml:space="preserve">Used 2023-04-21 to 2024-04-16</t>
  </si>
  <si>
    <t xml:space="preserve">Used 2023-01-09 to 2023-05-08; overlap with primary 17 d (label retired)</t>
  </si>
  <si>
    <t xml:space="preserve">Used 2023-05-11 to 2024-04-18</t>
  </si>
  <si>
    <t xml:space="preserve">Used 2023-02-03 to 2023-05-08; overlap with primary 0 d (label retired)</t>
  </si>
  <si>
    <t xml:space="preserve">Used 2023-06-21 to 2025-03-07</t>
  </si>
  <si>
    <t xml:space="preserve">Used 2023-03-16 to 2023-06-08; overlap with primary 0 d</t>
  </si>
  <si>
    <t xml:space="preserve">Used 2023-04-17 to 2023-05-04; overlap with primary 0 d (label retired)</t>
  </si>
  <si>
    <t xml:space="preserve">Used 2023-03-17 to 2025-03-03</t>
  </si>
  <si>
    <t xml:space="preserve">Used 2023-01-16 to 2023-04-04; overlap with primary 18 d (label retired)</t>
  </si>
  <si>
    <t xml:space="preserve">Used 2023-02-20 to 2024-04-22</t>
  </si>
  <si>
    <t xml:space="preserve">Used 2023-01-09 to 2023-05-03; overlap with primary 72 d (label retired)</t>
  </si>
  <si>
    <t xml:space="preserve">Used 2023-01-04 to 2023-05-08; overlap with primary 124 d (label retired)</t>
  </si>
  <si>
    <t xml:space="preserve">Used 2023-05-04 to 2026-10-01</t>
  </si>
  <si>
    <t xml:space="preserve">Used 2023-01-02 to 2023-05-04; overlap with primary 0 d (label retired)</t>
  </si>
  <si>
    <t xml:space="preserve">Used 2023-01-03 to 2023-05-07; overlap with primary 124 d (label retired)</t>
  </si>
  <si>
    <t xml:space="preserve">Used 2023-01-03 to 2026-09-30</t>
  </si>
  <si>
    <t xml:space="preserve">Used 2023-01-06 to 2023-05-09; overlap with primary 123 d (label retired)</t>
  </si>
  <si>
    <t xml:space="preserve">Used 2023-01-06 to 2026-09-23</t>
  </si>
  <si>
    <t xml:space="preserve">Used 2023-01-03 to 2023-05-08; overlap with primary 122 d (label retired)</t>
  </si>
  <si>
    <t xml:space="preserve">Used 2023-04-19 to 2026-09-30</t>
  </si>
  <si>
    <t xml:space="preserve">Used 2023-01-03 to 2023-04-18; overlap with primary 0 d (label retired)</t>
  </si>
  <si>
    <t xml:space="preserve">Used 2023-04-24 to 2026-09-29</t>
  </si>
  <si>
    <t xml:space="preserve">Used 2023-01-04 to 2023-05-09; overlap with primary 15 d (label retired)</t>
  </si>
  <si>
    <t xml:space="preserve">Used 2023-05-15 to 2026-09-12</t>
  </si>
  <si>
    <t xml:space="preserve">Used 2023-04-27 to 2023-05-01; overlap with primary 0 d (label retired)</t>
  </si>
  <si>
    <t xml:space="preserve">Used 2023-01-02 to 2023-04-28; overlap with primary 1 d (label retired)</t>
  </si>
  <si>
    <t xml:space="preserve">Used 2023-01-10 to 2026-09-28</t>
  </si>
  <si>
    <t xml:space="preserve">Used 2023-01-27 to 2023-03-03; overlap with primary 35 d (label retired)</t>
  </si>
  <si>
    <t xml:space="preserve">Used 2023-01-02 to 2026-09-24</t>
  </si>
  <si>
    <t xml:space="preserve">Used 2023-01-16 to 2023-05-09; overlap with primary 113 d (label retired)</t>
  </si>
  <si>
    <t xml:space="preserve">Used 2023-05-01 to 2026-09-27</t>
  </si>
  <si>
    <t xml:space="preserve">Used 2023-01-02 to 2023-04-27; overlap with primary 0 d (label retired)</t>
  </si>
  <si>
    <t xml:space="preserve">Used 2023-01-16 to 2026-09-23</t>
  </si>
  <si>
    <t xml:space="preserve">Used 2023-01-10 to 2023-04-14; overlap with primary 88 d (label retired)</t>
  </si>
  <si>
    <t xml:space="preserve">Used 2023-05-10 to 2026-09-04</t>
  </si>
  <si>
    <t xml:space="preserve">Used 2023-01-09 to 2023-11-17 (label retired)</t>
  </si>
  <si>
    <t xml:space="preserve">Used 2023-01-02 to 2023-05-02; overlap with primary 113 d (label retired)</t>
  </si>
  <si>
    <t xml:space="preserve">Used 2023-02-09 to 2024-01-29 (label retired)</t>
  </si>
  <si>
    <t xml:space="preserve">Used 2023-01-03 to 2023-04-25; overlap with primary 75 d (label retired)</t>
  </si>
  <si>
    <t xml:space="preserve">Used 2023-05-08 to 2024-01-26 (label retired)</t>
  </si>
  <si>
    <t xml:space="preserve">Used 2023-01-30 to 2023-04-18; overlap with primary 0 d (label retired)</t>
  </si>
  <si>
    <t xml:space="preserve">Used 2023-01-19 to 2024-02-27 (label retired)</t>
  </si>
  <si>
    <t xml:space="preserve">Used 2023-01-02 to 2023-05-08; overlap with primary 87 d (label retired)</t>
  </si>
  <si>
    <t xml:space="preserve">Used 2023-02-01 to 2026-10-01</t>
  </si>
  <si>
    <t xml:space="preserve">Used 2023-01-02 to 2023-05-09; overlap with primary 97 d (label retired)</t>
  </si>
  <si>
    <t xml:space="preserve">Used 2023-03-02 to 2026-10-01</t>
  </si>
  <si>
    <t xml:space="preserve">Used 2023-01-02 to 2023-05-09; overlap with primary 68 d (label retired)</t>
  </si>
  <si>
    <t xml:space="preserve">Used 2023-01-02 to 2023-05-05; overlap with primary 121 d (label retired)</t>
  </si>
  <si>
    <t xml:space="preserve">Used 2023-01-02 to 2023-05-09; overlap with primary 122 d (label retired)</t>
  </si>
  <si>
    <t xml:space="preserve">Used 2023-01-03 to 2023-05-08; overlap with primary 105 d (label retired)</t>
  </si>
  <si>
    <t xml:space="preserve">Used 2023-01-16 to 2026-09-30</t>
  </si>
  <si>
    <t xml:space="preserve">Used 2023-01-04 to 2025-05-05</t>
  </si>
  <si>
    <t xml:space="preserve">Used 2023-01-02 to 2023-05-04; overlap with primary 115 d (label retired)</t>
  </si>
  <si>
    <t xml:space="preserve">Used 2023-01-02 to 2023-05-07; overlap with primary 115 d (label retired)</t>
  </si>
  <si>
    <t xml:space="preserve">Used 2023-02-01 to 2023-05-09; overlap with primary 97 d (label retired)</t>
  </si>
  <si>
    <t xml:space="preserve">Used 2023-04-14 to 2026-10-01</t>
  </si>
  <si>
    <t xml:space="preserve">Used 2023-01-03 to 2023-05-08; overlap with primary 24 d (label retired)</t>
  </si>
  <si>
    <t xml:space="preserve">Used 2023-04-13 to 2026-10-01</t>
  </si>
  <si>
    <t xml:space="preserve">Used 2023-01-02 to 2023-05-09; overlap with primary 26 d (label retired)</t>
  </si>
  <si>
    <t xml:space="preserve">Used 2023-03-01 to 2026-10-01</t>
  </si>
  <si>
    <t xml:space="preserve">Used 2023-01-03 to 2023-05-08; overlap with primary 68 d (label retired)</t>
  </si>
  <si>
    <t xml:space="preserve">Used 2023-02-14 to 2026-10-01</t>
  </si>
  <si>
    <t xml:space="preserve">Used 2023-01-03 to 2023-05-08; overlap with primary 83 d (label retired)</t>
  </si>
  <si>
    <t xml:space="preserve">Used 2023-01-30 to 2026-07-23</t>
  </si>
  <si>
    <t xml:space="preserve">Used 2023-01-04 to 2023-05-03; overlap with primary 93 d (label retired)</t>
  </si>
  <si>
    <t xml:space="preserve">Used 2023-01-04 to 2026-09-29</t>
  </si>
  <si>
    <t xml:space="preserve">Used 2023-02-08 to 2026-09-29</t>
  </si>
  <si>
    <t xml:space="preserve">Used 2023-01-10 to 2023-05-04; overlap with primary 85 d (label retired)</t>
  </si>
  <si>
    <t xml:space="preserve">Used 2023-01-06 to 2026-09-29</t>
  </si>
  <si>
    <t xml:space="preserve">Used 2023-01-09 to 2023-04-17; overlap with primary 98 d (label retired)</t>
  </si>
  <si>
    <t xml:space="preserve">Used 2023-01-02 to 2023-05-06; overlap with primary 100 d (label retired)</t>
  </si>
  <si>
    <t xml:space="preserve">Used 2023-05-09 to 2024-04-10</t>
  </si>
  <si>
    <t xml:space="preserve">Used 2023-01-05 to 2023-05-09; overlap with primary 0 d (label retired)</t>
  </si>
  <si>
    <t xml:space="preserve">Used 2023-03-30 to 2026-10-01</t>
  </si>
  <si>
    <t xml:space="preserve">Used 2023-01-05 to 2023-04-27; overlap with primary 28 d (label retired)</t>
  </si>
  <si>
    <t xml:space="preserve">Used 2023-01-27 to 2026-10-01</t>
  </si>
  <si>
    <t xml:space="preserve">Used 2023-01-02 to 2023-04-27; overlap with primary 90 d (label retired)</t>
  </si>
  <si>
    <t xml:space="preserve">Used 2023-03-31 to 2025-09-12</t>
  </si>
  <si>
    <t xml:space="preserve">Used 2023-01-03 to 2023-04-29; overlap with primary 29 d (label retired)</t>
  </si>
  <si>
    <t xml:space="preserve">Used 2023-04-05 to 2026-09-29</t>
  </si>
  <si>
    <t xml:space="preserve">Used 2023-01-11 to 2023-05-04; overlap with primary 29 d (label retired)</t>
  </si>
  <si>
    <t xml:space="preserve">Used 2023-03-13 to 2026-09-08</t>
  </si>
  <si>
    <t xml:space="preserve">Used 2023-01-04 to 2023-05-05; overlap with primary 53 d (label retired)</t>
  </si>
  <si>
    <t xml:space="preserve">Used 2023-05-16 to 2026-09-25</t>
  </si>
  <si>
    <t xml:space="preserve">Used 2023-01-13 to 2023-05-04; overlap with primary 0 d (label retired)</t>
  </si>
  <si>
    <t xml:space="preserve">Used 2023-05-05 to 2026-09-10</t>
  </si>
  <si>
    <t xml:space="preserve">Used 2023-01-09 to 2023-05-06; overlap with primary 1 d (label retired)</t>
  </si>
  <si>
    <t xml:space="preserve">Used 2023-04-30 to 2026-10-01</t>
  </si>
  <si>
    <t xml:space="preserve">Used 2023-01-18 to 2023-05-03; overlap with primary 3 d (label retired)</t>
  </si>
  <si>
    <t xml:space="preserve">Used 2023-02-02 to 2025-04-22</t>
  </si>
  <si>
    <t xml:space="preserve">Used 2023-01-05 to 2023-04-18; overlap with primary 75 d (label retired)</t>
  </si>
  <si>
    <t xml:space="preserve">Used 2023-03-29 to 2026-09-30</t>
  </si>
  <si>
    <t xml:space="preserve">Used 2023-05-02 to 2023-05-02; overlap with primary 0 d (label retired)</t>
  </si>
  <si>
    <t xml:space="preserve">Used 2023-05-11 to 2025-04-26</t>
  </si>
  <si>
    <t xml:space="preserve">Used 2023-01-16 to 2023-05-08; overlap with primary 0 d (label retired)</t>
  </si>
  <si>
    <t xml:space="preserve">Tranc - Calgary Transit</t>
  </si>
  <si>
    <t xml:space="preserve">Used 2023-01-02 to 2023-11-14; overlap with primary 309 d (label retired)</t>
  </si>
  <si>
    <t xml:space="preserve">Used 2023-01-20 to 2026-10-01</t>
  </si>
  <si>
    <t xml:space="preserve">Used 2023-01-04 to 2023-11-10; overlap with primary 294 d (label retired)</t>
  </si>
  <si>
    <t xml:space="preserve">Used 2023-05-24 to 2026-09-29</t>
  </si>
  <si>
    <t xml:space="preserve">Used 2023-01-03 to 2023-11-14; overlap with primary 174 d (label retired)</t>
  </si>
  <si>
    <t xml:space="preserve">Uepc - Waste and Recycling Services</t>
  </si>
  <si>
    <t xml:space="preserve">Used 2023-01-02 to 2023-08-25; overlap with primary 226 d (label retired)</t>
  </si>
  <si>
    <t xml:space="preserve">Used 2023-03-29 to 2023-09-05; overlap with primary 41 d</t>
  </si>
  <si>
    <t xml:space="preserve">Used 2023-04-27 to 2023-09-05; overlap with primary 12 d</t>
  </si>
  <si>
    <t xml:space="preserve">Used 2023-01-03 to 2023-05-09 (label retired)</t>
  </si>
  <si>
    <t xml:space="preserve">Used 2023-02-17 to 2023-09-05; overlap with primary 81 d</t>
  </si>
  <si>
    <t xml:space="preserve">Used 2023-03-07 to 2023-05-23; overlap with primary 63 d</t>
  </si>
  <si>
    <t xml:space="preserve">Used 2023-01-02 to 2023-05-08 (label retired)</t>
  </si>
  <si>
    <t xml:space="preserve">Used 2023-03-15 to 2023-09-05; overlap with primary 54 d</t>
  </si>
  <si>
    <t xml:space="preserve">Used 2023-01-06 to 2023-05-08 (label retired)</t>
  </si>
  <si>
    <t xml:space="preserve">Used 2023-05-09 to 2023-08-25; overlap with primary 0 d</t>
  </si>
  <si>
    <t xml:space="preserve">Used 2023-01-04 to 2023-05-09 (label retired)</t>
  </si>
  <si>
    <t xml:space="preserve">Used 2023-05-10 to 2023-09-05; overlap with primary 0 d</t>
  </si>
  <si>
    <t xml:space="preserve">Used 2023-01-03 to 2023-04-19 (label retired)</t>
  </si>
  <si>
    <t xml:space="preserve">Used 2023-05-23 to 2023-05-23; overlap with primary 0 d</t>
  </si>
  <si>
    <t xml:space="preserve">Used 2023-05-07 to 2023-11-04</t>
  </si>
  <si>
    <t xml:space="preserve">PD - Calgary Growth Strategies</t>
  </si>
  <si>
    <t xml:space="preserve">Used 2023-01-13 to 2023-04-04; overlap with primary 0 d (label retired)</t>
  </si>
  <si>
    <t xml:space="preserve">Used 2023-06-12 to 2023-09-29</t>
  </si>
  <si>
    <t xml:space="preserve">Used 2023-01-06 to 2023-04-15; overlap with primary 0 d (label retired)</t>
  </si>
  <si>
    <t xml:space="preserve">Used 2023-03-15 to 2023-07-26</t>
  </si>
  <si>
    <t xml:space="preserve">Used 2023-02-06 to 2023-04-04; overlap with primary 20 d (label retired)</t>
  </si>
  <si>
    <t xml:space="preserve">Used 2023-05-23 to 2023-09-18</t>
  </si>
  <si>
    <t xml:space="preserve">Used 2023-06-13 to 2023-08-16</t>
  </si>
  <si>
    <t xml:space="preserve">Used 2023-01-26 to 2023-01-26; overlap with primary 0 d (label retired)</t>
  </si>
  <si>
    <t xml:space="preserve">Used 2023-04-24 to 2025-05-26</t>
  </si>
  <si>
    <t xml:space="preserve">PD - Community Planning</t>
  </si>
  <si>
    <t xml:space="preserve">Used 2023-01-09 to 2023-04-13; overlap with primary 0 d (label retired)</t>
  </si>
  <si>
    <t xml:space="preserve">Used 2023-04-19 to 2023-09-05</t>
  </si>
  <si>
    <t xml:space="preserve">Used 2023-01-02 to 2023-05-09; overlap with primary 20 d (label retired)</t>
  </si>
  <si>
    <t xml:space="preserve">Used 2023-04-03 to 2023-09-05</t>
  </si>
  <si>
    <t xml:space="preserve">Used 2023-01-02 to 2023-05-09; overlap with primary 36 d (label retired)</t>
  </si>
  <si>
    <t xml:space="preserve">Used 2023-02-27 to 2023-09-05</t>
  </si>
  <si>
    <t xml:space="preserve">Used 2023-04-25 to 2023-09-05</t>
  </si>
  <si>
    <t xml:space="preserve">Used 2023-01-02 to 2023-05-09; overlap with primary 14 d (label retired)</t>
  </si>
  <si>
    <t xml:space="preserve">Used 2023-05-09 to 2023-09-05</t>
  </si>
  <si>
    <t xml:space="preserve">Used 2023-03-27 to 2023-09-05</t>
  </si>
  <si>
    <t xml:space="preserve">Used 2023-01-02 to 2023-05-08; overlap with primary 42 d (label retired)</t>
  </si>
  <si>
    <t xml:space="preserve">Used 2023-05-02 to 2023-09-01</t>
  </si>
  <si>
    <t xml:space="preserve">Used 2023-01-02 to 2023-05-09; overlap with primary 7 d (label retired)</t>
  </si>
  <si>
    <t xml:space="preserve">Used 2023-01-15 to 2023-09-05</t>
  </si>
  <si>
    <t xml:space="preserve">Used 2023-01-02 to 2023-05-08; overlap with primary 113 d (label retired)</t>
  </si>
  <si>
    <t xml:space="preserve">Used 2023-01-05 to 2023-09-05</t>
  </si>
  <si>
    <t xml:space="preserve">Used 2023-04-03 to 2023-09-03</t>
  </si>
  <si>
    <t xml:space="preserve">Used 2023-01-02 to 2023-05-08; overlap with primary 35 d (label retired)</t>
  </si>
  <si>
    <t xml:space="preserve">Used 2023-03-30 to 2023-08-31</t>
  </si>
  <si>
    <t xml:space="preserve">Used 2023-01-02 to 2023-05-09; overlap with primary 40 d (label retired)</t>
  </si>
  <si>
    <t xml:space="preserve">Used 2023-02-17 to 2023-09-03</t>
  </si>
  <si>
    <t xml:space="preserve">Used 2023-01-08 to 2023-05-08; overlap with primary 80 d (label retired)</t>
  </si>
  <si>
    <t xml:space="preserve">Used 2023-03-17 to 2023-08-31</t>
  </si>
  <si>
    <t xml:space="preserve">Used 2023-01-11 to 2023-05-08; overlap with primary 52 d (label retired)</t>
  </si>
  <si>
    <t xml:space="preserve">Used 2023-04-20 to 2026-03-31</t>
  </si>
  <si>
    <t xml:space="preserve">Used 2023-05-05 to 2026-03-24</t>
  </si>
  <si>
    <t xml:space="preserve">Used 2023-01-12 to 2023-05-05; overlap with primary 0 d (label retired)</t>
  </si>
  <si>
    <t xml:space="preserve">REAL SPLIT</t>
  </si>
  <si>
    <t xml:space="preserve">Used 2023-01-16 to 2026-03-12</t>
  </si>
  <si>
    <t xml:space="preserve">Used 2025-07-16 to 2025-12-11; overlap with primary 148 d</t>
  </si>
  <si>
    <t xml:space="preserve">Used 2023-02-01 to 2023-11-14</t>
  </si>
  <si>
    <t xml:space="preserve">Used 2023-01-05 to 2023-05-03; overlap with primary 91 d (label retired)</t>
  </si>
  <si>
    <t xml:space="preserve">Used 2023-01-19 to 2023-10-17</t>
  </si>
  <si>
    <t xml:space="preserve">Used 2023-03-22 to 2023-04-27; overlap with primary 36 d (label retired)</t>
  </si>
  <si>
    <t xml:space="preserve">Used 2023-05-09 to 2026-02-20</t>
  </si>
  <si>
    <t xml:space="preserve">Used 2023-01-05 to 2023-02-14; overlap with primary 0 d (label retired)</t>
  </si>
  <si>
    <t xml:space="preserve">Used 2023-12-05 to 2025-01-02</t>
  </si>
  <si>
    <t xml:space="preserve">Used 2023-01-02 to 2023-01-02; overlap with primary 0 d (label retired)</t>
  </si>
  <si>
    <t xml:space="preserve">Used 2023-07-10 to 2023-09-07</t>
  </si>
  <si>
    <t xml:space="preserve">Used 2023-01-15 to 2023-04-21; overlap with primary 0 d (label retired)</t>
  </si>
  <si>
    <t xml:space="preserve">Used 2023-06-09 to 2023-10-23</t>
  </si>
  <si>
    <t xml:space="preserve">Used 2023-02-15 to 2023-02-15; overlap with primary 0 d (label retired)</t>
  </si>
  <si>
    <t xml:space="preserve">Used 2023-06-26 to 2023-06-26</t>
  </si>
  <si>
    <t xml:space="preserve">Used 2023-03-02 to 2023-03-02; overlap with primary 0 d (label retired)</t>
  </si>
  <si>
    <t xml:space="preserve">Used 2023-03-01 to 2025-08-07</t>
  </si>
  <si>
    <t xml:space="preserve">CFOD - Customer Services and Communications</t>
  </si>
  <si>
    <t xml:space="preserve">Used 2023-01-02 to 2023-05-15; overlap with primary 75 d (label retired)</t>
  </si>
  <si>
    <t xml:space="preserve">Used 2023-05-05 to 2025-06-26</t>
  </si>
  <si>
    <t xml:space="preserve">Used 2023-01-02 to 2023-05-09; overlap with primary 4 d (label retired)</t>
  </si>
  <si>
    <t xml:space="preserve">Used 2023-01-03 to 2026-04-02</t>
  </si>
  <si>
    <t xml:space="preserve">Used 2023-05-02 to 2026-03-24</t>
  </si>
  <si>
    <t xml:space="preserve">Used 2023-01-02 to 2023-03-29; overlap with primary 0 d (label retired)</t>
  </si>
  <si>
    <t xml:space="preserve">Used 2023-03-31 to 2025-08-05</t>
  </si>
  <si>
    <t xml:space="preserve">Used 2023-02-27 to 2023-02-27; overlap with primary 0 d (label retired)</t>
  </si>
  <si>
    <t xml:space="preserve">CFOD - Human Resources</t>
  </si>
  <si>
    <t xml:space="preserve">Used 2023-01-03 to 2023-05-03; overlap with primary 120 d (label retired)</t>
  </si>
  <si>
    <t xml:space="preserve">Used 2023-08-16 to 2026-06-30</t>
  </si>
  <si>
    <t xml:space="preserve">CFOD - Information Technology</t>
  </si>
  <si>
    <t xml:space="preserve">Used 2023-01-31 to 2023-01-31; overlap with primary 0 d (label retired)</t>
  </si>
  <si>
    <t xml:space="preserve">Used 2023-01-26 to 2023-01-26 (label retired)</t>
  </si>
  <si>
    <t xml:space="preserve">Used 2023-01-19 to 2023-01-19; overlap with primary 0 d (label retired)</t>
  </si>
  <si>
    <t xml:space="preserve">Used 2023-01-03 to 2025-04-15 (label retired)</t>
  </si>
  <si>
    <t xml:space="preserve">IS - Green Line LRT - SE Project</t>
  </si>
  <si>
    <t xml:space="preserve">Used 2025-03-14 to 2026-09-21; overlap with primary 32 d</t>
  </si>
  <si>
    <t xml:space="preserve">Used 2023-04-18 to 2023-07-19; overlap with primary 21 d</t>
  </si>
  <si>
    <t xml:space="preserve">Used 2023-01-04 to 2023-04-30 (label retired)</t>
  </si>
  <si>
    <t xml:space="preserve">Used 2023-04-17 to 2023-05-12; overlap with primary 13 d</t>
  </si>
  <si>
    <t xml:space="preserve">Used 2023-03-10 to 2023-10-25; overlap with primary 60 d (label retired)</t>
  </si>
  <si>
    <t xml:space="preserve">Used 2023-01-05 to 2023-06-16; overlap with primary 123 d</t>
  </si>
  <si>
    <t xml:space="preserve">Used 2023-01-03 to 2023-05-08 (label retired)</t>
  </si>
  <si>
    <t xml:space="preserve">Used 2023-05-16 to 2023-06-14; overlap with primary 0 d</t>
  </si>
  <si>
    <t xml:space="preserve">Used 2023-01-05 to 2023-05-08 (label retired)</t>
  </si>
  <si>
    <t xml:space="preserve">Used 2023-05-09 to 2023-06-12; overlap with primary 0 d</t>
  </si>
  <si>
    <t xml:space="preserve">Used 2023-01-03 to 2023-04-26 (label retired)</t>
  </si>
  <si>
    <t xml:space="preserve">Used 2023-03-10 to 2023-03-10; overlap with primary 0 d</t>
  </si>
  <si>
    <t xml:space="preserve">Used 2023-01-05 to 2023-04-19 (label retired)</t>
  </si>
  <si>
    <t xml:space="preserve">Used 2023-05-02 to 2023-06-16; overlap with primary 0 d</t>
  </si>
  <si>
    <t xml:space="preserve">Used 2023-01-25 to 2023-04-13 (label retired)</t>
  </si>
  <si>
    <t xml:space="preserve">Used 2023-05-31 to 2023-07-12; overlap with primary 0 d</t>
  </si>
  <si>
    <t xml:space="preserve">Used 2023-01-26 to 2023-05-09 (label retired)</t>
  </si>
  <si>
    <t xml:space="preserve">Used 2023-05-03 to 2024-03-21; overlap with primary 6 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</si>
</sst>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"/>
    <numFmt numFmtId="167" formatCode="0.0%"/>
    <numFmt numFmtId="168" formatCode="General"/>
    <numFmt numFmtId="169" formatCode="0"/>
    <numFmt numFmtId="170" formatCode="yyyy\-mm\-dd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P2" activePane="bottomRight" state="frozen"/>
      <selection pane="topLeft" activeCell="A1" activeCellId="0" sqref="A1"/>
      <selection pane="topRight" activeCell="P1" activeCellId="0" sqref="P1"/>
      <selection pane="bottomLeft" activeCell="A2" activeCellId="0" sqref="A2"/>
      <selection pane="bottomRight" activeCell="S2" activeCellId="0" sqref="S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5.79"/>
    <col collapsed="false" customWidth="true" hidden="false" outlineLevel="0" max="8" min="8" style="0" width="15.53"/>
    <col collapsed="false" customWidth="true" hidden="false" outlineLevel="0" max="9" min="9" style="0" width="16.26"/>
    <col collapsed="false" customWidth="true" hidden="false" outlineLevel="0" max="10" min="10" style="0" width="16.73"/>
    <col collapsed="false" customWidth="true" hidden="false" outlineLevel="0" max="11" min="11" style="0" width="18.67"/>
    <col collapsed="false" customWidth="true" hidden="false" outlineLevel="0" max="12" min="12" style="0" width="9"/>
    <col collapsed="false" customWidth="true" hidden="false" outlineLevel="0" max="13" min="13" style="0" width="18"/>
    <col collapsed="false" customWidth="true" hidden="false" outlineLevel="0" max="14" min="14" style="0" width="13.6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8" min="18" style="0" width="46"/>
    <col collapsed="false" customWidth="true" hidden="false" outlineLevel="0" max="19" min="19" style="0" width="12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"/>
      <c r="R1" s="3" t="s">
        <v>16</v>
      </c>
      <c r="S1" s="2"/>
    </row>
    <row r="2" customFormat="false" ht="14.25" hidden="false" customHeight="false" outlineLevel="0" collapsed="false">
      <c r="A2" s="4" t="s">
        <v>17</v>
      </c>
      <c r="B2" s="4" t="s">
        <v>18</v>
      </c>
      <c r="C2" s="5" t="n">
        <v>2</v>
      </c>
      <c r="D2" s="5" t="n">
        <v>23</v>
      </c>
      <c r="E2" s="5" t="n">
        <v>0</v>
      </c>
      <c r="F2" s="5" t="n">
        <v>0</v>
      </c>
      <c r="G2" s="5" t="n">
        <v>0</v>
      </c>
      <c r="H2" s="5" t="n">
        <v>23</v>
      </c>
      <c r="I2" s="6" t="n">
        <v>0</v>
      </c>
      <c r="J2" s="6" t="n">
        <v>0</v>
      </c>
      <c r="K2" s="6" t="n">
        <v>0</v>
      </c>
      <c r="L2" s="6" t="n">
        <v>0</v>
      </c>
      <c r="M2" s="4" t="str">
        <f aca="false">IF(AND(K2="",L2=""),"No closed tickets",IF(K2="","MISSING in catalog",IF(L2="","No valid closed tickets",IF(AND(ABS(K2-L2)&gt;=$S$3,ABS(K2-L2)&gt;=$S$4*MAX(L2,1)),"FAR OFF","OK"))))</f>
        <v>OK</v>
      </c>
      <c r="N2" s="7" t="n">
        <f aca="false">D2/SUMIFS($D$2:$D$741,$B$2:$B$741,B2)</f>
        <v>1</v>
      </c>
      <c r="O2" s="7" t="n">
        <f aca="false">SUMIFS($D$2:D2,$B$2:B2,B2)/SUMIFS($D$2:$D$741,$B$2:$B$741,B2)</f>
        <v>1</v>
      </c>
      <c r="P2" s="8" t="b">
        <f aca="false">O2-N2&lt;$S$2</f>
        <v>1</v>
      </c>
      <c r="Q2" s="2"/>
      <c r="R2" s="4" t="s">
        <v>19</v>
      </c>
      <c r="S2" s="9" t="n">
        <v>0.95</v>
      </c>
    </row>
    <row r="3" customFormat="false" ht="14.25" hidden="false" customHeight="false" outlineLevel="0" collapsed="false">
      <c r="A3" s="10" t="s">
        <v>20</v>
      </c>
      <c r="B3" s="10" t="s">
        <v>21</v>
      </c>
      <c r="C3" s="11" t="n">
        <v>2</v>
      </c>
      <c r="D3" s="11" t="n">
        <v>214</v>
      </c>
      <c r="E3" s="11" t="n">
        <v>37</v>
      </c>
      <c r="F3" s="11" t="n">
        <v>5</v>
      </c>
      <c r="G3" s="11" t="n">
        <v>3</v>
      </c>
      <c r="H3" s="11" t="n">
        <v>206</v>
      </c>
      <c r="I3" s="12" t="n">
        <v>7</v>
      </c>
      <c r="J3" s="12" t="n">
        <v>18.2</v>
      </c>
      <c r="K3" s="12" t="n">
        <v>46</v>
      </c>
      <c r="L3" s="12" t="n">
        <v>46</v>
      </c>
      <c r="M3" s="10" t="str">
        <f aca="false">IF(AND(K3="",L3=""),"No closed tickets",IF(K3="","MISSING in catalog",IF(L3="","No valid closed tickets",IF(AND(ABS(K3-L3)&gt;=$S$3,ABS(K3-L3)&gt;=$S$4*MAX(L3,1)),"FAR OFF","OK"))))</f>
        <v>OK</v>
      </c>
      <c r="N3" s="13" t="n">
        <f aca="false">D3/SUMIFS($D$2:$D$741,$B$2:$B$741,B3)</f>
        <v>1</v>
      </c>
      <c r="O3" s="13" t="n">
        <f aca="false">SUMIFS($D$2:D3,$B$2:B3,B3)/SUMIFS($D$2:$D$741,$B$2:$B$741,B3)</f>
        <v>1</v>
      </c>
      <c r="P3" s="14" t="b">
        <f aca="false">O3-N3&lt;$S$2</f>
        <v>1</v>
      </c>
      <c r="Q3" s="2"/>
      <c r="R3" s="4" t="s">
        <v>22</v>
      </c>
      <c r="S3" s="15" t="n">
        <v>5</v>
      </c>
    </row>
    <row r="4" customFormat="false" ht="14.25" hidden="false" customHeight="false" outlineLevel="0" collapsed="false">
      <c r="A4" s="10" t="s">
        <v>23</v>
      </c>
      <c r="B4" s="10" t="s">
        <v>24</v>
      </c>
      <c r="C4" s="11" t="n">
        <v>2</v>
      </c>
      <c r="D4" s="11" t="n">
        <v>25</v>
      </c>
      <c r="E4" s="11" t="n">
        <v>25</v>
      </c>
      <c r="F4" s="11" t="n">
        <v>0</v>
      </c>
      <c r="G4" s="11" t="n">
        <v>0</v>
      </c>
      <c r="H4" s="11" t="n">
        <v>25</v>
      </c>
      <c r="I4" s="12" t="n">
        <v>6</v>
      </c>
      <c r="J4" s="12" t="n">
        <v>21.6</v>
      </c>
      <c r="K4" s="12" t="n">
        <v>62</v>
      </c>
      <c r="L4" s="12" t="n">
        <v>62</v>
      </c>
      <c r="M4" s="10" t="str">
        <f aca="false">IF(AND(K4="",L4=""),"No closed tickets",IF(K4="","MISSING in catalog",IF(L4="","No valid closed tickets",IF(AND(ABS(K4-L4)&gt;=$S$3,ABS(K4-L4)&gt;=$S$4*MAX(L4,1)),"FAR OFF","OK"))))</f>
        <v>OK</v>
      </c>
      <c r="N4" s="13" t="n">
        <f aca="false">D4/SUMIFS($D$2:$D$741,$B$2:$B$741,B4)</f>
        <v>1</v>
      </c>
      <c r="O4" s="13" t="n">
        <f aca="false">SUMIFS($D$2:D4,$B$2:B4,B4)/SUMIFS($D$2:$D$741,$B$2:$B$741,B4)</f>
        <v>1</v>
      </c>
      <c r="P4" s="14" t="b">
        <f aca="false">O4-N4&lt;$S$2</f>
        <v>1</v>
      </c>
      <c r="Q4" s="2"/>
      <c r="R4" s="4" t="s">
        <v>25</v>
      </c>
      <c r="S4" s="9" t="n">
        <v>0.2</v>
      </c>
    </row>
    <row r="5" customFormat="false" ht="14.25" hidden="false" customHeight="false" outlineLevel="0" collapsed="false">
      <c r="A5" s="10" t="s">
        <v>26</v>
      </c>
      <c r="B5" s="10" t="s">
        <v>27</v>
      </c>
      <c r="C5" s="11" t="n">
        <v>1</v>
      </c>
      <c r="D5" s="11" t="n">
        <v>50951</v>
      </c>
      <c r="E5" s="11" t="n">
        <v>7326</v>
      </c>
      <c r="F5" s="11" t="n">
        <v>0</v>
      </c>
      <c r="G5" s="11" t="n">
        <v>0</v>
      </c>
      <c r="H5" s="11" t="n">
        <v>50951</v>
      </c>
      <c r="I5" s="12" t="n">
        <v>3</v>
      </c>
      <c r="J5" s="12" t="n">
        <v>6.7</v>
      </c>
      <c r="K5" s="12" t="n">
        <v>10</v>
      </c>
      <c r="L5" s="12" t="n">
        <v>10</v>
      </c>
      <c r="M5" s="10" t="str">
        <f aca="false">IF(AND(K5="",L5=""),"No closed tickets",IF(K5="","MISSING in catalog",IF(L5="","No valid closed tickets",IF(AND(ABS(K5-L5)&gt;=$S$3,ABS(K5-L5)&gt;=$S$4*MAX(L5,1)),"FAR OFF","OK"))))</f>
        <v>OK</v>
      </c>
      <c r="N5" s="13" t="n">
        <f aca="false">D5/SUMIFS($D$2:$D$741,$B$2:$B$741,B5)</f>
        <v>0.291340023443977</v>
      </c>
      <c r="O5" s="13" t="n">
        <f aca="false">SUMIFS($D$2:D5,$B$2:B5,B5)/SUMIFS($D$2:$D$741,$B$2:$B$741,B5)</f>
        <v>0.291340023443977</v>
      </c>
      <c r="P5" s="14" t="b">
        <f aca="false">O5-N5&lt;$S$2</f>
        <v>1</v>
      </c>
      <c r="Q5" s="2"/>
      <c r="R5" s="2"/>
      <c r="S5" s="2"/>
    </row>
    <row r="6" customFormat="false" ht="14.25" hidden="false" customHeight="false" outlineLevel="0" collapsed="false">
      <c r="A6" s="4" t="s">
        <v>28</v>
      </c>
      <c r="B6" s="4" t="s">
        <v>27</v>
      </c>
      <c r="C6" s="5" t="n">
        <v>2</v>
      </c>
      <c r="D6" s="5" t="n">
        <v>37458</v>
      </c>
      <c r="E6" s="5" t="n">
        <v>0</v>
      </c>
      <c r="F6" s="5" t="n">
        <v>0</v>
      </c>
      <c r="G6" s="5" t="n">
        <v>0</v>
      </c>
      <c r="H6" s="5" t="n">
        <v>37458</v>
      </c>
      <c r="I6" s="6" t="n">
        <v>5</v>
      </c>
      <c r="J6" s="6" t="n">
        <v>5.3</v>
      </c>
      <c r="K6" s="6" t="n">
        <v>9</v>
      </c>
      <c r="L6" s="6" t="n">
        <v>9</v>
      </c>
      <c r="M6" s="4" t="str">
        <f aca="false">IF(AND(K6="",L6=""),"No closed tickets",IF(K6="","MISSING in catalog",IF(L6="","No valid closed tickets",IF(AND(ABS(K6-L6)&gt;=$S$3,ABS(K6-L6)&gt;=$S$4*MAX(L6,1)),"FAR OFF","OK"))))</f>
        <v>OK</v>
      </c>
      <c r="N6" s="7" t="n">
        <f aca="false">D6/SUMIFS($D$2:$D$741,$B$2:$B$741,B6)</f>
        <v>0.214186465391543</v>
      </c>
      <c r="O6" s="7" t="n">
        <f aca="false">SUMIFS($D$2:D6,$B$2:B6,B6)/SUMIFS($D$2:$D$741,$B$2:$B$741,B6)</f>
        <v>0.505526488835521</v>
      </c>
      <c r="P6" s="8" t="b">
        <f aca="false">O6-N6&lt;$S$2</f>
        <v>1</v>
      </c>
      <c r="Q6" s="2"/>
      <c r="R6" s="3" t="s">
        <v>29</v>
      </c>
      <c r="S6" s="2"/>
    </row>
    <row r="7" customFormat="false" ht="14.25" hidden="false" customHeight="false" outlineLevel="0" collapsed="false">
      <c r="A7" s="4" t="s">
        <v>30</v>
      </c>
      <c r="B7" s="4" t="s">
        <v>27</v>
      </c>
      <c r="C7" s="5" t="n">
        <v>2</v>
      </c>
      <c r="D7" s="5" t="n">
        <v>28318</v>
      </c>
      <c r="E7" s="5" t="n">
        <v>0</v>
      </c>
      <c r="F7" s="5" t="n">
        <v>0</v>
      </c>
      <c r="G7" s="5" t="n">
        <v>0</v>
      </c>
      <c r="H7" s="5" t="n">
        <v>28318</v>
      </c>
      <c r="I7" s="6" t="n">
        <v>4</v>
      </c>
      <c r="J7" s="6" t="n">
        <v>4.3</v>
      </c>
      <c r="K7" s="6" t="n">
        <v>7</v>
      </c>
      <c r="L7" s="6" t="n">
        <v>7</v>
      </c>
      <c r="M7" s="4" t="str">
        <f aca="false">IF(AND(K7="",L7=""),"No closed tickets",IF(K7="","MISSING in catalog",IF(L7="","No valid closed tickets",IF(AND(ABS(K7-L7)&gt;=$S$3,ABS(K7-L7)&gt;=$S$4*MAX(L7,1)),"FAR OFF","OK"))))</f>
        <v>OK</v>
      </c>
      <c r="N7" s="7" t="n">
        <f aca="false">D7/SUMIFS($D$2:$D$741,$B$2:$B$741,B7)</f>
        <v>0.161923549761272</v>
      </c>
      <c r="O7" s="7" t="n">
        <f aca="false">SUMIFS($D$2:D7,$B$2:B7,B7)/SUMIFS($D$2:$D$741,$B$2:$B$741,B7)</f>
        <v>0.667450038596792</v>
      </c>
      <c r="P7" s="8" t="b">
        <f aca="false">O7-N7&lt;$S$2</f>
        <v>1</v>
      </c>
      <c r="Q7" s="2"/>
      <c r="R7" s="4" t="s">
        <v>31</v>
      </c>
      <c r="S7" s="2"/>
    </row>
    <row r="8" customFormat="false" ht="14.25" hidden="false" customHeight="false" outlineLevel="0" collapsed="false">
      <c r="A8" s="4" t="s">
        <v>32</v>
      </c>
      <c r="B8" s="4" t="s">
        <v>27</v>
      </c>
      <c r="C8" s="5" t="n">
        <v>2</v>
      </c>
      <c r="D8" s="5" t="n">
        <v>9991</v>
      </c>
      <c r="E8" s="5" t="n">
        <v>0</v>
      </c>
      <c r="F8" s="5" t="n">
        <v>0</v>
      </c>
      <c r="G8" s="5" t="n">
        <v>0</v>
      </c>
      <c r="H8" s="5" t="n">
        <v>9991</v>
      </c>
      <c r="I8" s="6" t="n">
        <v>4</v>
      </c>
      <c r="J8" s="6" t="n">
        <v>4.3</v>
      </c>
      <c r="K8" s="6" t="n">
        <v>8</v>
      </c>
      <c r="L8" s="6" t="n">
        <v>8</v>
      </c>
      <c r="M8" s="4" t="str">
        <f aca="false">IF(AND(K8="",L8=""),"No closed tickets",IF(K8="","MISSING in catalog",IF(L8="","No valid closed tickets",IF(AND(ABS(K8-L8)&gt;=$S$3,ABS(K8-L8)&gt;=$S$4*MAX(L8,1)),"FAR OFF","OK"))))</f>
        <v>OK</v>
      </c>
      <c r="N8" s="7" t="n">
        <f aca="false">D8/SUMIFS($D$2:$D$741,$B$2:$B$741,B8)</f>
        <v>0.0571289704663064</v>
      </c>
      <c r="O8" s="7" t="n">
        <f aca="false">SUMIFS($D$2:D8,$B$2:B8,B8)/SUMIFS($D$2:$D$741,$B$2:$B$741,B8)</f>
        <v>0.724579009063099</v>
      </c>
      <c r="P8" s="8" t="b">
        <f aca="false">O8-N8&lt;$S$2</f>
        <v>1</v>
      </c>
      <c r="Q8" s="2"/>
      <c r="R8" s="4" t="s">
        <v>33</v>
      </c>
      <c r="S8" s="2"/>
    </row>
    <row r="9" customFormat="false" ht="14.25" hidden="false" customHeight="false" outlineLevel="0" collapsed="false">
      <c r="A9" s="4" t="s">
        <v>34</v>
      </c>
      <c r="B9" s="4" t="s">
        <v>27</v>
      </c>
      <c r="C9" s="5" t="n">
        <v>1</v>
      </c>
      <c r="D9" s="5" t="n">
        <v>9159</v>
      </c>
      <c r="E9" s="5" t="n">
        <v>7307</v>
      </c>
      <c r="F9" s="5" t="n">
        <v>24</v>
      </c>
      <c r="G9" s="5" t="n">
        <v>0</v>
      </c>
      <c r="H9" s="5" t="n">
        <v>9135</v>
      </c>
      <c r="I9" s="6" t="n">
        <v>4</v>
      </c>
      <c r="J9" s="6" t="n">
        <v>8.8</v>
      </c>
      <c r="K9" s="6" t="n">
        <v>16</v>
      </c>
      <c r="L9" s="6" t="n">
        <v>16</v>
      </c>
      <c r="M9" s="4" t="str">
        <f aca="false">IF(AND(K9="",L9=""),"No closed tickets",IF(K9="","MISSING in catalog",IF(L9="","No valid closed tickets",IF(AND(ABS(K9-L9)&gt;=$S$3,ABS(K9-L9)&gt;=$S$4*MAX(L9,1)),"FAR OFF","OK"))))</f>
        <v>OK</v>
      </c>
      <c r="N9" s="7" t="n">
        <f aca="false">D9/SUMIFS($D$2:$D$741,$B$2:$B$741,B9)</f>
        <v>0.0523715584526975</v>
      </c>
      <c r="O9" s="7" t="n">
        <f aca="false">SUMIFS($D$2:D9,$B$2:B9,B9)/SUMIFS($D$2:$D$741,$B$2:$B$741,B9)</f>
        <v>0.776950567515796</v>
      </c>
      <c r="P9" s="8" t="b">
        <f aca="false">O9-N9&lt;$S$2</f>
        <v>1</v>
      </c>
      <c r="Q9" s="2"/>
      <c r="R9" s="4" t="s">
        <v>35</v>
      </c>
      <c r="S9" s="2"/>
    </row>
    <row r="10" customFormat="false" ht="14.25" hidden="false" customHeight="false" outlineLevel="0" collapsed="false">
      <c r="A10" s="4" t="s">
        <v>36</v>
      </c>
      <c r="B10" s="4" t="s">
        <v>27</v>
      </c>
      <c r="C10" s="5" t="n">
        <v>2</v>
      </c>
      <c r="D10" s="5" t="n">
        <v>6901</v>
      </c>
      <c r="E10" s="5" t="n">
        <v>0</v>
      </c>
      <c r="F10" s="5" t="n">
        <v>0</v>
      </c>
      <c r="G10" s="5" t="n">
        <v>0</v>
      </c>
      <c r="H10" s="5" t="n">
        <v>6901</v>
      </c>
      <c r="I10" s="6" t="n">
        <v>2</v>
      </c>
      <c r="J10" s="6" t="n">
        <v>2.6</v>
      </c>
      <c r="K10" s="6" t="n">
        <v>6</v>
      </c>
      <c r="L10" s="6" t="n">
        <v>6</v>
      </c>
      <c r="M10" s="4" t="str">
        <f aca="false">IF(AND(K10="",L10=""),"No closed tickets",IF(K10="","MISSING in catalog",IF(L10="","No valid closed tickets",IF(AND(ABS(K10-L10)&gt;=$S$3,ABS(K10-L10)&gt;=$S$4*MAX(L10,1)),"FAR OFF","OK"))))</f>
        <v>OK</v>
      </c>
      <c r="N10" s="7" t="n">
        <f aca="false">D10/SUMIFS($D$2:$D$741,$B$2:$B$741,B10)</f>
        <v>0.0394602167138405</v>
      </c>
      <c r="O10" s="7" t="n">
        <f aca="false">SUMIFS($D$2:D10,$B$2:B10,B10)/SUMIFS($D$2:$D$741,$B$2:$B$741,B10)</f>
        <v>0.816410784229637</v>
      </c>
      <c r="P10" s="8" t="b">
        <f aca="false">O10-N10&lt;$S$2</f>
        <v>1</v>
      </c>
      <c r="Q10" s="2"/>
      <c r="R10" s="4" t="s">
        <v>37</v>
      </c>
      <c r="S10" s="2"/>
    </row>
    <row r="11" customFormat="false" ht="14.25" hidden="false" customHeight="false" outlineLevel="0" collapsed="false">
      <c r="A11" s="4" t="s">
        <v>38</v>
      </c>
      <c r="B11" s="4" t="s">
        <v>27</v>
      </c>
      <c r="C11" s="5" t="n">
        <v>1</v>
      </c>
      <c r="D11" s="5" t="n">
        <v>5101</v>
      </c>
      <c r="E11" s="5" t="n">
        <v>5101</v>
      </c>
      <c r="F11" s="5" t="n">
        <v>99</v>
      </c>
      <c r="G11" s="5" t="n">
        <v>4</v>
      </c>
      <c r="H11" s="5" t="n">
        <v>5002</v>
      </c>
      <c r="I11" s="6" t="n">
        <v>2</v>
      </c>
      <c r="J11" s="6" t="n">
        <v>2.2</v>
      </c>
      <c r="K11" s="6" t="n">
        <v>4</v>
      </c>
      <c r="L11" s="6" t="n">
        <v>4</v>
      </c>
      <c r="M11" s="4" t="str">
        <f aca="false">IF(AND(K11="",L11=""),"No closed tickets",IF(K11="","MISSING in catalog",IF(L11="","No valid closed tickets",IF(AND(ABS(K11-L11)&gt;=$S$3,ABS(K11-L11)&gt;=$S$4*MAX(L11,1)),"FAR OFF","OK"))))</f>
        <v>OK</v>
      </c>
      <c r="N11" s="7" t="n">
        <f aca="false">D11/SUMIFS($D$2:$D$741,$B$2:$B$741,B11)</f>
        <v>0.0291677387997827</v>
      </c>
      <c r="O11" s="7" t="n">
        <f aca="false">SUMIFS($D$2:D11,$B$2:B11,B11)/SUMIFS($D$2:$D$741,$B$2:$B$741,B11)</f>
        <v>0.845578523029419</v>
      </c>
      <c r="P11" s="8" t="b">
        <f aca="false">O11-N11&lt;$S$2</f>
        <v>1</v>
      </c>
      <c r="Q11" s="2"/>
      <c r="R11" s="4" t="s">
        <v>39</v>
      </c>
      <c r="S11" s="2"/>
    </row>
    <row r="12" customFormat="false" ht="14.25" hidden="false" customHeight="false" outlineLevel="0" collapsed="false">
      <c r="A12" s="4" t="s">
        <v>40</v>
      </c>
      <c r="B12" s="4" t="s">
        <v>27</v>
      </c>
      <c r="C12" s="5" t="n">
        <v>1</v>
      </c>
      <c r="D12" s="5" t="n">
        <v>4360</v>
      </c>
      <c r="E12" s="5" t="n">
        <v>426</v>
      </c>
      <c r="F12" s="5" t="n">
        <v>0</v>
      </c>
      <c r="G12" s="5" t="n">
        <v>0</v>
      </c>
      <c r="H12" s="5" t="n">
        <v>4360</v>
      </c>
      <c r="I12" s="6" t="n">
        <v>2</v>
      </c>
      <c r="J12" s="6" t="n">
        <v>2.4</v>
      </c>
      <c r="K12" s="6" t="n">
        <v>4</v>
      </c>
      <c r="L12" s="6" t="n">
        <v>4</v>
      </c>
      <c r="M12" s="4" t="str">
        <f aca="false">IF(AND(K12="",L12=""),"No closed tickets",IF(K12="","MISSING in catalog",IF(L12="","No valid closed tickets",IF(AND(ABS(K12-L12)&gt;=$S$3,ABS(K12-L12)&gt;=$S$4*MAX(L12,1)),"FAR OFF","OK"))))</f>
        <v>OK</v>
      </c>
      <c r="N12" s="7" t="n">
        <f aca="false">D12/SUMIFS($D$2:$D$741,$B$2:$B$741,B12)</f>
        <v>0.0249306687251623</v>
      </c>
      <c r="O12" s="7" t="n">
        <f aca="false">SUMIFS($D$2:D12,$B$2:B12,B12)/SUMIFS($D$2:$D$741,$B$2:$B$741,B12)</f>
        <v>0.870509191754582</v>
      </c>
      <c r="P12" s="8" t="b">
        <f aca="false">O12-N12&lt;$S$2</f>
        <v>1</v>
      </c>
      <c r="Q12" s="2"/>
      <c r="R12" s="4" t="s">
        <v>41</v>
      </c>
      <c r="S12" s="2"/>
    </row>
    <row r="13" customFormat="false" ht="14.25" hidden="false" customHeight="false" outlineLevel="0" collapsed="false">
      <c r="A13" s="4" t="s">
        <v>42</v>
      </c>
      <c r="B13" s="4" t="s">
        <v>27</v>
      </c>
      <c r="C13" s="5" t="n">
        <v>1</v>
      </c>
      <c r="D13" s="5" t="n">
        <v>4282</v>
      </c>
      <c r="E13" s="5" t="n">
        <v>1203</v>
      </c>
      <c r="F13" s="5" t="n">
        <v>28</v>
      </c>
      <c r="G13" s="5" t="n">
        <v>6</v>
      </c>
      <c r="H13" s="5" t="n">
        <v>4254</v>
      </c>
      <c r="I13" s="6" t="n">
        <v>3</v>
      </c>
      <c r="J13" s="6" t="n">
        <v>10.1</v>
      </c>
      <c r="K13" s="6" t="n">
        <v>8</v>
      </c>
      <c r="L13" s="6" t="n">
        <v>8</v>
      </c>
      <c r="M13" s="4" t="str">
        <f aca="false">IF(AND(K13="",L13=""),"No closed tickets",IF(K13="","MISSING in catalog",IF(L13="","No valid closed tickets",IF(AND(ABS(K13-L13)&gt;=$S$3,ABS(K13-L13)&gt;=$S$4*MAX(L13,1)),"FAR OFF","OK"))))</f>
        <v>OK</v>
      </c>
      <c r="N13" s="7" t="n">
        <f aca="false">D13/SUMIFS($D$2:$D$741,$B$2:$B$741,B13)</f>
        <v>0.0244846613488864</v>
      </c>
      <c r="O13" s="7" t="n">
        <f aca="false">SUMIFS($D$2:D13,$B$2:B13,B13)/SUMIFS($D$2:$D$741,$B$2:$B$741,B13)</f>
        <v>0.894993853103468</v>
      </c>
      <c r="P13" s="8" t="b">
        <f aca="false">O13-N13&lt;$S$2</f>
        <v>1</v>
      </c>
      <c r="Q13" s="2"/>
      <c r="R13" s="4" t="s">
        <v>43</v>
      </c>
      <c r="S13" s="2"/>
    </row>
    <row r="14" customFormat="false" ht="14.25" hidden="false" customHeight="false" outlineLevel="0" collapsed="false">
      <c r="A14" s="4" t="s">
        <v>44</v>
      </c>
      <c r="B14" s="4" t="s">
        <v>27</v>
      </c>
      <c r="C14" s="5" t="n">
        <v>1</v>
      </c>
      <c r="D14" s="5" t="n">
        <v>2922</v>
      </c>
      <c r="E14" s="5" t="n">
        <v>1197</v>
      </c>
      <c r="F14" s="5" t="n">
        <v>9</v>
      </c>
      <c r="G14" s="5" t="n">
        <v>0</v>
      </c>
      <c r="H14" s="5" t="n">
        <v>2913</v>
      </c>
      <c r="I14" s="6" t="n">
        <v>3</v>
      </c>
      <c r="J14" s="6" t="n">
        <v>4.2</v>
      </c>
      <c r="K14" s="6" t="n">
        <v>7</v>
      </c>
      <c r="L14" s="6" t="n">
        <v>7</v>
      </c>
      <c r="M14" s="4" t="str">
        <f aca="false">IF(AND(K14="",L14=""),"No closed tickets",IF(K14="","MISSING in catalog",IF(L14="","No valid closed tickets",IF(AND(ABS(K14-L14)&gt;=$S$3,ABS(K14-L14)&gt;=$S$4*MAX(L14,1)),"FAR OFF","OK"))))</f>
        <v>OK</v>
      </c>
      <c r="N14" s="7" t="n">
        <f aca="false">D14/SUMIFS($D$2:$D$741,$B$2:$B$741,B14)</f>
        <v>0.0167081224804872</v>
      </c>
      <c r="O14" s="7" t="n">
        <f aca="false">SUMIFS($D$2:D14,$B$2:B14,B14)/SUMIFS($D$2:$D$741,$B$2:$B$741,B14)</f>
        <v>0.911701975583955</v>
      </c>
      <c r="P14" s="8" t="b">
        <f aca="false">O14-N14&lt;$S$2</f>
        <v>1</v>
      </c>
      <c r="Q14" s="2"/>
      <c r="R14" s="4" t="s">
        <v>45</v>
      </c>
      <c r="S14" s="2"/>
    </row>
    <row r="15" customFormat="false" ht="14.25" hidden="false" customHeight="false" outlineLevel="0" collapsed="false">
      <c r="A15" s="4" t="s">
        <v>46</v>
      </c>
      <c r="B15" s="4" t="s">
        <v>27</v>
      </c>
      <c r="C15" s="5" t="n">
        <v>1</v>
      </c>
      <c r="D15" s="5" t="n">
        <v>2600</v>
      </c>
      <c r="E15" s="5" t="n">
        <v>2600</v>
      </c>
      <c r="F15" s="5" t="n">
        <v>66</v>
      </c>
      <c r="G15" s="5" t="n">
        <v>5</v>
      </c>
      <c r="H15" s="5" t="n">
        <v>2534</v>
      </c>
      <c r="I15" s="6" t="n">
        <v>3</v>
      </c>
      <c r="J15" s="6" t="n">
        <v>4.3</v>
      </c>
      <c r="K15" s="6" t="n">
        <v>8</v>
      </c>
      <c r="L15" s="6" t="n">
        <v>8</v>
      </c>
      <c r="M15" s="4" t="str">
        <f aca="false">IF(AND(K15="",L15=""),"No closed tickets",IF(K15="","MISSING in catalog",IF(L15="","No valid closed tickets",IF(AND(ABS(K15-L15)&gt;=$S$3,ABS(K15-L15)&gt;=$S$4*MAX(L15,1)),"FAR OFF","OK"))))</f>
        <v>OK</v>
      </c>
      <c r="N15" s="7" t="n">
        <f aca="false">D15/SUMIFS($D$2:$D$741,$B$2:$B$741,B15)</f>
        <v>0.0148669125425279</v>
      </c>
      <c r="O15" s="7" t="n">
        <f aca="false">SUMIFS($D$2:D15,$B$2:B15,B15)/SUMIFS($D$2:$D$741,$B$2:$B$741,B15)</f>
        <v>0.926568888126483</v>
      </c>
      <c r="P15" s="8" t="b">
        <f aca="false">O15-N15&lt;$S$2</f>
        <v>1</v>
      </c>
      <c r="Q15" s="2"/>
      <c r="R15" s="4" t="s">
        <v>47</v>
      </c>
      <c r="S15" s="2"/>
    </row>
    <row r="16" customFormat="false" ht="14.25" hidden="false" customHeight="false" outlineLevel="0" collapsed="false">
      <c r="A16" s="4" t="s">
        <v>48</v>
      </c>
      <c r="B16" s="4" t="s">
        <v>27</v>
      </c>
      <c r="C16" s="5" t="n">
        <v>1</v>
      </c>
      <c r="D16" s="5" t="n">
        <v>2170</v>
      </c>
      <c r="E16" s="5" t="n">
        <v>1071</v>
      </c>
      <c r="F16" s="5" t="n">
        <v>13</v>
      </c>
      <c r="G16" s="5" t="n">
        <v>1</v>
      </c>
      <c r="H16" s="5" t="n">
        <v>2157</v>
      </c>
      <c r="I16" s="6" t="n">
        <v>4</v>
      </c>
      <c r="J16" s="6" t="n">
        <v>7.5</v>
      </c>
      <c r="K16" s="6" t="n">
        <v>15</v>
      </c>
      <c r="L16" s="6" t="n">
        <v>15.4</v>
      </c>
      <c r="M16" s="4" t="str">
        <f aca="false">IF(AND(K16="",L16=""),"No closed tickets",IF(K16="","MISSING in catalog",IF(L16="","No valid closed tickets",IF(AND(ABS(K16-L16)&gt;=$S$3,ABS(K16-L16)&gt;=$S$4*MAX(L16,1)),"FAR OFF","OK"))))</f>
        <v>OK</v>
      </c>
      <c r="N16" s="7" t="n">
        <f aca="false">D16/SUMIFS($D$2:$D$741,$B$2:$B$741,B16)</f>
        <v>0.0124081539297252</v>
      </c>
      <c r="O16" s="7" t="n">
        <f aca="false">SUMIFS($D$2:D16,$B$2:B16,B16)/SUMIFS($D$2:$D$741,$B$2:$B$741,B16)</f>
        <v>0.938977042056208</v>
      </c>
      <c r="P16" s="8" t="b">
        <f aca="false">O16-N16&lt;$S$2</f>
        <v>1</v>
      </c>
      <c r="Q16" s="2"/>
      <c r="R16" s="4" t="s">
        <v>49</v>
      </c>
      <c r="S16" s="2"/>
    </row>
    <row r="17" customFormat="false" ht="14.25" hidden="false" customHeight="false" outlineLevel="0" collapsed="false">
      <c r="A17" s="4" t="s">
        <v>50</v>
      </c>
      <c r="B17" s="4" t="s">
        <v>27</v>
      </c>
      <c r="C17" s="5" t="n">
        <v>1</v>
      </c>
      <c r="D17" s="5" t="n">
        <v>1861</v>
      </c>
      <c r="E17" s="5" t="n">
        <v>0</v>
      </c>
      <c r="F17" s="5" t="n">
        <v>0</v>
      </c>
      <c r="G17" s="5" t="n">
        <v>0</v>
      </c>
      <c r="H17" s="5" t="n">
        <v>1861</v>
      </c>
      <c r="I17" s="6" t="n">
        <v>2</v>
      </c>
      <c r="J17" s="6" t="n">
        <v>3.1</v>
      </c>
      <c r="K17" s="6" t="n">
        <v>7</v>
      </c>
      <c r="L17" s="6" t="n">
        <v>7</v>
      </c>
      <c r="M17" s="4" t="str">
        <f aca="false">IF(AND(K17="",L17=""),"No closed tickets",IF(K17="","MISSING in catalog",IF(L17="","No valid closed tickets",IF(AND(ABS(K17-L17)&gt;=$S$3,ABS(K17-L17)&gt;=$S$4*MAX(L17,1)),"FAR OFF","OK"))))</f>
        <v>OK</v>
      </c>
      <c r="N17" s="7" t="n">
        <f aca="false">D17/SUMIFS($D$2:$D$741,$B$2:$B$741,B17)</f>
        <v>0.0106412785544787</v>
      </c>
      <c r="O17" s="7" t="n">
        <f aca="false">SUMIFS($D$2:D17,$B$2:B17,B17)/SUMIFS($D$2:$D$741,$B$2:$B$741,B17)</f>
        <v>0.949618320610687</v>
      </c>
      <c r="P17" s="8" t="b">
        <f aca="false">O17-N17&lt;$S$2</f>
        <v>1</v>
      </c>
      <c r="Q17" s="2"/>
      <c r="R17" s="4" t="s">
        <v>51</v>
      </c>
      <c r="S17" s="2"/>
    </row>
    <row r="18" customFormat="false" ht="14.25" hidden="false" customHeight="false" outlineLevel="0" collapsed="false">
      <c r="A18" s="4" t="s">
        <v>52</v>
      </c>
      <c r="B18" s="4" t="s">
        <v>27</v>
      </c>
      <c r="C18" s="5" t="n">
        <v>1</v>
      </c>
      <c r="D18" s="5" t="n">
        <v>1344</v>
      </c>
      <c r="E18" s="5" t="n">
        <v>457</v>
      </c>
      <c r="F18" s="5" t="n">
        <v>10</v>
      </c>
      <c r="G18" s="5" t="n">
        <v>1</v>
      </c>
      <c r="H18" s="5" t="n">
        <v>1334</v>
      </c>
      <c r="I18" s="6" t="n">
        <v>3</v>
      </c>
      <c r="J18" s="6" t="n">
        <v>4.7</v>
      </c>
      <c r="K18" s="6" t="n">
        <v>8</v>
      </c>
      <c r="L18" s="6" t="n">
        <v>8</v>
      </c>
      <c r="M18" s="4" t="str">
        <f aca="false">IF(AND(K18="",L18=""),"No closed tickets",IF(K18="","MISSING in catalog",IF(L18="","No valid closed tickets",IF(AND(ABS(K18-L18)&gt;=$S$3,ABS(K18-L18)&gt;=$S$4*MAX(L18,1)),"FAR OFF","OK"))))</f>
        <v>OK</v>
      </c>
      <c r="N18" s="7" t="n">
        <f aca="false">D18/SUMIFS($D$2:$D$741,$B$2:$B$741,B18)</f>
        <v>0.00768505017582983</v>
      </c>
      <c r="O18" s="7" t="n">
        <f aca="false">SUMIFS($D$2:D18,$B$2:B18,B18)/SUMIFS($D$2:$D$741,$B$2:$B$741,B18)</f>
        <v>0.957303370786517</v>
      </c>
      <c r="P18" s="8" t="b">
        <f aca="false">O18-N18&lt;$S$2</f>
        <v>1</v>
      </c>
      <c r="Q18" s="2"/>
      <c r="R18" s="2"/>
      <c r="S18" s="2"/>
    </row>
    <row r="19" customFormat="false" ht="14.25" hidden="false" customHeight="false" outlineLevel="0" collapsed="false">
      <c r="A19" s="4" t="s">
        <v>53</v>
      </c>
      <c r="B19" s="4" t="s">
        <v>27</v>
      </c>
      <c r="C19" s="5" t="n">
        <v>1</v>
      </c>
      <c r="D19" s="5" t="n">
        <v>1340</v>
      </c>
      <c r="E19" s="5" t="n">
        <v>1340</v>
      </c>
      <c r="F19" s="5" t="n">
        <v>54</v>
      </c>
      <c r="G19" s="5" t="n">
        <v>4</v>
      </c>
      <c r="H19" s="5" t="n">
        <v>1286</v>
      </c>
      <c r="I19" s="6" t="n">
        <v>4</v>
      </c>
      <c r="J19" s="6" t="n">
        <v>6.2</v>
      </c>
      <c r="K19" s="6" t="n">
        <v>11</v>
      </c>
      <c r="L19" s="6" t="n">
        <v>11</v>
      </c>
      <c r="M19" s="4" t="str">
        <f aca="false">IF(AND(K19="",L19=""),"No closed tickets",IF(K19="","MISSING in catalog",IF(L19="","No valid closed tickets",IF(AND(ABS(K19-L19)&gt;=$S$3,ABS(K19-L19)&gt;=$S$4*MAX(L19,1)),"FAR OFF","OK"))))</f>
        <v>OK</v>
      </c>
      <c r="N19" s="7" t="n">
        <f aca="false">D19/SUMIFS($D$2:$D$741,$B$2:$B$741,B19)</f>
        <v>0.00766217800268748</v>
      </c>
      <c r="O19" s="7" t="n">
        <f aca="false">SUMIFS($D$2:D19,$B$2:B19,B19)/SUMIFS($D$2:$D$741,$B$2:$B$741,B19)</f>
        <v>0.964965548789204</v>
      </c>
      <c r="P19" s="8" t="b">
        <f aca="false">O19-N19&lt;$S$2</f>
        <v>0</v>
      </c>
      <c r="Q19" s="2"/>
      <c r="R19" s="2"/>
      <c r="S19" s="2"/>
    </row>
    <row r="20" customFormat="false" ht="14.25" hidden="false" customHeight="false" outlineLevel="0" collapsed="false">
      <c r="A20" s="4" t="s">
        <v>54</v>
      </c>
      <c r="B20" s="4" t="s">
        <v>27</v>
      </c>
      <c r="C20" s="5" t="n">
        <v>2</v>
      </c>
      <c r="D20" s="5" t="n">
        <v>1140</v>
      </c>
      <c r="E20" s="5" t="n">
        <v>0</v>
      </c>
      <c r="F20" s="5" t="n">
        <v>0</v>
      </c>
      <c r="G20" s="5" t="n">
        <v>0</v>
      </c>
      <c r="H20" s="5" t="n">
        <v>1140</v>
      </c>
      <c r="I20" s="6" t="n">
        <v>4</v>
      </c>
      <c r="J20" s="6" t="n">
        <v>5.5</v>
      </c>
      <c r="K20" s="6" t="n">
        <v>12</v>
      </c>
      <c r="L20" s="6" t="n">
        <v>12</v>
      </c>
      <c r="M20" s="4" t="str">
        <f aca="false">IF(AND(K20="",L20=""),"No closed tickets",IF(K20="","MISSING in catalog",IF(L20="","No valid closed tickets",IF(AND(ABS(K20-L20)&gt;=$S$3,ABS(K20-L20)&gt;=$S$4*MAX(L20,1)),"FAR OFF","OK"))))</f>
        <v>OK</v>
      </c>
      <c r="N20" s="7" t="n">
        <f aca="false">D20/SUMIFS($D$2:$D$741,$B$2:$B$741,B20)</f>
        <v>0.00651856934556995</v>
      </c>
      <c r="O20" s="7" t="n">
        <f aca="false">SUMIFS($D$2:D20,$B$2:B20,B20)/SUMIFS($D$2:$D$741,$B$2:$B$741,B20)</f>
        <v>0.971484118134774</v>
      </c>
      <c r="P20" s="8" t="b">
        <f aca="false">O20-N20&lt;$S$2</f>
        <v>0</v>
      </c>
      <c r="Q20" s="2"/>
      <c r="R20" s="2"/>
      <c r="S20" s="2"/>
    </row>
    <row r="21" customFormat="false" ht="14.25" hidden="false" customHeight="false" outlineLevel="0" collapsed="false">
      <c r="A21" s="4" t="s">
        <v>55</v>
      </c>
      <c r="B21" s="4" t="s">
        <v>27</v>
      </c>
      <c r="C21" s="5" t="n">
        <v>1</v>
      </c>
      <c r="D21" s="5" t="n">
        <v>1001</v>
      </c>
      <c r="E21" s="5" t="n">
        <v>380</v>
      </c>
      <c r="F21" s="5" t="n">
        <v>3</v>
      </c>
      <c r="G21" s="5" t="n">
        <v>0</v>
      </c>
      <c r="H21" s="5" t="n">
        <v>998</v>
      </c>
      <c r="I21" s="6" t="n">
        <v>3</v>
      </c>
      <c r="J21" s="6" t="n">
        <v>4.7</v>
      </c>
      <c r="K21" s="6" t="n">
        <v>10</v>
      </c>
      <c r="L21" s="6" t="n">
        <v>10</v>
      </c>
      <c r="M21" s="4" t="str">
        <f aca="false">IF(AND(K21="",L21=""),"No closed tickets",IF(K21="","MISSING in catalog",IF(L21="","No valid closed tickets",IF(AND(ABS(K21-L21)&gt;=$S$3,ABS(K21-L21)&gt;=$S$4*MAX(L21,1)),"FAR OFF","OK"))))</f>
        <v>OK</v>
      </c>
      <c r="N21" s="7" t="n">
        <f aca="false">D21/SUMIFS($D$2:$D$741,$B$2:$B$741,B21)</f>
        <v>0.00572376132887326</v>
      </c>
      <c r="O21" s="7" t="n">
        <f aca="false">SUMIFS($D$2:D21,$B$2:B21,B21)/SUMIFS($D$2:$D$741,$B$2:$B$741,B21)</f>
        <v>0.977207879463648</v>
      </c>
      <c r="P21" s="8" t="b">
        <f aca="false">O21-N21&lt;$S$2</f>
        <v>0</v>
      </c>
      <c r="Q21" s="2"/>
      <c r="R21" s="2"/>
      <c r="S21" s="2"/>
    </row>
    <row r="22" customFormat="false" ht="14.25" hidden="false" customHeight="false" outlineLevel="0" collapsed="false">
      <c r="A22" s="4" t="s">
        <v>56</v>
      </c>
      <c r="B22" s="4" t="s">
        <v>27</v>
      </c>
      <c r="C22" s="5" t="n">
        <v>1</v>
      </c>
      <c r="D22" s="5" t="n">
        <v>853</v>
      </c>
      <c r="E22" s="5" t="n">
        <v>111</v>
      </c>
      <c r="F22" s="5" t="n">
        <v>0</v>
      </c>
      <c r="G22" s="5" t="n">
        <v>0</v>
      </c>
      <c r="H22" s="5" t="n">
        <v>853</v>
      </c>
      <c r="I22" s="6" t="n">
        <v>3</v>
      </c>
      <c r="J22" s="6" t="n">
        <v>9.5</v>
      </c>
      <c r="K22" s="6" t="n">
        <v>13</v>
      </c>
      <c r="L22" s="6" t="n">
        <v>13</v>
      </c>
      <c r="M22" s="4" t="str">
        <f aca="false">IF(AND(K22="",L22=""),"No closed tickets",IF(K22="","MISSING in catalog",IF(L22="","No valid closed tickets",IF(AND(ABS(K22-L22)&gt;=$S$3,ABS(K22-L22)&gt;=$S$4*MAX(L22,1)),"FAR OFF","OK"))))</f>
        <v>OK</v>
      </c>
      <c r="N22" s="7" t="n">
        <f aca="false">D22/SUMIFS($D$2:$D$741,$B$2:$B$741,B22)</f>
        <v>0.00487749092260628</v>
      </c>
      <c r="O22" s="7" t="n">
        <f aca="false">SUMIFS($D$2:D22,$B$2:B22,B22)/SUMIFS($D$2:$D$741,$B$2:$B$741,B22)</f>
        <v>0.982085370386254</v>
      </c>
      <c r="P22" s="8" t="b">
        <f aca="false">O22-N22&lt;$S$2</f>
        <v>0</v>
      </c>
      <c r="Q22" s="2"/>
      <c r="R22" s="2"/>
      <c r="S22" s="2"/>
    </row>
    <row r="23" customFormat="false" ht="14.25" hidden="false" customHeight="false" outlineLevel="0" collapsed="false">
      <c r="A23" s="4" t="s">
        <v>57</v>
      </c>
      <c r="B23" s="4" t="s">
        <v>27</v>
      </c>
      <c r="C23" s="5" t="n">
        <v>1</v>
      </c>
      <c r="D23" s="5" t="n">
        <v>745</v>
      </c>
      <c r="E23" s="5" t="n">
        <v>0</v>
      </c>
      <c r="F23" s="5" t="n">
        <v>0</v>
      </c>
      <c r="G23" s="5" t="n">
        <v>0</v>
      </c>
      <c r="H23" s="5" t="n">
        <v>745</v>
      </c>
      <c r="I23" s="6" t="n">
        <v>3</v>
      </c>
      <c r="J23" s="6" t="n">
        <v>3.1</v>
      </c>
      <c r="K23" s="6" t="n">
        <v>4</v>
      </c>
      <c r="L23" s="6" t="n">
        <v>4</v>
      </c>
      <c r="M23" s="4" t="str">
        <f aca="false">IF(AND(K23="",L23=""),"No closed tickets",IF(K23="","MISSING in catalog",IF(L23="","No valid closed tickets",IF(AND(ABS(K23-L23)&gt;=$S$3,ABS(K23-L23)&gt;=$S$4*MAX(L23,1)),"FAR OFF","OK"))))</f>
        <v>OK</v>
      </c>
      <c r="N23" s="7" t="n">
        <f aca="false">D23/SUMIFS($D$2:$D$741,$B$2:$B$741,B23)</f>
        <v>0.00425994224776282</v>
      </c>
      <c r="O23" s="7" t="n">
        <f aca="false">SUMIFS($D$2:D23,$B$2:B23,B23)/SUMIFS($D$2:$D$741,$B$2:$B$741,B23)</f>
        <v>0.986345312634017</v>
      </c>
      <c r="P23" s="8" t="b">
        <f aca="false">O23-N23&lt;$S$2</f>
        <v>0</v>
      </c>
      <c r="Q23" s="2"/>
      <c r="R23" s="2"/>
      <c r="S23" s="2"/>
    </row>
    <row r="24" customFormat="false" ht="14.25" hidden="false" customHeight="false" outlineLevel="0" collapsed="false">
      <c r="A24" s="4" t="s">
        <v>58</v>
      </c>
      <c r="B24" s="4" t="s">
        <v>27</v>
      </c>
      <c r="C24" s="5" t="n">
        <v>1</v>
      </c>
      <c r="D24" s="5" t="n">
        <v>653</v>
      </c>
      <c r="E24" s="5" t="n">
        <v>267</v>
      </c>
      <c r="F24" s="5" t="n">
        <v>0</v>
      </c>
      <c r="G24" s="5" t="n">
        <v>0</v>
      </c>
      <c r="H24" s="5" t="n">
        <v>653</v>
      </c>
      <c r="I24" s="6" t="n">
        <v>3</v>
      </c>
      <c r="J24" s="6" t="n">
        <v>6.9</v>
      </c>
      <c r="K24" s="6" t="n">
        <v>13</v>
      </c>
      <c r="L24" s="6" t="n">
        <v>13</v>
      </c>
      <c r="M24" s="4" t="str">
        <f aca="false">IF(AND(K24="",L24=""),"No closed tickets",IF(K24="","MISSING in catalog",IF(L24="","No valid closed tickets",IF(AND(ABS(K24-L24)&gt;=$S$3,ABS(K24-L24)&gt;=$S$4*MAX(L24,1)),"FAR OFF","OK"))))</f>
        <v>OK</v>
      </c>
      <c r="N24" s="7" t="n">
        <f aca="false">D24/SUMIFS($D$2:$D$741,$B$2:$B$741,B24)</f>
        <v>0.00373388226548875</v>
      </c>
      <c r="O24" s="7" t="n">
        <f aca="false">SUMIFS($D$2:D24,$B$2:B24,B24)/SUMIFS($D$2:$D$741,$B$2:$B$741,B24)</f>
        <v>0.990079194899505</v>
      </c>
      <c r="P24" s="8" t="b">
        <f aca="false">O24-N24&lt;$S$2</f>
        <v>0</v>
      </c>
      <c r="Q24" s="2"/>
      <c r="R24" s="2"/>
      <c r="S24" s="2"/>
    </row>
    <row r="25" customFormat="false" ht="14.25" hidden="false" customHeight="false" outlineLevel="0" collapsed="false">
      <c r="A25" s="4" t="s">
        <v>59</v>
      </c>
      <c r="B25" s="4" t="s">
        <v>27</v>
      </c>
      <c r="C25" s="5" t="n">
        <v>2</v>
      </c>
      <c r="D25" s="5" t="n">
        <v>476</v>
      </c>
      <c r="E25" s="5" t="n">
        <v>0</v>
      </c>
      <c r="F25" s="5" t="n">
        <v>0</v>
      </c>
      <c r="G25" s="5" t="n">
        <v>0</v>
      </c>
      <c r="H25" s="5" t="n">
        <v>476</v>
      </c>
      <c r="I25" s="6" t="n">
        <v>4</v>
      </c>
      <c r="J25" s="6" t="n">
        <v>4.8</v>
      </c>
      <c r="K25" s="6" t="n">
        <v>8</v>
      </c>
      <c r="L25" s="6" t="n">
        <v>8.5</v>
      </c>
      <c r="M25" s="4" t="str">
        <f aca="false">IF(AND(K25="",L25=""),"No closed tickets",IF(K25="","MISSING in catalog",IF(L25="","No valid closed tickets",IF(AND(ABS(K25-L25)&gt;=$S$3,ABS(K25-L25)&gt;=$S$4*MAX(L25,1)),"FAR OFF","OK"))))</f>
        <v>OK</v>
      </c>
      <c r="N25" s="7" t="n">
        <f aca="false">D25/SUMIFS($D$2:$D$741,$B$2:$B$741,B25)</f>
        <v>0.00272178860393973</v>
      </c>
      <c r="O25" s="7" t="n">
        <f aca="false">SUMIFS($D$2:D25,$B$2:B25,B25)/SUMIFS($D$2:$D$741,$B$2:$B$741,B25)</f>
        <v>0.992800983503445</v>
      </c>
      <c r="P25" s="8" t="b">
        <f aca="false">O25-N25&lt;$S$2</f>
        <v>0</v>
      </c>
      <c r="Q25" s="2"/>
      <c r="R25" s="2"/>
      <c r="S25" s="2"/>
    </row>
    <row r="26" customFormat="false" ht="14.25" hidden="false" customHeight="false" outlineLevel="0" collapsed="false">
      <c r="A26" s="4" t="s">
        <v>60</v>
      </c>
      <c r="B26" s="4" t="s">
        <v>27</v>
      </c>
      <c r="C26" s="5" t="n">
        <v>1</v>
      </c>
      <c r="D26" s="5" t="n">
        <v>284</v>
      </c>
      <c r="E26" s="5" t="n">
        <v>105</v>
      </c>
      <c r="F26" s="5" t="n">
        <v>0</v>
      </c>
      <c r="G26" s="5" t="n">
        <v>0</v>
      </c>
      <c r="H26" s="5" t="n">
        <v>284</v>
      </c>
      <c r="I26" s="6" t="n">
        <v>2.5</v>
      </c>
      <c r="J26" s="6" t="n">
        <v>4.1</v>
      </c>
      <c r="K26" s="6" t="n">
        <v>7</v>
      </c>
      <c r="L26" s="6" t="n">
        <v>7</v>
      </c>
      <c r="M26" s="4" t="str">
        <f aca="false">IF(AND(K26="",L26=""),"No closed tickets",IF(K26="","MISSING in catalog",IF(L26="","No valid closed tickets",IF(AND(ABS(K26-L26)&gt;=$S$3,ABS(K26-L26)&gt;=$S$4*MAX(L26,1)),"FAR OFF","OK"))))</f>
        <v>OK</v>
      </c>
      <c r="N26" s="7" t="n">
        <f aca="false">D26/SUMIFS($D$2:$D$741,$B$2:$B$741,B26)</f>
        <v>0.0016239242931069</v>
      </c>
      <c r="O26" s="7" t="n">
        <f aca="false">SUMIFS($D$2:D26,$B$2:B26,B26)/SUMIFS($D$2:$D$741,$B$2:$B$741,B26)</f>
        <v>0.994424907796552</v>
      </c>
      <c r="P26" s="8" t="b">
        <f aca="false">O26-N26&lt;$S$2</f>
        <v>0</v>
      </c>
      <c r="Q26" s="2"/>
      <c r="R26" s="2"/>
      <c r="S26" s="2"/>
    </row>
    <row r="27" customFormat="false" ht="14.25" hidden="false" customHeight="false" outlineLevel="0" collapsed="false">
      <c r="A27" s="4" t="s">
        <v>61</v>
      </c>
      <c r="B27" s="4" t="s">
        <v>27</v>
      </c>
      <c r="C27" s="5" t="n">
        <v>1</v>
      </c>
      <c r="D27" s="5" t="n">
        <v>269</v>
      </c>
      <c r="E27" s="5" t="n">
        <v>0</v>
      </c>
      <c r="F27" s="5" t="n">
        <v>0</v>
      </c>
      <c r="G27" s="5" t="n">
        <v>0</v>
      </c>
      <c r="H27" s="5" t="n">
        <v>269</v>
      </c>
      <c r="I27" s="6" t="n">
        <v>2</v>
      </c>
      <c r="J27" s="6" t="n">
        <v>2.9</v>
      </c>
      <c r="K27" s="6" t="n">
        <v>4</v>
      </c>
      <c r="L27" s="6" t="n">
        <v>4</v>
      </c>
      <c r="M27" s="4" t="str">
        <f aca="false">IF(AND(K27="",L27=""),"No closed tickets",IF(K27="","MISSING in catalog",IF(L27="","No valid closed tickets",IF(AND(ABS(K27-L27)&gt;=$S$3,ABS(K27-L27)&gt;=$S$4*MAX(L27,1)),"FAR OFF","OK"))))</f>
        <v>OK</v>
      </c>
      <c r="N27" s="7" t="n">
        <f aca="false">D27/SUMIFS($D$2:$D$741,$B$2:$B$741,B27)</f>
        <v>0.00153815364382308</v>
      </c>
      <c r="O27" s="7" t="n">
        <f aca="false">SUMIFS($D$2:D27,$B$2:B27,B27)/SUMIFS($D$2:$D$741,$B$2:$B$741,B27)</f>
        <v>0.995963061440375</v>
      </c>
      <c r="P27" s="8" t="b">
        <f aca="false">O27-N27&lt;$S$2</f>
        <v>0</v>
      </c>
      <c r="Q27" s="2"/>
      <c r="R27" s="2"/>
      <c r="S27" s="2"/>
    </row>
    <row r="28" customFormat="false" ht="14.25" hidden="false" customHeight="false" outlineLevel="0" collapsed="false">
      <c r="A28" s="4" t="s">
        <v>62</v>
      </c>
      <c r="B28" s="4" t="s">
        <v>27</v>
      </c>
      <c r="C28" s="5" t="n">
        <v>1</v>
      </c>
      <c r="D28" s="5" t="n">
        <v>191</v>
      </c>
      <c r="E28" s="5" t="n">
        <v>87</v>
      </c>
      <c r="F28" s="5" t="n">
        <v>0</v>
      </c>
      <c r="G28" s="5" t="n">
        <v>0</v>
      </c>
      <c r="H28" s="5" t="n">
        <v>191</v>
      </c>
      <c r="I28" s="6" t="n">
        <v>6</v>
      </c>
      <c r="J28" s="6" t="n">
        <v>16.6</v>
      </c>
      <c r="K28" s="6" t="n">
        <v>47</v>
      </c>
      <c r="L28" s="6" t="n">
        <v>47</v>
      </c>
      <c r="M28" s="4" t="str">
        <f aca="false">IF(AND(K28="",L28=""),"No closed tickets",IF(K28="","MISSING in catalog",IF(L28="","No valid closed tickets",IF(AND(ABS(K28-L28)&gt;=$S$3,ABS(K28-L28)&gt;=$S$4*MAX(L28,1)),"FAR OFF","OK"))))</f>
        <v>OK</v>
      </c>
      <c r="N28" s="7" t="n">
        <f aca="false">D28/SUMIFS($D$2:$D$741,$B$2:$B$741,B28)</f>
        <v>0.00109214626754725</v>
      </c>
      <c r="O28" s="7" t="n">
        <f aca="false">SUMIFS($D$2:D28,$B$2:B28,B28)/SUMIFS($D$2:$D$741,$B$2:$B$741,B28)</f>
        <v>0.997055207707922</v>
      </c>
      <c r="P28" s="8" t="b">
        <f aca="false">O28-N28&lt;$S$2</f>
        <v>0</v>
      </c>
      <c r="Q28" s="2"/>
      <c r="R28" s="2"/>
      <c r="S28" s="2"/>
    </row>
    <row r="29" customFormat="false" ht="14.25" hidden="false" customHeight="false" outlineLevel="0" collapsed="false">
      <c r="A29" s="4" t="s">
        <v>63</v>
      </c>
      <c r="B29" s="4" t="s">
        <v>27</v>
      </c>
      <c r="C29" s="5" t="n">
        <v>1</v>
      </c>
      <c r="D29" s="5" t="n">
        <v>183</v>
      </c>
      <c r="E29" s="5" t="n">
        <v>183</v>
      </c>
      <c r="F29" s="5" t="n">
        <v>5</v>
      </c>
      <c r="G29" s="5" t="n">
        <v>2</v>
      </c>
      <c r="H29" s="5" t="n">
        <v>178</v>
      </c>
      <c r="I29" s="6" t="n">
        <v>5</v>
      </c>
      <c r="J29" s="6" t="n">
        <v>7.6</v>
      </c>
      <c r="K29" s="6" t="n">
        <v>12</v>
      </c>
      <c r="L29" s="6" t="n">
        <v>12</v>
      </c>
      <c r="M29" s="4" t="str">
        <f aca="false">IF(AND(K29="",L29=""),"No closed tickets",IF(K29="","MISSING in catalog",IF(L29="","No valid closed tickets",IF(AND(ABS(K29-L29)&gt;=$S$3,ABS(K29-L29)&gt;=$S$4*MAX(L29,1)),"FAR OFF","OK"))))</f>
        <v>OK</v>
      </c>
      <c r="N29" s="7" t="n">
        <f aca="false">D29/SUMIFS($D$2:$D$741,$B$2:$B$741,B29)</f>
        <v>0.00104640192126254</v>
      </c>
      <c r="O29" s="7" t="n">
        <f aca="false">SUMIFS($D$2:D29,$B$2:B29,B29)/SUMIFS($D$2:$D$741,$B$2:$B$741,B29)</f>
        <v>0.998101609629185</v>
      </c>
      <c r="P29" s="8" t="b">
        <f aca="false">O29-N29&lt;$S$2</f>
        <v>0</v>
      </c>
      <c r="Q29" s="2"/>
      <c r="R29" s="2"/>
      <c r="S29" s="2"/>
    </row>
    <row r="30" customFormat="false" ht="14.25" hidden="false" customHeight="false" outlineLevel="0" collapsed="false">
      <c r="A30" s="4" t="s">
        <v>64</v>
      </c>
      <c r="B30" s="4" t="s">
        <v>27</v>
      </c>
      <c r="C30" s="5" t="n">
        <v>2</v>
      </c>
      <c r="D30" s="5" t="n">
        <v>172</v>
      </c>
      <c r="E30" s="5" t="n">
        <v>0</v>
      </c>
      <c r="F30" s="5" t="n">
        <v>0</v>
      </c>
      <c r="G30" s="5" t="n">
        <v>0</v>
      </c>
      <c r="H30" s="5" t="n">
        <v>172</v>
      </c>
      <c r="I30" s="6" t="n">
        <v>4</v>
      </c>
      <c r="J30" s="6" t="n">
        <v>4.7</v>
      </c>
      <c r="K30" s="6" t="n">
        <v>8</v>
      </c>
      <c r="L30" s="6" t="n">
        <v>8</v>
      </c>
      <c r="M30" s="4" t="str">
        <f aca="false">IF(AND(K30="",L30=""),"No closed tickets",IF(K30="","MISSING in catalog",IF(L30="","No valid closed tickets",IF(AND(ABS(K30-L30)&gt;=$S$3,ABS(K30-L30)&gt;=$S$4*MAX(L30,1)),"FAR OFF","OK"))))</f>
        <v>OK</v>
      </c>
      <c r="N30" s="7" t="n">
        <f aca="false">D30/SUMIFS($D$2:$D$741,$B$2:$B$741,B30)</f>
        <v>0.00098350344512108</v>
      </c>
      <c r="O30" s="7" t="n">
        <f aca="false">SUMIFS($D$2:D30,$B$2:B30,B30)/SUMIFS($D$2:$D$741,$B$2:$B$741,B30)</f>
        <v>0.999085113074306</v>
      </c>
      <c r="P30" s="8" t="b">
        <f aca="false">O30-N30&lt;$S$2</f>
        <v>0</v>
      </c>
      <c r="Q30" s="2"/>
      <c r="R30" s="2"/>
      <c r="S30" s="2"/>
    </row>
    <row r="31" customFormat="false" ht="14.25" hidden="false" customHeight="false" outlineLevel="0" collapsed="false">
      <c r="A31" s="4" t="s">
        <v>65</v>
      </c>
      <c r="B31" s="4" t="s">
        <v>27</v>
      </c>
      <c r="C31" s="5" t="n">
        <v>2</v>
      </c>
      <c r="D31" s="5" t="n">
        <v>160</v>
      </c>
      <c r="E31" s="5" t="n">
        <v>0</v>
      </c>
      <c r="F31" s="5" t="n">
        <v>0</v>
      </c>
      <c r="G31" s="5" t="n">
        <v>0</v>
      </c>
      <c r="H31" s="5" t="n">
        <v>160</v>
      </c>
      <c r="I31" s="6" t="n">
        <v>22</v>
      </c>
      <c r="J31" s="6" t="n">
        <v>28.5</v>
      </c>
      <c r="K31" s="6" t="n">
        <v>57</v>
      </c>
      <c r="L31" s="6" t="n">
        <v>57</v>
      </c>
      <c r="M31" s="4" t="str">
        <f aca="false">IF(AND(K31="",L31=""),"No closed tickets",IF(K31="","MISSING in catalog",IF(L31="","No valid closed tickets",IF(AND(ABS(K31-L31)&gt;=$S$3,ABS(K31-L31)&gt;=$S$4*MAX(L31,1)),"FAR OFF","OK"))))</f>
        <v>OK</v>
      </c>
      <c r="N31" s="7" t="n">
        <f aca="false">D31/SUMIFS($D$2:$D$741,$B$2:$B$741,B31)</f>
        <v>0.000914886925694028</v>
      </c>
      <c r="O31" s="7" t="n">
        <f aca="false">SUMIFS($D$2:D31,$B$2:B31,B31)/SUMIFS($D$2:$D$741,$B$2:$B$741,B31)</f>
        <v>1</v>
      </c>
      <c r="P31" s="8" t="b">
        <f aca="false">O31-N31&lt;$S$2</f>
        <v>0</v>
      </c>
      <c r="Q31" s="2"/>
      <c r="R31" s="2"/>
      <c r="S31" s="2"/>
    </row>
    <row r="32" customFormat="false" ht="14.25" hidden="false" customHeight="false" outlineLevel="0" collapsed="false">
      <c r="A32" s="10" t="s">
        <v>66</v>
      </c>
      <c r="B32" s="10" t="s">
        <v>67</v>
      </c>
      <c r="C32" s="11" t="n">
        <v>2</v>
      </c>
      <c r="D32" s="11" t="n">
        <v>3430</v>
      </c>
      <c r="E32" s="11" t="n">
        <v>910</v>
      </c>
      <c r="F32" s="11" t="n">
        <v>2</v>
      </c>
      <c r="G32" s="11" t="n">
        <v>0</v>
      </c>
      <c r="H32" s="11" t="n">
        <v>3428</v>
      </c>
      <c r="I32" s="12" t="n">
        <v>1</v>
      </c>
      <c r="J32" s="12" t="n">
        <v>2.3</v>
      </c>
      <c r="K32" s="12" t="n">
        <v>4</v>
      </c>
      <c r="L32" s="12" t="n">
        <v>4</v>
      </c>
      <c r="M32" s="10" t="str">
        <f aca="false">IF(AND(K32="",L32=""),"No closed tickets",IF(K32="","MISSING in catalog",IF(L32="","No valid closed tickets",IF(AND(ABS(K32-L32)&gt;=$S$3,ABS(K32-L32)&gt;=$S$4*MAX(L32,1)),"FAR OFF","OK"))))</f>
        <v>OK</v>
      </c>
      <c r="N32" s="13" t="n">
        <f aca="false">D32/SUMIFS($D$2:$D$741,$B$2:$B$741,B32)</f>
        <v>0.60632844263744</v>
      </c>
      <c r="O32" s="13" t="n">
        <f aca="false">SUMIFS($D$2:D32,$B$2:B32,B32)/SUMIFS($D$2:$D$741,$B$2:$B$741,B32)</f>
        <v>0.60632844263744</v>
      </c>
      <c r="P32" s="14" t="b">
        <f aca="false">O32-N32&lt;$S$2</f>
        <v>1</v>
      </c>
      <c r="Q32" s="2"/>
      <c r="R32" s="2"/>
      <c r="S32" s="2"/>
    </row>
    <row r="33" customFormat="false" ht="14.25" hidden="false" customHeight="false" outlineLevel="0" collapsed="false">
      <c r="A33" s="4" t="s">
        <v>68</v>
      </c>
      <c r="B33" s="4" t="s">
        <v>67</v>
      </c>
      <c r="C33" s="5" t="n">
        <v>2</v>
      </c>
      <c r="D33" s="5" t="n">
        <v>1033</v>
      </c>
      <c r="E33" s="5" t="n">
        <v>233</v>
      </c>
      <c r="F33" s="5" t="n">
        <v>0</v>
      </c>
      <c r="G33" s="5" t="n">
        <v>0</v>
      </c>
      <c r="H33" s="5" t="n">
        <v>1033</v>
      </c>
      <c r="I33" s="6" t="n">
        <v>0</v>
      </c>
      <c r="J33" s="6" t="n">
        <v>1.3</v>
      </c>
      <c r="K33" s="6" t="n">
        <v>3</v>
      </c>
      <c r="L33" s="6" t="n">
        <v>3</v>
      </c>
      <c r="M33" s="4" t="str">
        <f aca="false">IF(AND(K33="",L33=""),"No closed tickets",IF(K33="","MISSING in catalog",IF(L33="","No valid closed tickets",IF(AND(ABS(K33-L33)&gt;=$S$3,ABS(K33-L33)&gt;=$S$4*MAX(L33,1)),"FAR OFF","OK"))))</f>
        <v>OK</v>
      </c>
      <c r="N33" s="7" t="n">
        <f aca="false">D33/SUMIFS($D$2:$D$741,$B$2:$B$741,B33)</f>
        <v>0.182605621354075</v>
      </c>
      <c r="O33" s="7" t="n">
        <f aca="false">SUMIFS($D$2:D33,$B$2:B33,B33)/SUMIFS($D$2:$D$741,$B$2:$B$741,B33)</f>
        <v>0.788934063991515</v>
      </c>
      <c r="P33" s="8" t="b">
        <f aca="false">O33-N33&lt;$S$2</f>
        <v>1</v>
      </c>
      <c r="Q33" s="2"/>
      <c r="R33" s="2"/>
      <c r="S33" s="2"/>
    </row>
    <row r="34" customFormat="false" ht="14.25" hidden="false" customHeight="false" outlineLevel="0" collapsed="false">
      <c r="A34" s="4" t="s">
        <v>69</v>
      </c>
      <c r="B34" s="4" t="s">
        <v>67</v>
      </c>
      <c r="C34" s="5" t="n">
        <v>2</v>
      </c>
      <c r="D34" s="5" t="n">
        <v>759</v>
      </c>
      <c r="E34" s="5" t="n">
        <v>195</v>
      </c>
      <c r="F34" s="5" t="n">
        <v>0</v>
      </c>
      <c r="G34" s="5" t="n">
        <v>0</v>
      </c>
      <c r="H34" s="5" t="n">
        <v>759</v>
      </c>
      <c r="I34" s="6" t="n">
        <v>0</v>
      </c>
      <c r="J34" s="6" t="n">
        <v>1.5</v>
      </c>
      <c r="K34" s="6" t="n">
        <v>3</v>
      </c>
      <c r="L34" s="6" t="n">
        <v>3</v>
      </c>
      <c r="M34" s="4" t="str">
        <f aca="false">IF(AND(K34="",L34=""),"No closed tickets",IF(K34="","MISSING in catalog",IF(L34="","No valid closed tickets",IF(AND(ABS(K34-L34)&gt;=$S$3,ABS(K34-L34)&gt;=$S$4*MAX(L34,1)),"FAR OFF","OK"))))</f>
        <v>OK</v>
      </c>
      <c r="N34" s="7" t="n">
        <f aca="false">D34/SUMIFS($D$2:$D$741,$B$2:$B$741,B34)</f>
        <v>0.134170054799364</v>
      </c>
      <c r="O34" s="7" t="n">
        <f aca="false">SUMIFS($D$2:D34,$B$2:B34,B34)/SUMIFS($D$2:$D$741,$B$2:$B$741,B34)</f>
        <v>0.923104118790879</v>
      </c>
      <c r="P34" s="8" t="b">
        <f aca="false">O34-N34&lt;$S$2</f>
        <v>1</v>
      </c>
      <c r="Q34" s="2"/>
      <c r="R34" s="2"/>
      <c r="S34" s="2"/>
    </row>
    <row r="35" customFormat="false" ht="14.25" hidden="false" customHeight="false" outlineLevel="0" collapsed="false">
      <c r="A35" s="4" t="s">
        <v>70</v>
      </c>
      <c r="B35" s="4" t="s">
        <v>67</v>
      </c>
      <c r="C35" s="5" t="n">
        <v>2</v>
      </c>
      <c r="D35" s="5" t="n">
        <v>423</v>
      </c>
      <c r="E35" s="5" t="n">
        <v>85</v>
      </c>
      <c r="F35" s="5" t="n">
        <v>1</v>
      </c>
      <c r="G35" s="5" t="n">
        <v>0</v>
      </c>
      <c r="H35" s="5" t="n">
        <v>422</v>
      </c>
      <c r="I35" s="6" t="n">
        <v>3</v>
      </c>
      <c r="J35" s="6" t="n">
        <v>10.8</v>
      </c>
      <c r="K35" s="6" t="n">
        <v>22</v>
      </c>
      <c r="L35" s="6" t="n">
        <v>21.9</v>
      </c>
      <c r="M35" s="4" t="str">
        <f aca="false">IF(AND(K35="",L35=""),"No closed tickets",IF(K35="","MISSING in catalog",IF(L35="","No valid closed tickets",IF(AND(ABS(K35-L35)&gt;=$S$3,ABS(K35-L35)&gt;=$S$4*MAX(L35,1)),"FAR OFF","OK"))))</f>
        <v>OK</v>
      </c>
      <c r="N35" s="7" t="n">
        <f aca="false">D35/SUMIFS($D$2:$D$741,$B$2:$B$741,B35)</f>
        <v>0.074774615520594</v>
      </c>
      <c r="O35" s="7" t="n">
        <f aca="false">SUMIFS($D$2:D35,$B$2:B35,B35)/SUMIFS($D$2:$D$741,$B$2:$B$741,B35)</f>
        <v>0.997878734311473</v>
      </c>
      <c r="P35" s="8" t="b">
        <f aca="false">O35-N35&lt;$S$2</f>
        <v>1</v>
      </c>
      <c r="Q35" s="2"/>
      <c r="R35" s="2"/>
      <c r="S35" s="2"/>
    </row>
    <row r="36" customFormat="false" ht="14.25" hidden="false" customHeight="false" outlineLevel="0" collapsed="false">
      <c r="A36" s="4" t="s">
        <v>71</v>
      </c>
      <c r="B36" s="4" t="s">
        <v>67</v>
      </c>
      <c r="C36" s="5" t="n">
        <v>1</v>
      </c>
      <c r="D36" s="5" t="n">
        <v>12</v>
      </c>
      <c r="E36" s="5" t="n">
        <v>2</v>
      </c>
      <c r="F36" s="5" t="n">
        <v>0</v>
      </c>
      <c r="G36" s="5" t="n">
        <v>0</v>
      </c>
      <c r="H36" s="5" t="n">
        <v>12</v>
      </c>
      <c r="I36" s="6" t="n">
        <v>0</v>
      </c>
      <c r="J36" s="6" t="n">
        <v>0</v>
      </c>
      <c r="K36" s="6" t="n">
        <v>0</v>
      </c>
      <c r="L36" s="6" t="n">
        <v>0</v>
      </c>
      <c r="M36" s="4" t="str">
        <f aca="false">IF(AND(K36="",L36=""),"No closed tickets",IF(K36="","MISSING in catalog",IF(L36="","No valid closed tickets",IF(AND(ABS(K36-L36)&gt;=$S$3,ABS(K36-L36)&gt;=$S$4*MAX(L36,1)),"FAR OFF","OK"))))</f>
        <v>OK</v>
      </c>
      <c r="N36" s="7" t="n">
        <f aca="false">D36/SUMIFS($D$2:$D$741,$B$2:$B$741,B36)</f>
        <v>0.00212126568852749</v>
      </c>
      <c r="O36" s="7" t="n">
        <f aca="false">SUMIFS($D$2:D36,$B$2:B36,B36)/SUMIFS($D$2:$D$741,$B$2:$B$741,B36)</f>
        <v>1</v>
      </c>
      <c r="P36" s="8" t="b">
        <f aca="false">O36-N36&lt;$S$2</f>
        <v>0</v>
      </c>
      <c r="Q36" s="2"/>
      <c r="R36" s="2"/>
      <c r="S36" s="2"/>
    </row>
    <row r="37" customFormat="false" ht="14.25" hidden="false" customHeight="false" outlineLevel="0" collapsed="false">
      <c r="A37" s="10" t="s">
        <v>72</v>
      </c>
      <c r="B37" s="10" t="s">
        <v>73</v>
      </c>
      <c r="C37" s="11" t="n">
        <v>2</v>
      </c>
      <c r="D37" s="11" t="n">
        <v>144</v>
      </c>
      <c r="E37" s="11" t="n">
        <v>33</v>
      </c>
      <c r="F37" s="11" t="n">
        <v>1</v>
      </c>
      <c r="G37" s="11" t="n">
        <v>1</v>
      </c>
      <c r="H37" s="11" t="n">
        <v>143</v>
      </c>
      <c r="I37" s="12" t="n">
        <v>1</v>
      </c>
      <c r="J37" s="12" t="n">
        <v>7.6</v>
      </c>
      <c r="K37" s="12" t="n">
        <v>7</v>
      </c>
      <c r="L37" s="12" t="n">
        <v>7</v>
      </c>
      <c r="M37" s="10" t="str">
        <f aca="false">IF(AND(K37="",L37=""),"No closed tickets",IF(K37="","MISSING in catalog",IF(L37="","No valid closed tickets",IF(AND(ABS(K37-L37)&gt;=$S$3,ABS(K37-L37)&gt;=$S$4*MAX(L37,1)),"FAR OFF","OK"))))</f>
        <v>OK</v>
      </c>
      <c r="N37" s="13" t="n">
        <f aca="false">D37/SUMIFS($D$2:$D$741,$B$2:$B$741,B37)</f>
        <v>1</v>
      </c>
      <c r="O37" s="13" t="n">
        <f aca="false">SUMIFS($D$2:D37,$B$2:B37,B37)/SUMIFS($D$2:$D$741,$B$2:$B$741,B37)</f>
        <v>1</v>
      </c>
      <c r="P37" s="14" t="b">
        <f aca="false">O37-N37&lt;$S$2</f>
        <v>1</v>
      </c>
      <c r="Q37" s="2"/>
      <c r="R37" s="2"/>
      <c r="S37" s="2"/>
    </row>
    <row r="38" customFormat="false" ht="14.25" hidden="false" customHeight="false" outlineLevel="0" collapsed="false">
      <c r="A38" s="10" t="s">
        <v>74</v>
      </c>
      <c r="B38" s="10" t="s">
        <v>75</v>
      </c>
      <c r="C38" s="11" t="n">
        <v>2</v>
      </c>
      <c r="D38" s="11" t="n">
        <v>507</v>
      </c>
      <c r="E38" s="11" t="n">
        <v>0</v>
      </c>
      <c r="F38" s="11" t="n">
        <v>0</v>
      </c>
      <c r="G38" s="11" t="n">
        <v>0</v>
      </c>
      <c r="H38" s="11" t="n">
        <v>507</v>
      </c>
      <c r="I38" s="12" t="n">
        <v>1</v>
      </c>
      <c r="J38" s="12" t="n">
        <v>0.9</v>
      </c>
      <c r="K38" s="12" t="n">
        <v>2</v>
      </c>
      <c r="L38" s="12" t="n">
        <v>2</v>
      </c>
      <c r="M38" s="10" t="str">
        <f aca="false">IF(AND(K38="",L38=""),"No closed tickets",IF(K38="","MISSING in catalog",IF(L38="","No valid closed tickets",IF(AND(ABS(K38-L38)&gt;=$S$3,ABS(K38-L38)&gt;=$S$4*MAX(L38,1)),"FAR OFF","OK"))))</f>
        <v>OK</v>
      </c>
      <c r="N38" s="13" t="n">
        <f aca="false">D38/SUMIFS($D$2:$D$741,$B$2:$B$741,B38)</f>
        <v>0.705146036161335</v>
      </c>
      <c r="O38" s="13" t="n">
        <f aca="false">SUMIFS($D$2:D38,$B$2:B38,B38)/SUMIFS($D$2:$D$741,$B$2:$B$741,B38)</f>
        <v>0.705146036161335</v>
      </c>
      <c r="P38" s="14" t="b">
        <f aca="false">O38-N38&lt;$S$2</f>
        <v>1</v>
      </c>
      <c r="Q38" s="2"/>
      <c r="R38" s="2"/>
      <c r="S38" s="2"/>
    </row>
    <row r="39" customFormat="false" ht="14.25" hidden="false" customHeight="false" outlineLevel="0" collapsed="false">
      <c r="A39" s="4" t="s">
        <v>76</v>
      </c>
      <c r="B39" s="4" t="s">
        <v>75</v>
      </c>
      <c r="C39" s="5" t="n">
        <v>2</v>
      </c>
      <c r="D39" s="5" t="n">
        <v>195</v>
      </c>
      <c r="E39" s="5" t="n">
        <v>0</v>
      </c>
      <c r="F39" s="5" t="n">
        <v>1</v>
      </c>
      <c r="G39" s="5" t="n">
        <v>1</v>
      </c>
      <c r="H39" s="5" t="n">
        <v>194</v>
      </c>
      <c r="I39" s="6" t="n">
        <v>1</v>
      </c>
      <c r="J39" s="6" t="n">
        <v>0.9</v>
      </c>
      <c r="K39" s="6" t="n">
        <v>2</v>
      </c>
      <c r="L39" s="6" t="n">
        <v>2</v>
      </c>
      <c r="M39" s="4" t="str">
        <f aca="false">IF(AND(K39="",L39=""),"No closed tickets",IF(K39="","MISSING in catalog",IF(L39="","No valid closed tickets",IF(AND(ABS(K39-L39)&gt;=$S$3,ABS(K39-L39)&gt;=$S$4*MAX(L39,1)),"FAR OFF","OK"))))</f>
        <v>OK</v>
      </c>
      <c r="N39" s="7" t="n">
        <f aca="false">D39/SUMIFS($D$2:$D$741,$B$2:$B$741,B39)</f>
        <v>0.271210013908206</v>
      </c>
      <c r="O39" s="7" t="n">
        <f aca="false">SUMIFS($D$2:D39,$B$2:B39,B39)/SUMIFS($D$2:$D$741,$B$2:$B$741,B39)</f>
        <v>0.976356050069541</v>
      </c>
      <c r="P39" s="8" t="b">
        <f aca="false">O39-N39&lt;$S$2</f>
        <v>1</v>
      </c>
      <c r="Q39" s="2"/>
      <c r="R39" s="2"/>
      <c r="S39" s="2"/>
    </row>
    <row r="40" customFormat="false" ht="14.25" hidden="false" customHeight="false" outlineLevel="0" collapsed="false">
      <c r="A40" s="4" t="s">
        <v>77</v>
      </c>
      <c r="B40" s="4" t="s">
        <v>75</v>
      </c>
      <c r="C40" s="5" t="n">
        <v>2</v>
      </c>
      <c r="D40" s="5" t="n">
        <v>9</v>
      </c>
      <c r="E40" s="5" t="n">
        <v>0</v>
      </c>
      <c r="F40" s="5" t="n">
        <v>0</v>
      </c>
      <c r="G40" s="5" t="n">
        <v>0</v>
      </c>
      <c r="H40" s="5" t="n">
        <v>9</v>
      </c>
      <c r="I40" s="6" t="n">
        <v>3</v>
      </c>
      <c r="J40" s="6" t="n">
        <v>12.9</v>
      </c>
      <c r="K40" s="6" t="n">
        <v>35</v>
      </c>
      <c r="L40" s="6" t="n">
        <v>34.6</v>
      </c>
      <c r="M40" s="4" t="str">
        <f aca="false">IF(AND(K40="",L40=""),"No closed tickets",IF(K40="","MISSING in catalog",IF(L40="","No valid closed tickets",IF(AND(ABS(K40-L40)&gt;=$S$3,ABS(K40-L40)&gt;=$S$4*MAX(L40,1)),"FAR OFF","OK"))))</f>
        <v>OK</v>
      </c>
      <c r="N40" s="7" t="n">
        <f aca="false">D40/SUMIFS($D$2:$D$741,$B$2:$B$741,B40)</f>
        <v>0.0125173852573018</v>
      </c>
      <c r="O40" s="7" t="n">
        <f aca="false">SUMIFS($D$2:D40,$B$2:B40,B40)/SUMIFS($D$2:$D$741,$B$2:$B$741,B40)</f>
        <v>0.988873435326843</v>
      </c>
      <c r="P40" s="8" t="b">
        <f aca="false">O40-N40&lt;$S$2</f>
        <v>0</v>
      </c>
      <c r="Q40" s="2"/>
      <c r="R40" s="2"/>
      <c r="S40" s="2"/>
    </row>
    <row r="41" customFormat="false" ht="14.25" hidden="false" customHeight="false" outlineLevel="0" collapsed="false">
      <c r="A41" s="4" t="s">
        <v>78</v>
      </c>
      <c r="B41" s="4" t="s">
        <v>75</v>
      </c>
      <c r="C41" s="5" t="n">
        <v>2</v>
      </c>
      <c r="D41" s="5" t="n">
        <v>8</v>
      </c>
      <c r="E41" s="5" t="n">
        <v>0</v>
      </c>
      <c r="F41" s="5" t="n">
        <v>0</v>
      </c>
      <c r="G41" s="5" t="n">
        <v>0</v>
      </c>
      <c r="H41" s="5" t="n">
        <v>8</v>
      </c>
      <c r="I41" s="6" t="n">
        <v>4.5</v>
      </c>
      <c r="J41" s="6" t="n">
        <v>4.4</v>
      </c>
      <c r="K41" s="6" t="n">
        <v>7</v>
      </c>
      <c r="L41" s="6" t="n">
        <v>7.2</v>
      </c>
      <c r="M41" s="4" t="str">
        <f aca="false">IF(AND(K41="",L41=""),"No closed tickets",IF(K41="","MISSING in catalog",IF(L41="","No valid closed tickets",IF(AND(ABS(K41-L41)&gt;=$S$3,ABS(K41-L41)&gt;=$S$4*MAX(L41,1)),"FAR OFF","OK"))))</f>
        <v>OK</v>
      </c>
      <c r="N41" s="7" t="n">
        <f aca="false">D41/SUMIFS($D$2:$D$741,$B$2:$B$741,B41)</f>
        <v>0.0111265646731572</v>
      </c>
      <c r="O41" s="7" t="n">
        <f aca="false">SUMIFS($D$2:D41,$B$2:B41,B41)/SUMIFS($D$2:$D$741,$B$2:$B$741,B41)</f>
        <v>1</v>
      </c>
      <c r="P41" s="8" t="b">
        <f aca="false">O41-N41&lt;$S$2</f>
        <v>0</v>
      </c>
      <c r="Q41" s="2"/>
      <c r="R41" s="2"/>
      <c r="S41" s="2"/>
    </row>
    <row r="42" customFormat="false" ht="14.25" hidden="false" customHeight="false" outlineLevel="0" collapsed="false">
      <c r="A42" s="10" t="s">
        <v>79</v>
      </c>
      <c r="B42" s="10" t="s">
        <v>80</v>
      </c>
      <c r="C42" s="11" t="n">
        <v>1</v>
      </c>
      <c r="D42" s="11" t="n">
        <v>2</v>
      </c>
      <c r="E42" s="11" t="n">
        <v>0</v>
      </c>
      <c r="F42" s="11" t="n">
        <v>0</v>
      </c>
      <c r="G42" s="11" t="n">
        <v>0</v>
      </c>
      <c r="H42" s="11" t="n">
        <v>2</v>
      </c>
      <c r="I42" s="12" t="n">
        <v>3</v>
      </c>
      <c r="J42" s="12" t="n">
        <v>3</v>
      </c>
      <c r="K42" s="12" t="n">
        <v>5</v>
      </c>
      <c r="L42" s="12" t="n">
        <v>4.6</v>
      </c>
      <c r="M42" s="10" t="str">
        <f aca="false">IF(AND(K42="",L42=""),"No closed tickets",IF(K42="","MISSING in catalog",IF(L42="","No valid closed tickets",IF(AND(ABS(K42-L42)&gt;=$S$3,ABS(K42-L42)&gt;=$S$4*MAX(L42,1)),"FAR OFF","OK"))))</f>
        <v>OK</v>
      </c>
      <c r="N42" s="13" t="n">
        <f aca="false">D42/SUMIFS($D$2:$D$741,$B$2:$B$741,B42)</f>
        <v>1</v>
      </c>
      <c r="O42" s="13" t="n">
        <f aca="false">SUMIFS($D$2:D42,$B$2:B42,B42)/SUMIFS($D$2:$D$741,$B$2:$B$741,B42)</f>
        <v>1</v>
      </c>
      <c r="P42" s="14" t="b">
        <f aca="false">O42-N42&lt;$S$2</f>
        <v>1</v>
      </c>
      <c r="Q42" s="2"/>
      <c r="R42" s="2"/>
      <c r="S42" s="2"/>
    </row>
    <row r="43" customFormat="false" ht="14.25" hidden="false" customHeight="false" outlineLevel="0" collapsed="false">
      <c r="A43" s="10" t="s">
        <v>81</v>
      </c>
      <c r="B43" s="10" t="s">
        <v>82</v>
      </c>
      <c r="C43" s="11" t="n">
        <v>1</v>
      </c>
      <c r="D43" s="11" t="n">
        <v>17433</v>
      </c>
      <c r="E43" s="11" t="n">
        <v>3276</v>
      </c>
      <c r="F43" s="11" t="n">
        <v>214</v>
      </c>
      <c r="G43" s="11" t="n">
        <v>74</v>
      </c>
      <c r="H43" s="11" t="n">
        <v>17218</v>
      </c>
      <c r="I43" s="12" t="n">
        <v>6</v>
      </c>
      <c r="J43" s="12" t="n">
        <v>21</v>
      </c>
      <c r="K43" s="12" t="n">
        <v>43</v>
      </c>
      <c r="L43" s="12" t="n">
        <v>43</v>
      </c>
      <c r="M43" s="10" t="str">
        <f aca="false">IF(AND(K43="",L43=""),"No closed tickets",IF(K43="","MISSING in catalog",IF(L43="","No valid closed tickets",IF(AND(ABS(K43-L43)&gt;=$S$3,ABS(K43-L43)&gt;=$S$4*MAX(L43,1)),"FAR OFF","OK"))))</f>
        <v>OK</v>
      </c>
      <c r="N43" s="13" t="n">
        <f aca="false">D43/SUMIFS($D$2:$D$741,$B$2:$B$741,B43)</f>
        <v>0.368538993298522</v>
      </c>
      <c r="O43" s="13" t="n">
        <f aca="false">SUMIFS($D$2:D43,$B$2:B43,B43)/SUMIFS($D$2:$D$741,$B$2:$B$741,B43)</f>
        <v>0.368538993298522</v>
      </c>
      <c r="P43" s="14" t="b">
        <f aca="false">O43-N43&lt;$S$2</f>
        <v>1</v>
      </c>
      <c r="Q43" s="2"/>
      <c r="R43" s="2"/>
      <c r="S43" s="2"/>
    </row>
    <row r="44" customFormat="false" ht="14.25" hidden="false" customHeight="false" outlineLevel="0" collapsed="false">
      <c r="A44" s="4" t="s">
        <v>83</v>
      </c>
      <c r="B44" s="4" t="s">
        <v>82</v>
      </c>
      <c r="C44" s="5" t="n">
        <v>1</v>
      </c>
      <c r="D44" s="5" t="n">
        <v>4895</v>
      </c>
      <c r="E44" s="5" t="n">
        <v>1060</v>
      </c>
      <c r="F44" s="5" t="n">
        <v>29</v>
      </c>
      <c r="G44" s="5" t="n">
        <v>11</v>
      </c>
      <c r="H44" s="5" t="n">
        <v>4866</v>
      </c>
      <c r="I44" s="6" t="n">
        <v>2</v>
      </c>
      <c r="J44" s="6" t="n">
        <v>8.9</v>
      </c>
      <c r="K44" s="6" t="n">
        <v>10</v>
      </c>
      <c r="L44" s="6" t="n">
        <v>10</v>
      </c>
      <c r="M44" s="4" t="str">
        <f aca="false">IF(AND(K44="",L44=""),"No closed tickets",IF(K44="","MISSING in catalog",IF(L44="","No valid closed tickets",IF(AND(ABS(K44-L44)&gt;=$S$3,ABS(K44-L44)&gt;=$S$4*MAX(L44,1)),"FAR OFF","OK"))))</f>
        <v>OK</v>
      </c>
      <c r="N44" s="7" t="n">
        <f aca="false">D44/SUMIFS($D$2:$D$741,$B$2:$B$741,B44)</f>
        <v>0.103481808764772</v>
      </c>
      <c r="O44" s="7" t="n">
        <f aca="false">SUMIFS($D$2:D44,$B$2:B44,B44)/SUMIFS($D$2:$D$741,$B$2:$B$741,B44)</f>
        <v>0.472020802063294</v>
      </c>
      <c r="P44" s="8" t="b">
        <f aca="false">O44-N44&lt;$S$2</f>
        <v>1</v>
      </c>
      <c r="Q44" s="2"/>
      <c r="R44" s="2"/>
      <c r="S44" s="2"/>
    </row>
    <row r="45" customFormat="false" ht="14.25" hidden="false" customHeight="false" outlineLevel="0" collapsed="false">
      <c r="A45" s="4" t="s">
        <v>84</v>
      </c>
      <c r="B45" s="4" t="s">
        <v>82</v>
      </c>
      <c r="C45" s="5" t="n">
        <v>1</v>
      </c>
      <c r="D45" s="5" t="n">
        <v>4150</v>
      </c>
      <c r="E45" s="5" t="n">
        <v>948</v>
      </c>
      <c r="F45" s="5" t="n">
        <v>38</v>
      </c>
      <c r="G45" s="5" t="n">
        <v>11</v>
      </c>
      <c r="H45" s="5" t="n">
        <v>4112</v>
      </c>
      <c r="I45" s="6" t="n">
        <v>8</v>
      </c>
      <c r="J45" s="6" t="n">
        <v>16.8</v>
      </c>
      <c r="K45" s="6" t="n">
        <v>35</v>
      </c>
      <c r="L45" s="6" t="n">
        <v>35</v>
      </c>
      <c r="M45" s="4" t="str">
        <f aca="false">IF(AND(K45="",L45=""),"No closed tickets",IF(K45="","MISSING in catalog",IF(L45="","No valid closed tickets",IF(AND(ABS(K45-L45)&gt;=$S$3,ABS(K45-L45)&gt;=$S$4*MAX(L45,1)),"FAR OFF","OK"))))</f>
        <v>OK</v>
      </c>
      <c r="N45" s="7" t="n">
        <f aca="false">D45/SUMIFS($D$2:$D$741,$B$2:$B$741,B45)</f>
        <v>0.0877322791366298</v>
      </c>
      <c r="O45" s="7" t="n">
        <f aca="false">SUMIFS($D$2:D45,$B$2:B45,B45)/SUMIFS($D$2:$D$741,$B$2:$B$741,B45)</f>
        <v>0.559753081199924</v>
      </c>
      <c r="P45" s="8" t="b">
        <f aca="false">O45-N45&lt;$S$2</f>
        <v>1</v>
      </c>
      <c r="Q45" s="2"/>
      <c r="R45" s="2"/>
      <c r="S45" s="2"/>
    </row>
    <row r="46" customFormat="false" ht="14.25" hidden="false" customHeight="false" outlineLevel="0" collapsed="false">
      <c r="A46" s="4" t="s">
        <v>85</v>
      </c>
      <c r="B46" s="4" t="s">
        <v>82</v>
      </c>
      <c r="C46" s="5" t="n">
        <v>1</v>
      </c>
      <c r="D46" s="5" t="n">
        <v>3123</v>
      </c>
      <c r="E46" s="5" t="n">
        <v>715</v>
      </c>
      <c r="F46" s="5" t="n">
        <v>10</v>
      </c>
      <c r="G46" s="5" t="n">
        <v>3</v>
      </c>
      <c r="H46" s="5" t="n">
        <v>3113</v>
      </c>
      <c r="I46" s="6" t="n">
        <v>1</v>
      </c>
      <c r="J46" s="6" t="n">
        <v>4.6</v>
      </c>
      <c r="K46" s="6" t="n">
        <v>6</v>
      </c>
      <c r="L46" s="6" t="n">
        <v>6</v>
      </c>
      <c r="M46" s="4" t="str">
        <f aca="false">IF(AND(K46="",L46=""),"No closed tickets",IF(K46="","MISSING in catalog",IF(L46="","No valid closed tickets",IF(AND(ABS(K46-L46)&gt;=$S$3,ABS(K46-L46)&gt;=$S$4*MAX(L46,1)),"FAR OFF","OK"))))</f>
        <v>OK</v>
      </c>
      <c r="N46" s="7" t="n">
        <f aca="false">D46/SUMIFS($D$2:$D$741,$B$2:$B$741,B46)</f>
        <v>0.0660211825888421</v>
      </c>
      <c r="O46" s="7" t="n">
        <f aca="false">SUMIFS($D$2:D46,$B$2:B46,B46)/SUMIFS($D$2:$D$741,$B$2:$B$741,B46)</f>
        <v>0.625774263788766</v>
      </c>
      <c r="P46" s="8" t="b">
        <f aca="false">O46-N46&lt;$S$2</f>
        <v>1</v>
      </c>
      <c r="Q46" s="2"/>
      <c r="R46" s="2"/>
      <c r="S46" s="2"/>
    </row>
    <row r="47" customFormat="false" ht="14.25" hidden="false" customHeight="false" outlineLevel="0" collapsed="false">
      <c r="A47" s="4" t="s">
        <v>86</v>
      </c>
      <c r="B47" s="4" t="s">
        <v>82</v>
      </c>
      <c r="C47" s="5" t="n">
        <v>1</v>
      </c>
      <c r="D47" s="5" t="n">
        <v>2106</v>
      </c>
      <c r="E47" s="5" t="n">
        <v>378</v>
      </c>
      <c r="F47" s="5" t="n">
        <v>132</v>
      </c>
      <c r="G47" s="5" t="n">
        <v>77</v>
      </c>
      <c r="H47" s="5" t="n">
        <v>1974</v>
      </c>
      <c r="I47" s="6" t="n">
        <v>43</v>
      </c>
      <c r="J47" s="6" t="n">
        <v>73.6</v>
      </c>
      <c r="K47" s="6" t="n">
        <v>169</v>
      </c>
      <c r="L47" s="6" t="n">
        <v>169</v>
      </c>
      <c r="M47" s="4" t="str">
        <f aca="false">IF(AND(K47="",L47=""),"No closed tickets",IF(K47="","MISSING in catalog",IF(L47="","No valid closed tickets",IF(AND(ABS(K47-L47)&gt;=$S$3,ABS(K47-L47)&gt;=$S$4*MAX(L47,1)),"FAR OFF","OK"))))</f>
        <v>OK</v>
      </c>
      <c r="N47" s="7" t="n">
        <f aca="false">D47/SUMIFS($D$2:$D$741,$B$2:$B$741,B47)</f>
        <v>0.0445214891233114</v>
      </c>
      <c r="O47" s="7" t="n">
        <f aca="false">SUMIFS($D$2:D47,$B$2:B47,B47)/SUMIFS($D$2:$D$741,$B$2:$B$741,B47)</f>
        <v>0.670295752912077</v>
      </c>
      <c r="P47" s="8" t="b">
        <f aca="false">O47-N47&lt;$S$2</f>
        <v>1</v>
      </c>
      <c r="Q47" s="2"/>
      <c r="R47" s="2"/>
      <c r="S47" s="2"/>
    </row>
    <row r="48" customFormat="false" ht="14.25" hidden="false" customHeight="false" outlineLevel="0" collapsed="false">
      <c r="A48" s="4" t="s">
        <v>87</v>
      </c>
      <c r="B48" s="4" t="s">
        <v>82</v>
      </c>
      <c r="C48" s="5" t="n">
        <v>1</v>
      </c>
      <c r="D48" s="5" t="n">
        <v>1692</v>
      </c>
      <c r="E48" s="5" t="n">
        <v>503</v>
      </c>
      <c r="F48" s="5" t="n">
        <v>18</v>
      </c>
      <c r="G48" s="5" t="n">
        <v>9</v>
      </c>
      <c r="H48" s="5" t="n">
        <v>1674</v>
      </c>
      <c r="I48" s="6" t="n">
        <v>3</v>
      </c>
      <c r="J48" s="6" t="n">
        <v>13.6</v>
      </c>
      <c r="K48" s="6" t="n">
        <v>33</v>
      </c>
      <c r="L48" s="6" t="n">
        <v>33</v>
      </c>
      <c r="M48" s="4" t="str">
        <f aca="false">IF(AND(K48="",L48=""),"No closed tickets",IF(K48="","MISSING in catalog",IF(L48="","No valid closed tickets",IF(AND(ABS(K48-L48)&gt;=$S$3,ABS(K48-L48)&gt;=$S$4*MAX(L48,1)),"FAR OFF","OK"))))</f>
        <v>OK</v>
      </c>
      <c r="N48" s="7" t="n">
        <f aca="false">D48/SUMIFS($D$2:$D$741,$B$2:$B$741,B48)</f>
        <v>0.0357694015178741</v>
      </c>
      <c r="O48" s="7" t="n">
        <f aca="false">SUMIFS($D$2:D48,$B$2:B48,B48)/SUMIFS($D$2:$D$741,$B$2:$B$741,B48)</f>
        <v>0.706065154429952</v>
      </c>
      <c r="P48" s="8" t="b">
        <f aca="false">O48-N48&lt;$S$2</f>
        <v>1</v>
      </c>
      <c r="Q48" s="2"/>
      <c r="R48" s="2"/>
      <c r="S48" s="2"/>
    </row>
    <row r="49" customFormat="false" ht="14.25" hidden="false" customHeight="false" outlineLevel="0" collapsed="false">
      <c r="A49" s="4" t="s">
        <v>88</v>
      </c>
      <c r="B49" s="4" t="s">
        <v>82</v>
      </c>
      <c r="C49" s="5" t="n">
        <v>1</v>
      </c>
      <c r="D49" s="5" t="n">
        <v>1553</v>
      </c>
      <c r="E49" s="5" t="n">
        <v>408</v>
      </c>
      <c r="F49" s="5" t="n">
        <v>320</v>
      </c>
      <c r="G49" s="5" t="n">
        <v>243</v>
      </c>
      <c r="H49" s="5" t="n">
        <v>1233</v>
      </c>
      <c r="I49" s="6" t="n">
        <v>50</v>
      </c>
      <c r="J49" s="6" t="n">
        <v>57.8</v>
      </c>
      <c r="K49" s="6" t="n">
        <v>112</v>
      </c>
      <c r="L49" s="6" t="n">
        <v>111.8</v>
      </c>
      <c r="M49" s="4" t="str">
        <f aca="false">IF(AND(K49="",L49=""),"No closed tickets",IF(K49="","MISSING in catalog",IF(L49="","No valid closed tickets",IF(AND(ABS(K49-L49)&gt;=$S$3,ABS(K49-L49)&gt;=$S$4*MAX(L49,1)),"FAR OFF","OK"))))</f>
        <v>OK</v>
      </c>
      <c r="N49" s="7" t="n">
        <f aca="false">D49/SUMIFS($D$2:$D$741,$B$2:$B$741,B49)</f>
        <v>0.0328308986745027</v>
      </c>
      <c r="O49" s="7" t="n">
        <f aca="false">SUMIFS($D$2:D49,$B$2:B49,B49)/SUMIFS($D$2:$D$741,$B$2:$B$741,B49)</f>
        <v>0.738896053104454</v>
      </c>
      <c r="P49" s="8" t="b">
        <f aca="false">O49-N49&lt;$S$2</f>
        <v>1</v>
      </c>
      <c r="Q49" s="2"/>
      <c r="R49" s="2"/>
      <c r="S49" s="2"/>
    </row>
    <row r="50" customFormat="false" ht="14.25" hidden="false" customHeight="false" outlineLevel="0" collapsed="false">
      <c r="A50" s="4" t="s">
        <v>89</v>
      </c>
      <c r="B50" s="4" t="s">
        <v>82</v>
      </c>
      <c r="C50" s="5" t="n">
        <v>1</v>
      </c>
      <c r="D50" s="5" t="n">
        <v>1462</v>
      </c>
      <c r="E50" s="5" t="n">
        <v>385</v>
      </c>
      <c r="F50" s="5" t="n">
        <v>15</v>
      </c>
      <c r="G50" s="5" t="n">
        <v>4</v>
      </c>
      <c r="H50" s="5" t="n">
        <v>1447</v>
      </c>
      <c r="I50" s="6" t="n">
        <v>10</v>
      </c>
      <c r="J50" s="6" t="n">
        <v>14.5</v>
      </c>
      <c r="K50" s="6" t="n">
        <v>32</v>
      </c>
      <c r="L50" s="6" t="n">
        <v>32</v>
      </c>
      <c r="M50" s="4" t="str">
        <f aca="false">IF(AND(K50="",L50=""),"No closed tickets",IF(K50="","MISSING in catalog",IF(L50="","No valid closed tickets",IF(AND(ABS(K50-L50)&gt;=$S$3,ABS(K50-L50)&gt;=$S$4*MAX(L50,1)),"FAR OFF","OK"))))</f>
        <v>OK</v>
      </c>
      <c r="N50" s="7" t="n">
        <f aca="false">D50/SUMIFS($D$2:$D$741,$B$2:$B$741,B50)</f>
        <v>0.0309071306259645</v>
      </c>
      <c r="O50" s="7" t="n">
        <f aca="false">SUMIFS($D$2:D50,$B$2:B50,B50)/SUMIFS($D$2:$D$741,$B$2:$B$741,B50)</f>
        <v>0.769803183730419</v>
      </c>
      <c r="P50" s="8" t="b">
        <f aca="false">O50-N50&lt;$S$2</f>
        <v>1</v>
      </c>
      <c r="Q50" s="2"/>
      <c r="R50" s="2"/>
      <c r="S50" s="2"/>
    </row>
    <row r="51" customFormat="false" ht="14.25" hidden="false" customHeight="false" outlineLevel="0" collapsed="false">
      <c r="A51" s="4" t="s">
        <v>90</v>
      </c>
      <c r="B51" s="4" t="s">
        <v>82</v>
      </c>
      <c r="C51" s="5" t="n">
        <v>1</v>
      </c>
      <c r="D51" s="5" t="n">
        <v>1461</v>
      </c>
      <c r="E51" s="5" t="n">
        <v>729</v>
      </c>
      <c r="F51" s="5" t="n">
        <v>36</v>
      </c>
      <c r="G51" s="5" t="n">
        <v>7</v>
      </c>
      <c r="H51" s="5" t="n">
        <v>1425</v>
      </c>
      <c r="I51" s="6" t="n">
        <v>5</v>
      </c>
      <c r="J51" s="6" t="n">
        <v>18</v>
      </c>
      <c r="K51" s="6" t="n">
        <v>47</v>
      </c>
      <c r="L51" s="6" t="n">
        <v>47</v>
      </c>
      <c r="M51" s="4" t="str">
        <f aca="false">IF(AND(K51="",L51=""),"No closed tickets",IF(K51="","MISSING in catalog",IF(L51="","No valid closed tickets",IF(AND(ABS(K51-L51)&gt;=$S$3,ABS(K51-L51)&gt;=$S$4*MAX(L51,1)),"FAR OFF","OK"))))</f>
        <v>OK</v>
      </c>
      <c r="N51" s="7" t="n">
        <f aca="false">D51/SUMIFS($D$2:$D$741,$B$2:$B$741,B51)</f>
        <v>0.0308859903177388</v>
      </c>
      <c r="O51" s="7" t="n">
        <f aca="false">SUMIFS($D$2:D51,$B$2:B51,B51)/SUMIFS($D$2:$D$741,$B$2:$B$741,B51)</f>
        <v>0.800689174048158</v>
      </c>
      <c r="P51" s="8" t="b">
        <f aca="false">O51-N51&lt;$S$2</f>
        <v>1</v>
      </c>
      <c r="Q51" s="2"/>
      <c r="R51" s="2"/>
      <c r="S51" s="2"/>
    </row>
    <row r="52" customFormat="false" ht="14.25" hidden="false" customHeight="false" outlineLevel="0" collapsed="false">
      <c r="A52" s="4" t="s">
        <v>91</v>
      </c>
      <c r="B52" s="4" t="s">
        <v>82</v>
      </c>
      <c r="C52" s="5" t="n">
        <v>1</v>
      </c>
      <c r="D52" s="5" t="n">
        <v>1270</v>
      </c>
      <c r="E52" s="5" t="n">
        <v>359</v>
      </c>
      <c r="F52" s="5" t="n">
        <v>167</v>
      </c>
      <c r="G52" s="5" t="n">
        <v>103</v>
      </c>
      <c r="H52" s="5" t="n">
        <v>1103</v>
      </c>
      <c r="I52" s="6" t="n">
        <v>21</v>
      </c>
      <c r="J52" s="6" t="n">
        <v>33.7</v>
      </c>
      <c r="K52" s="6" t="n">
        <v>65</v>
      </c>
      <c r="L52" s="6" t="n">
        <v>65</v>
      </c>
      <c r="M52" s="4" t="str">
        <f aca="false">IF(AND(K52="",L52=""),"No closed tickets",IF(K52="","MISSING in catalog",IF(L52="","No valid closed tickets",IF(AND(ABS(K52-L52)&gt;=$S$3,ABS(K52-L52)&gt;=$S$4*MAX(L52,1)),"FAR OFF","OK"))))</f>
        <v>OK</v>
      </c>
      <c r="N52" s="7" t="n">
        <f aca="false">D52/SUMIFS($D$2:$D$741,$B$2:$B$741,B52)</f>
        <v>0.0268481914466313</v>
      </c>
      <c r="O52" s="7" t="n">
        <f aca="false">SUMIFS($D$2:D52,$B$2:B52,B52)/SUMIFS($D$2:$D$741,$B$2:$B$741,B52)</f>
        <v>0.827537365494789</v>
      </c>
      <c r="P52" s="8" t="b">
        <f aca="false">O52-N52&lt;$S$2</f>
        <v>1</v>
      </c>
      <c r="Q52" s="2"/>
      <c r="R52" s="2"/>
      <c r="S52" s="2"/>
    </row>
    <row r="53" customFormat="false" ht="14.25" hidden="false" customHeight="false" outlineLevel="0" collapsed="false">
      <c r="A53" s="4" t="s">
        <v>92</v>
      </c>
      <c r="B53" s="4" t="s">
        <v>82</v>
      </c>
      <c r="C53" s="5" t="n">
        <v>1</v>
      </c>
      <c r="D53" s="5" t="n">
        <v>1260</v>
      </c>
      <c r="E53" s="5" t="n">
        <v>302</v>
      </c>
      <c r="F53" s="5" t="n">
        <v>33</v>
      </c>
      <c r="G53" s="5" t="n">
        <v>3</v>
      </c>
      <c r="H53" s="5" t="n">
        <v>1227</v>
      </c>
      <c r="I53" s="6" t="n">
        <v>11</v>
      </c>
      <c r="J53" s="6" t="n">
        <v>22.9</v>
      </c>
      <c r="K53" s="6" t="n">
        <v>44</v>
      </c>
      <c r="L53" s="6" t="n">
        <v>44</v>
      </c>
      <c r="M53" s="4" t="str">
        <f aca="false">IF(AND(K53="",L53=""),"No closed tickets",IF(K53="","MISSING in catalog",IF(L53="","No valid closed tickets",IF(AND(ABS(K53-L53)&gt;=$S$3,ABS(K53-L53)&gt;=$S$4*MAX(L53,1)),"FAR OFF","OK"))))</f>
        <v>OK</v>
      </c>
      <c r="N53" s="7" t="n">
        <f aca="false">D53/SUMIFS($D$2:$D$741,$B$2:$B$741,B53)</f>
        <v>0.0266367883643744</v>
      </c>
      <c r="O53" s="7" t="n">
        <f aca="false">SUMIFS($D$2:D53,$B$2:B53,B53)/SUMIFS($D$2:$D$741,$B$2:$B$741,B53)</f>
        <v>0.854174153859163</v>
      </c>
      <c r="P53" s="8" t="b">
        <f aca="false">O53-N53&lt;$S$2</f>
        <v>1</v>
      </c>
      <c r="Q53" s="2"/>
      <c r="R53" s="2"/>
      <c r="S53" s="2"/>
    </row>
    <row r="54" customFormat="false" ht="14.25" hidden="false" customHeight="false" outlineLevel="0" collapsed="false">
      <c r="A54" s="4" t="s">
        <v>93</v>
      </c>
      <c r="B54" s="4" t="s">
        <v>82</v>
      </c>
      <c r="C54" s="5" t="n">
        <v>1</v>
      </c>
      <c r="D54" s="5" t="n">
        <v>902</v>
      </c>
      <c r="E54" s="5" t="n">
        <v>248</v>
      </c>
      <c r="F54" s="5" t="n">
        <v>39</v>
      </c>
      <c r="G54" s="5" t="n">
        <v>36</v>
      </c>
      <c r="H54" s="5" t="n">
        <v>863</v>
      </c>
      <c r="I54" s="6" t="n">
        <v>3</v>
      </c>
      <c r="J54" s="6" t="n">
        <v>5.2</v>
      </c>
      <c r="K54" s="6" t="n">
        <v>12</v>
      </c>
      <c r="L54" s="6" t="n">
        <v>12</v>
      </c>
      <c r="M54" s="4" t="str">
        <f aca="false">IF(AND(K54="",L54=""),"No closed tickets",IF(K54="","MISSING in catalog",IF(L54="","No valid closed tickets",IF(AND(ABS(K54-L54)&gt;=$S$3,ABS(K54-L54)&gt;=$S$4*MAX(L54,1)),"FAR OFF","OK"))))</f>
        <v>OK</v>
      </c>
      <c r="N54" s="7" t="n">
        <f aca="false">D54/SUMIFS($D$2:$D$741,$B$2:$B$741,B54)</f>
        <v>0.0190685580195759</v>
      </c>
      <c r="O54" s="7" t="n">
        <f aca="false">SUMIFS($D$2:D54,$B$2:B54,B54)/SUMIFS($D$2:$D$741,$B$2:$B$741,B54)</f>
        <v>0.873242711878739</v>
      </c>
      <c r="P54" s="8" t="b">
        <f aca="false">O54-N54&lt;$S$2</f>
        <v>1</v>
      </c>
      <c r="Q54" s="2"/>
      <c r="R54" s="2"/>
      <c r="S54" s="2"/>
    </row>
    <row r="55" customFormat="false" ht="14.25" hidden="false" customHeight="false" outlineLevel="0" collapsed="false">
      <c r="A55" s="4" t="s">
        <v>94</v>
      </c>
      <c r="B55" s="4" t="s">
        <v>82</v>
      </c>
      <c r="C55" s="5" t="n">
        <v>1</v>
      </c>
      <c r="D55" s="5" t="n">
        <v>650</v>
      </c>
      <c r="E55" s="5" t="n">
        <v>233</v>
      </c>
      <c r="F55" s="5" t="n">
        <v>5</v>
      </c>
      <c r="G55" s="5" t="n">
        <v>1</v>
      </c>
      <c r="H55" s="5" t="n">
        <v>645</v>
      </c>
      <c r="I55" s="6" t="n">
        <v>13</v>
      </c>
      <c r="J55" s="6" t="n">
        <v>19.7</v>
      </c>
      <c r="K55" s="6" t="n">
        <v>34</v>
      </c>
      <c r="L55" s="6" t="n">
        <v>34</v>
      </c>
      <c r="M55" s="4" t="str">
        <f aca="false">IF(AND(K55="",L55=""),"No closed tickets",IF(K55="","MISSING in catalog",IF(L55="","No valid closed tickets",IF(AND(ABS(K55-L55)&gt;=$S$3,ABS(K55-L55)&gt;=$S$4*MAX(L55,1)),"FAR OFF","OK"))))</f>
        <v>OK</v>
      </c>
      <c r="N55" s="7" t="n">
        <f aca="false">D55/SUMIFS($D$2:$D$741,$B$2:$B$741,B55)</f>
        <v>0.0137412003467011</v>
      </c>
      <c r="O55" s="7" t="n">
        <f aca="false">SUMIFS($D$2:D55,$B$2:B55,B55)/SUMIFS($D$2:$D$741,$B$2:$B$741,B55)</f>
        <v>0.88698391222544</v>
      </c>
      <c r="P55" s="8" t="b">
        <f aca="false">O55-N55&lt;$S$2</f>
        <v>1</v>
      </c>
      <c r="Q55" s="2"/>
      <c r="R55" s="2"/>
      <c r="S55" s="2"/>
    </row>
    <row r="56" customFormat="false" ht="14.25" hidden="false" customHeight="false" outlineLevel="0" collapsed="false">
      <c r="A56" s="4" t="s">
        <v>95</v>
      </c>
      <c r="B56" s="4" t="s">
        <v>82</v>
      </c>
      <c r="C56" s="5" t="n">
        <v>1</v>
      </c>
      <c r="D56" s="5" t="n">
        <v>601</v>
      </c>
      <c r="E56" s="5" t="n">
        <v>127</v>
      </c>
      <c r="F56" s="5" t="n">
        <v>4</v>
      </c>
      <c r="G56" s="5" t="n">
        <v>0</v>
      </c>
      <c r="H56" s="5" t="n">
        <v>597</v>
      </c>
      <c r="I56" s="6" t="n">
        <v>10</v>
      </c>
      <c r="J56" s="6" t="n">
        <v>15</v>
      </c>
      <c r="K56" s="6" t="n">
        <v>31</v>
      </c>
      <c r="L56" s="6" t="n">
        <v>31</v>
      </c>
      <c r="M56" s="4" t="str">
        <f aca="false">IF(AND(K56="",L56=""),"No closed tickets",IF(K56="","MISSING in catalog",IF(L56="","No valid closed tickets",IF(AND(ABS(K56-L56)&gt;=$S$3,ABS(K56-L56)&gt;=$S$4*MAX(L56,1)),"FAR OFF","OK"))))</f>
        <v>OK</v>
      </c>
      <c r="N56" s="7" t="n">
        <f aca="false">D56/SUMIFS($D$2:$D$741,$B$2:$B$741,B56)</f>
        <v>0.0127053252436421</v>
      </c>
      <c r="O56" s="7" t="n">
        <f aca="false">SUMIFS($D$2:D56,$B$2:B56,B56)/SUMIFS($D$2:$D$741,$B$2:$B$741,B56)</f>
        <v>0.899689237469082</v>
      </c>
      <c r="P56" s="8" t="b">
        <f aca="false">O56-N56&lt;$S$2</f>
        <v>1</v>
      </c>
      <c r="Q56" s="2"/>
      <c r="R56" s="2"/>
      <c r="S56" s="2"/>
    </row>
    <row r="57" customFormat="false" ht="14.25" hidden="false" customHeight="false" outlineLevel="0" collapsed="false">
      <c r="A57" s="4" t="s">
        <v>96</v>
      </c>
      <c r="B57" s="4" t="s">
        <v>82</v>
      </c>
      <c r="C57" s="5" t="n">
        <v>1</v>
      </c>
      <c r="D57" s="5" t="n">
        <v>524</v>
      </c>
      <c r="E57" s="5" t="n">
        <v>102</v>
      </c>
      <c r="F57" s="5" t="n">
        <v>8</v>
      </c>
      <c r="G57" s="5" t="n">
        <v>2</v>
      </c>
      <c r="H57" s="5" t="n">
        <v>516</v>
      </c>
      <c r="I57" s="6" t="n">
        <v>6</v>
      </c>
      <c r="J57" s="6" t="n">
        <v>14.3</v>
      </c>
      <c r="K57" s="6" t="n">
        <v>24</v>
      </c>
      <c r="L57" s="6" t="n">
        <v>23.5</v>
      </c>
      <c r="M57" s="4" t="str">
        <f aca="false">IF(AND(K57="",L57=""),"No closed tickets",IF(K57="","MISSING in catalog",IF(L57="","No valid closed tickets",IF(AND(ABS(K57-L57)&gt;=$S$3,ABS(K57-L57)&gt;=$S$4*MAX(L57,1)),"FAR OFF","OK"))))</f>
        <v>OK</v>
      </c>
      <c r="N57" s="7" t="n">
        <f aca="false">D57/SUMIFS($D$2:$D$741,$B$2:$B$741,B57)</f>
        <v>0.0110775215102636</v>
      </c>
      <c r="O57" s="7" t="n">
        <f aca="false">SUMIFS($D$2:D57,$B$2:B57,B57)/SUMIFS($D$2:$D$741,$B$2:$B$741,B57)</f>
        <v>0.910766758979346</v>
      </c>
      <c r="P57" s="8" t="b">
        <f aca="false">O57-N57&lt;$S$2</f>
        <v>1</v>
      </c>
      <c r="Q57" s="2"/>
      <c r="R57" s="2"/>
      <c r="S57" s="2"/>
    </row>
    <row r="58" customFormat="false" ht="14.25" hidden="false" customHeight="false" outlineLevel="0" collapsed="false">
      <c r="A58" s="4" t="s">
        <v>97</v>
      </c>
      <c r="B58" s="4" t="s">
        <v>82</v>
      </c>
      <c r="C58" s="5" t="n">
        <v>1</v>
      </c>
      <c r="D58" s="5" t="n">
        <v>483</v>
      </c>
      <c r="E58" s="5" t="n">
        <v>13</v>
      </c>
      <c r="F58" s="5" t="n">
        <v>0</v>
      </c>
      <c r="G58" s="5" t="n">
        <v>0</v>
      </c>
      <c r="H58" s="5" t="n">
        <v>483</v>
      </c>
      <c r="I58" s="6" t="n">
        <v>1</v>
      </c>
      <c r="J58" s="6" t="n">
        <v>3.4</v>
      </c>
      <c r="K58" s="6" t="n">
        <v>6</v>
      </c>
      <c r="L58" s="6" t="n">
        <v>6</v>
      </c>
      <c r="M58" s="4" t="str">
        <f aca="false">IF(AND(K58="",L58=""),"No closed tickets",IF(K58="","MISSING in catalog",IF(L58="","No valid closed tickets",IF(AND(ABS(K58-L58)&gt;=$S$3,ABS(K58-L58)&gt;=$S$4*MAX(L58,1)),"FAR OFF","OK"))))</f>
        <v>OK</v>
      </c>
      <c r="N58" s="7" t="n">
        <f aca="false">D58/SUMIFS($D$2:$D$741,$B$2:$B$741,B58)</f>
        <v>0.0102107688730102</v>
      </c>
      <c r="O58" s="7" t="n">
        <f aca="false">SUMIFS($D$2:D58,$B$2:B58,B58)/SUMIFS($D$2:$D$741,$B$2:$B$741,B58)</f>
        <v>0.920977527852356</v>
      </c>
      <c r="P58" s="8" t="b">
        <f aca="false">O58-N58&lt;$S$2</f>
        <v>1</v>
      </c>
      <c r="Q58" s="2"/>
      <c r="R58" s="2"/>
      <c r="S58" s="2"/>
    </row>
    <row r="59" customFormat="false" ht="14.25" hidden="false" customHeight="false" outlineLevel="0" collapsed="false">
      <c r="A59" s="4" t="s">
        <v>98</v>
      </c>
      <c r="B59" s="4" t="s">
        <v>82</v>
      </c>
      <c r="C59" s="5" t="n">
        <v>1</v>
      </c>
      <c r="D59" s="5" t="n">
        <v>473</v>
      </c>
      <c r="E59" s="5" t="n">
        <v>0</v>
      </c>
      <c r="F59" s="5" t="n">
        <v>4</v>
      </c>
      <c r="G59" s="5" t="n">
        <v>4</v>
      </c>
      <c r="H59" s="5" t="n">
        <v>469</v>
      </c>
      <c r="I59" s="6" t="n">
        <v>2</v>
      </c>
      <c r="J59" s="6" t="n">
        <v>2.9</v>
      </c>
      <c r="K59" s="6" t="n">
        <v>6</v>
      </c>
      <c r="L59" s="6" t="n">
        <v>6</v>
      </c>
      <c r="M59" s="4" t="str">
        <f aca="false">IF(AND(K59="",L59=""),"No closed tickets",IF(K59="","MISSING in catalog",IF(L59="","No valid closed tickets",IF(AND(ABS(K59-L59)&gt;=$S$3,ABS(K59-L59)&gt;=$S$4*MAX(L59,1)),"FAR OFF","OK"))))</f>
        <v>OK</v>
      </c>
      <c r="N59" s="7" t="n">
        <f aca="false">D59/SUMIFS($D$2:$D$741,$B$2:$B$741,B59)</f>
        <v>0.00999936579075323</v>
      </c>
      <c r="O59" s="7" t="n">
        <f aca="false">SUMIFS($D$2:D59,$B$2:B59,B59)/SUMIFS($D$2:$D$741,$B$2:$B$741,B59)</f>
        <v>0.930976893643109</v>
      </c>
      <c r="P59" s="8" t="b">
        <f aca="false">O59-N59&lt;$S$2</f>
        <v>1</v>
      </c>
      <c r="Q59" s="2"/>
      <c r="R59" s="2"/>
      <c r="S59" s="2"/>
    </row>
    <row r="60" customFormat="false" ht="14.25" hidden="false" customHeight="false" outlineLevel="0" collapsed="false">
      <c r="A60" s="4" t="s">
        <v>99</v>
      </c>
      <c r="B60" s="4" t="s">
        <v>82</v>
      </c>
      <c r="C60" s="5" t="n">
        <v>1</v>
      </c>
      <c r="D60" s="5" t="n">
        <v>406</v>
      </c>
      <c r="E60" s="5" t="n">
        <v>0</v>
      </c>
      <c r="F60" s="5" t="n">
        <v>0</v>
      </c>
      <c r="G60" s="5" t="n">
        <v>0</v>
      </c>
      <c r="H60" s="5" t="n">
        <v>406</v>
      </c>
      <c r="I60" s="6" t="n">
        <v>27</v>
      </c>
      <c r="J60" s="6" t="n">
        <v>33.4</v>
      </c>
      <c r="K60" s="6" t="n">
        <v>68</v>
      </c>
      <c r="L60" s="6" t="n">
        <v>68</v>
      </c>
      <c r="M60" s="4" t="str">
        <f aca="false">IF(AND(K60="",L60=""),"No closed tickets",IF(K60="","MISSING in catalog",IF(L60="","No valid closed tickets",IF(AND(ABS(K60-L60)&gt;=$S$3,ABS(K60-L60)&gt;=$S$4*MAX(L60,1)),"FAR OFF","OK"))))</f>
        <v>OK</v>
      </c>
      <c r="N60" s="7" t="n">
        <f aca="false">D60/SUMIFS($D$2:$D$741,$B$2:$B$741,B60)</f>
        <v>0.00858296513963174</v>
      </c>
      <c r="O60" s="7" t="n">
        <f aca="false">SUMIFS($D$2:D60,$B$2:B60,B60)/SUMIFS($D$2:$D$741,$B$2:$B$741,B60)</f>
        <v>0.939559858782741</v>
      </c>
      <c r="P60" s="8" t="b">
        <f aca="false">O60-N60&lt;$S$2</f>
        <v>1</v>
      </c>
      <c r="Q60" s="2"/>
      <c r="R60" s="2"/>
      <c r="S60" s="2"/>
    </row>
    <row r="61" customFormat="false" ht="14.25" hidden="false" customHeight="false" outlineLevel="0" collapsed="false">
      <c r="A61" s="4" t="s">
        <v>100</v>
      </c>
      <c r="B61" s="4" t="s">
        <v>82</v>
      </c>
      <c r="C61" s="5" t="n">
        <v>1</v>
      </c>
      <c r="D61" s="5" t="n">
        <v>398</v>
      </c>
      <c r="E61" s="5" t="n">
        <v>100</v>
      </c>
      <c r="F61" s="5" t="n">
        <v>1</v>
      </c>
      <c r="G61" s="5" t="n">
        <v>0</v>
      </c>
      <c r="H61" s="5" t="n">
        <v>397</v>
      </c>
      <c r="I61" s="6" t="n">
        <v>5</v>
      </c>
      <c r="J61" s="6" t="n">
        <v>14.3</v>
      </c>
      <c r="K61" s="6" t="n">
        <v>28</v>
      </c>
      <c r="L61" s="6" t="n">
        <v>28</v>
      </c>
      <c r="M61" s="4" t="str">
        <f aca="false">IF(AND(K61="",L61=""),"No closed tickets",IF(K61="","MISSING in catalog",IF(L61="","No valid closed tickets",IF(AND(ABS(K61-L61)&gt;=$S$3,ABS(K61-L61)&gt;=$S$4*MAX(L61,1)),"FAR OFF","OK"))))</f>
        <v>OK</v>
      </c>
      <c r="N61" s="7" t="n">
        <f aca="false">D61/SUMIFS($D$2:$D$741,$B$2:$B$741,B61)</f>
        <v>0.00841384267382618</v>
      </c>
      <c r="O61" s="7" t="n">
        <f aca="false">SUMIFS($D$2:D61,$B$2:B61,B61)/SUMIFS($D$2:$D$741,$B$2:$B$741,B61)</f>
        <v>0.947973701456567</v>
      </c>
      <c r="P61" s="8" t="b">
        <f aca="false">O61-N61&lt;$S$2</f>
        <v>1</v>
      </c>
      <c r="Q61" s="2"/>
      <c r="R61" s="2"/>
      <c r="S61" s="2"/>
    </row>
    <row r="62" customFormat="false" ht="14.25" hidden="false" customHeight="false" outlineLevel="0" collapsed="false">
      <c r="A62" s="4" t="s">
        <v>101</v>
      </c>
      <c r="B62" s="4" t="s">
        <v>82</v>
      </c>
      <c r="C62" s="5" t="n">
        <v>1</v>
      </c>
      <c r="D62" s="5" t="n">
        <v>372</v>
      </c>
      <c r="E62" s="5" t="n">
        <v>85</v>
      </c>
      <c r="F62" s="5" t="n">
        <v>0</v>
      </c>
      <c r="G62" s="5" t="n">
        <v>0</v>
      </c>
      <c r="H62" s="5" t="n">
        <v>372</v>
      </c>
      <c r="I62" s="6" t="n">
        <v>2</v>
      </c>
      <c r="J62" s="6" t="n">
        <v>3.6</v>
      </c>
      <c r="K62" s="6" t="n">
        <v>8</v>
      </c>
      <c r="L62" s="6" t="n">
        <v>8</v>
      </c>
      <c r="M62" s="4" t="str">
        <f aca="false">IF(AND(K62="",L62=""),"No closed tickets",IF(K62="","MISSING in catalog",IF(L62="","No valid closed tickets",IF(AND(ABS(K62-L62)&gt;=$S$3,ABS(K62-L62)&gt;=$S$4*MAX(L62,1)),"FAR OFF","OK"))))</f>
        <v>OK</v>
      </c>
      <c r="N62" s="7" t="n">
        <f aca="false">D62/SUMIFS($D$2:$D$741,$B$2:$B$741,B62)</f>
        <v>0.00786419465995814</v>
      </c>
      <c r="O62" s="7" t="n">
        <f aca="false">SUMIFS($D$2:D62,$B$2:B62,B62)/SUMIFS($D$2:$D$741,$B$2:$B$741,B62)</f>
        <v>0.955837896116525</v>
      </c>
      <c r="P62" s="8" t="b">
        <f aca="false">O62-N62&lt;$S$2</f>
        <v>1</v>
      </c>
      <c r="Q62" s="2"/>
      <c r="R62" s="2"/>
      <c r="S62" s="2"/>
    </row>
    <row r="63" customFormat="false" ht="14.25" hidden="false" customHeight="false" outlineLevel="0" collapsed="false">
      <c r="A63" s="4" t="s">
        <v>102</v>
      </c>
      <c r="B63" s="4" t="s">
        <v>82</v>
      </c>
      <c r="C63" s="5" t="n">
        <v>1</v>
      </c>
      <c r="D63" s="5" t="n">
        <v>293</v>
      </c>
      <c r="E63" s="5" t="n">
        <v>140</v>
      </c>
      <c r="F63" s="5" t="n">
        <v>43</v>
      </c>
      <c r="G63" s="5" t="n">
        <v>7</v>
      </c>
      <c r="H63" s="5" t="n">
        <v>250</v>
      </c>
      <c r="I63" s="6" t="n">
        <v>60.5</v>
      </c>
      <c r="J63" s="6" t="n">
        <v>65.6</v>
      </c>
      <c r="K63" s="6" t="n">
        <v>120</v>
      </c>
      <c r="L63" s="6" t="n">
        <v>120</v>
      </c>
      <c r="M63" s="4" t="str">
        <f aca="false">IF(AND(K63="",L63=""),"No closed tickets",IF(K63="","MISSING in catalog",IF(L63="","No valid closed tickets",IF(AND(ABS(K63-L63)&gt;=$S$3,ABS(K63-L63)&gt;=$S$4*MAX(L63,1)),"FAR OFF","OK"))))</f>
        <v>OK</v>
      </c>
      <c r="N63" s="7" t="n">
        <f aca="false">D63/SUMIFS($D$2:$D$741,$B$2:$B$741,B63)</f>
        <v>0.00619411031012832</v>
      </c>
      <c r="O63" s="7" t="n">
        <f aca="false">SUMIFS($D$2:D63,$B$2:B63,B63)/SUMIFS($D$2:$D$741,$B$2:$B$741,B63)</f>
        <v>0.962032006426654</v>
      </c>
      <c r="P63" s="8" t="b">
        <f aca="false">O63-N63&lt;$S$2</f>
        <v>0</v>
      </c>
      <c r="Q63" s="2"/>
      <c r="R63" s="2"/>
      <c r="S63" s="2"/>
    </row>
    <row r="64" customFormat="false" ht="14.25" hidden="false" customHeight="false" outlineLevel="0" collapsed="false">
      <c r="A64" s="4" t="s">
        <v>103</v>
      </c>
      <c r="B64" s="4" t="s">
        <v>82</v>
      </c>
      <c r="C64" s="5" t="n">
        <v>1</v>
      </c>
      <c r="D64" s="5" t="n">
        <v>261</v>
      </c>
      <c r="E64" s="5" t="n">
        <v>49</v>
      </c>
      <c r="F64" s="5" t="n">
        <v>4</v>
      </c>
      <c r="G64" s="5" t="n">
        <v>3</v>
      </c>
      <c r="H64" s="5" t="n">
        <v>257</v>
      </c>
      <c r="I64" s="6" t="n">
        <v>3</v>
      </c>
      <c r="J64" s="6" t="n">
        <v>22.8</v>
      </c>
      <c r="K64" s="6" t="n">
        <v>14</v>
      </c>
      <c r="L64" s="6" t="n">
        <v>14.4</v>
      </c>
      <c r="M64" s="4" t="str">
        <f aca="false">IF(AND(K64="",L64=""),"No closed tickets",IF(K64="","MISSING in catalog",IF(L64="","No valid closed tickets",IF(AND(ABS(K64-L64)&gt;=$S$3,ABS(K64-L64)&gt;=$S$4*MAX(L64,1)),"FAR OFF","OK"))))</f>
        <v>OK</v>
      </c>
      <c r="N64" s="7" t="n">
        <f aca="false">D64/SUMIFS($D$2:$D$741,$B$2:$B$741,B64)</f>
        <v>0.00551762044690612</v>
      </c>
      <c r="O64" s="7" t="n">
        <f aca="false">SUMIFS($D$2:D64,$B$2:B64,B64)/SUMIFS($D$2:$D$741,$B$2:$B$741,B64)</f>
        <v>0.96754962687356</v>
      </c>
      <c r="P64" s="8" t="b">
        <f aca="false">O64-N64&lt;$S$2</f>
        <v>0</v>
      </c>
      <c r="Q64" s="2"/>
      <c r="R64" s="2"/>
      <c r="S64" s="2"/>
    </row>
    <row r="65" customFormat="false" ht="14.25" hidden="false" customHeight="false" outlineLevel="0" collapsed="false">
      <c r="A65" s="4" t="s">
        <v>104</v>
      </c>
      <c r="B65" s="4" t="s">
        <v>82</v>
      </c>
      <c r="C65" s="5" t="n">
        <v>1</v>
      </c>
      <c r="D65" s="5" t="n">
        <v>215</v>
      </c>
      <c r="E65" s="5" t="n">
        <v>173</v>
      </c>
      <c r="F65" s="5" t="n">
        <v>4</v>
      </c>
      <c r="G65" s="5" t="n">
        <v>2</v>
      </c>
      <c r="H65" s="5" t="n">
        <v>211</v>
      </c>
      <c r="I65" s="6" t="n">
        <v>2</v>
      </c>
      <c r="J65" s="6" t="n">
        <v>3</v>
      </c>
      <c r="K65" s="6" t="n">
        <v>7</v>
      </c>
      <c r="L65" s="6" t="n">
        <v>7</v>
      </c>
      <c r="M65" s="4" t="str">
        <f aca="false">IF(AND(K65="",L65=""),"No closed tickets",IF(K65="","MISSING in catalog",IF(L65="","No valid closed tickets",IF(AND(ABS(K65-L65)&gt;=$S$3,ABS(K65-L65)&gt;=$S$4*MAX(L65,1)),"FAR OFF","OK"))))</f>
        <v>OK</v>
      </c>
      <c r="N65" s="7" t="n">
        <f aca="false">D65/SUMIFS($D$2:$D$741,$B$2:$B$741,B65)</f>
        <v>0.0045451662685242</v>
      </c>
      <c r="O65" s="7" t="n">
        <f aca="false">SUMIFS($D$2:D65,$B$2:B65,B65)/SUMIFS($D$2:$D$741,$B$2:$B$741,B65)</f>
        <v>0.972094793142084</v>
      </c>
      <c r="P65" s="8" t="b">
        <f aca="false">O65-N65&lt;$S$2</f>
        <v>0</v>
      </c>
      <c r="Q65" s="2"/>
      <c r="R65" s="2"/>
      <c r="S65" s="2"/>
    </row>
    <row r="66" customFormat="false" ht="14.25" hidden="false" customHeight="false" outlineLevel="0" collapsed="false">
      <c r="A66" s="4" t="s">
        <v>105</v>
      </c>
      <c r="B66" s="4" t="s">
        <v>82</v>
      </c>
      <c r="C66" s="5" t="n">
        <v>1</v>
      </c>
      <c r="D66" s="5" t="n">
        <v>208</v>
      </c>
      <c r="E66" s="5" t="n">
        <v>47</v>
      </c>
      <c r="F66" s="5" t="n">
        <v>0</v>
      </c>
      <c r="G66" s="5" t="n">
        <v>0</v>
      </c>
      <c r="H66" s="5" t="n">
        <v>208</v>
      </c>
      <c r="I66" s="6" t="n">
        <v>1</v>
      </c>
      <c r="J66" s="6" t="n">
        <v>5.6</v>
      </c>
      <c r="K66" s="6" t="n">
        <v>4</v>
      </c>
      <c r="L66" s="6" t="n">
        <v>4.3</v>
      </c>
      <c r="M66" s="4" t="str">
        <f aca="false">IF(AND(K66="",L66=""),"No closed tickets",IF(K66="","MISSING in catalog",IF(L66="","No valid closed tickets",IF(AND(ABS(K66-L66)&gt;=$S$3,ABS(K66-L66)&gt;=$S$4*MAX(L66,1)),"FAR OFF","OK"))))</f>
        <v>OK</v>
      </c>
      <c r="N66" s="7" t="n">
        <f aca="false">D66/SUMIFS($D$2:$D$741,$B$2:$B$741,B66)</f>
        <v>0.00439718411094434</v>
      </c>
      <c r="O66" s="7" t="n">
        <f aca="false">SUMIFS($D$2:D66,$B$2:B66,B66)/SUMIFS($D$2:$D$741,$B$2:$B$741,B66)</f>
        <v>0.976491977253028</v>
      </c>
      <c r="P66" s="8" t="b">
        <f aca="false">O66-N66&lt;$S$2</f>
        <v>0</v>
      </c>
      <c r="Q66" s="2"/>
      <c r="R66" s="2"/>
      <c r="S66" s="2"/>
    </row>
    <row r="67" customFormat="false" ht="14.25" hidden="false" customHeight="false" outlineLevel="0" collapsed="false">
      <c r="A67" s="4" t="s">
        <v>106</v>
      </c>
      <c r="B67" s="4" t="s">
        <v>82</v>
      </c>
      <c r="C67" s="5" t="n">
        <v>1</v>
      </c>
      <c r="D67" s="5" t="n">
        <v>190</v>
      </c>
      <c r="E67" s="5" t="n">
        <v>19</v>
      </c>
      <c r="F67" s="5" t="n">
        <v>1</v>
      </c>
      <c r="G67" s="5" t="n">
        <v>0</v>
      </c>
      <c r="H67" s="5" t="n">
        <v>189</v>
      </c>
      <c r="I67" s="6" t="n">
        <v>5</v>
      </c>
      <c r="J67" s="6" t="n">
        <v>13.3</v>
      </c>
      <c r="K67" s="6" t="n">
        <v>35</v>
      </c>
      <c r="L67" s="6" t="n">
        <v>35</v>
      </c>
      <c r="M67" s="4" t="str">
        <f aca="false">IF(AND(K67="",L67=""),"No closed tickets",IF(K67="","MISSING in catalog",IF(L67="","No valid closed tickets",IF(AND(ABS(K67-L67)&gt;=$S$3,ABS(K67-L67)&gt;=$S$4*MAX(L67,1)),"FAR OFF","OK"))))</f>
        <v>OK</v>
      </c>
      <c r="N67" s="7" t="n">
        <f aca="false">D67/SUMIFS($D$2:$D$741,$B$2:$B$741,B67)</f>
        <v>0.00401665856288185</v>
      </c>
      <c r="O67" s="7" t="n">
        <f aca="false">SUMIFS($D$2:D67,$B$2:B67,B67)/SUMIFS($D$2:$D$741,$B$2:$B$741,B67)</f>
        <v>0.98050863581591</v>
      </c>
      <c r="P67" s="8" t="b">
        <f aca="false">O67-N67&lt;$S$2</f>
        <v>0</v>
      </c>
      <c r="Q67" s="2"/>
      <c r="R67" s="2"/>
      <c r="S67" s="2"/>
    </row>
    <row r="68" customFormat="false" ht="14.25" hidden="false" customHeight="false" outlineLevel="0" collapsed="false">
      <c r="A68" s="4" t="s">
        <v>107</v>
      </c>
      <c r="B68" s="4" t="s">
        <v>82</v>
      </c>
      <c r="C68" s="5" t="n">
        <v>1</v>
      </c>
      <c r="D68" s="5" t="n">
        <v>164</v>
      </c>
      <c r="E68" s="5" t="n">
        <v>25</v>
      </c>
      <c r="F68" s="5" t="n">
        <v>1</v>
      </c>
      <c r="G68" s="5" t="n">
        <v>0</v>
      </c>
      <c r="H68" s="5" t="n">
        <v>163</v>
      </c>
      <c r="I68" s="6" t="n">
        <v>4</v>
      </c>
      <c r="J68" s="6" t="n">
        <v>6.5</v>
      </c>
      <c r="K68" s="6" t="n">
        <v>13</v>
      </c>
      <c r="L68" s="6" t="n">
        <v>13</v>
      </c>
      <c r="M68" s="4" t="str">
        <f aca="false">IF(AND(K68="",L68=""),"No closed tickets",IF(K68="","MISSING in catalog",IF(L68="","No valid closed tickets",IF(AND(ABS(K68-L68)&gt;=$S$3,ABS(K68-L68)&gt;=$S$4*MAX(L68,1)),"FAR OFF","OK"))))</f>
        <v>OK</v>
      </c>
      <c r="N68" s="7" t="n">
        <f aca="false">D68/SUMIFS($D$2:$D$741,$B$2:$B$741,B68)</f>
        <v>0.0034670105490138</v>
      </c>
      <c r="O68" s="7" t="n">
        <f aca="false">SUMIFS($D$2:D68,$B$2:B68,B68)/SUMIFS($D$2:$D$741,$B$2:$B$741,B68)</f>
        <v>0.983975646364924</v>
      </c>
      <c r="P68" s="8" t="b">
        <f aca="false">O68-N68&lt;$S$2</f>
        <v>0</v>
      </c>
      <c r="Q68" s="2"/>
      <c r="R68" s="2"/>
      <c r="S68" s="2"/>
    </row>
    <row r="69" customFormat="false" ht="14.25" hidden="false" customHeight="false" outlineLevel="0" collapsed="false">
      <c r="A69" s="4" t="s">
        <v>108</v>
      </c>
      <c r="B69" s="4" t="s">
        <v>82</v>
      </c>
      <c r="C69" s="5" t="n">
        <v>1</v>
      </c>
      <c r="D69" s="5" t="n">
        <v>157</v>
      </c>
      <c r="E69" s="5" t="n">
        <v>115</v>
      </c>
      <c r="F69" s="5" t="n">
        <v>13</v>
      </c>
      <c r="G69" s="5" t="n">
        <v>1</v>
      </c>
      <c r="H69" s="5" t="n">
        <v>144</v>
      </c>
      <c r="I69" s="6" t="n">
        <v>10</v>
      </c>
      <c r="J69" s="6" t="n">
        <v>12.9</v>
      </c>
      <c r="K69" s="6" t="n">
        <v>27</v>
      </c>
      <c r="L69" s="6" t="n">
        <v>27</v>
      </c>
      <c r="M69" s="4" t="str">
        <f aca="false">IF(AND(K69="",L69=""),"No closed tickets",IF(K69="","MISSING in catalog",IF(L69="","No valid closed tickets",IF(AND(ABS(K69-L69)&gt;=$S$3,ABS(K69-L69)&gt;=$S$4*MAX(L69,1)),"FAR OFF","OK"))))</f>
        <v>OK</v>
      </c>
      <c r="N69" s="7" t="n">
        <f aca="false">D69/SUMIFS($D$2:$D$741,$B$2:$B$741,B69)</f>
        <v>0.00331902839143395</v>
      </c>
      <c r="O69" s="7" t="n">
        <f aca="false">SUMIFS($D$2:D69,$B$2:B69,B69)/SUMIFS($D$2:$D$741,$B$2:$B$741,B69)</f>
        <v>0.987294674756358</v>
      </c>
      <c r="P69" s="8" t="b">
        <f aca="false">O69-N69&lt;$S$2</f>
        <v>0</v>
      </c>
      <c r="Q69" s="2"/>
      <c r="R69" s="2"/>
      <c r="S69" s="2"/>
    </row>
    <row r="70" customFormat="false" ht="14.25" hidden="false" customHeight="false" outlineLevel="0" collapsed="false">
      <c r="A70" s="4" t="s">
        <v>109</v>
      </c>
      <c r="B70" s="4" t="s">
        <v>82</v>
      </c>
      <c r="C70" s="5" t="n">
        <v>1</v>
      </c>
      <c r="D70" s="5" t="n">
        <v>135</v>
      </c>
      <c r="E70" s="5" t="n">
        <v>13</v>
      </c>
      <c r="F70" s="5" t="n">
        <v>4</v>
      </c>
      <c r="G70" s="5" t="n">
        <v>1</v>
      </c>
      <c r="H70" s="5" t="n">
        <v>131</v>
      </c>
      <c r="I70" s="6" t="n">
        <v>6</v>
      </c>
      <c r="J70" s="6" t="n">
        <v>44.8</v>
      </c>
      <c r="K70" s="6" t="n">
        <v>105</v>
      </c>
      <c r="L70" s="6" t="n">
        <v>105</v>
      </c>
      <c r="M70" s="4" t="str">
        <f aca="false">IF(AND(K70="",L70=""),"No closed tickets",IF(K70="","MISSING in catalog",IF(L70="","No valid closed tickets",IF(AND(ABS(K70-L70)&gt;=$S$3,ABS(K70-L70)&gt;=$S$4*MAX(L70,1)),"FAR OFF","OK"))))</f>
        <v>OK</v>
      </c>
      <c r="N70" s="7" t="n">
        <f aca="false">D70/SUMIFS($D$2:$D$741,$B$2:$B$741,B70)</f>
        <v>0.00285394161046868</v>
      </c>
      <c r="O70" s="7" t="n">
        <f aca="false">SUMIFS($D$2:D70,$B$2:B70,B70)/SUMIFS($D$2:$D$741,$B$2:$B$741,B70)</f>
        <v>0.990148616366827</v>
      </c>
      <c r="P70" s="8" t="b">
        <f aca="false">O70-N70&lt;$S$2</f>
        <v>0</v>
      </c>
      <c r="Q70" s="2"/>
      <c r="R70" s="2"/>
      <c r="S70" s="2"/>
    </row>
    <row r="71" customFormat="false" ht="14.25" hidden="false" customHeight="false" outlineLevel="0" collapsed="false">
      <c r="A71" s="4" t="s">
        <v>110</v>
      </c>
      <c r="B71" s="4" t="s">
        <v>82</v>
      </c>
      <c r="C71" s="5" t="n">
        <v>1</v>
      </c>
      <c r="D71" s="5" t="n">
        <v>114</v>
      </c>
      <c r="E71" s="5" t="n">
        <v>27</v>
      </c>
      <c r="F71" s="5" t="n">
        <v>4</v>
      </c>
      <c r="G71" s="5" t="n">
        <v>2</v>
      </c>
      <c r="H71" s="5" t="n">
        <v>110</v>
      </c>
      <c r="I71" s="6" t="n">
        <v>4.5</v>
      </c>
      <c r="J71" s="6" t="n">
        <v>7.3</v>
      </c>
      <c r="K71" s="6" t="n">
        <v>15</v>
      </c>
      <c r="L71" s="6" t="n">
        <v>15</v>
      </c>
      <c r="M71" s="4" t="str">
        <f aca="false">IF(AND(K71="",L71=""),"No closed tickets",IF(K71="","MISSING in catalog",IF(L71="","No valid closed tickets",IF(AND(ABS(K71-L71)&gt;=$S$3,ABS(K71-L71)&gt;=$S$4*MAX(L71,1)),"FAR OFF","OK"))))</f>
        <v>OK</v>
      </c>
      <c r="N71" s="7" t="n">
        <f aca="false">D71/SUMIFS($D$2:$D$741,$B$2:$B$741,B71)</f>
        <v>0.00240999513772911</v>
      </c>
      <c r="O71" s="7" t="n">
        <f aca="false">SUMIFS($D$2:D71,$B$2:B71,B71)/SUMIFS($D$2:$D$741,$B$2:$B$741,B71)</f>
        <v>0.992558611504556</v>
      </c>
      <c r="P71" s="8" t="b">
        <f aca="false">O71-N71&lt;$S$2</f>
        <v>0</v>
      </c>
      <c r="Q71" s="2"/>
      <c r="R71" s="2"/>
      <c r="S71" s="2"/>
    </row>
    <row r="72" customFormat="false" ht="14.25" hidden="false" customHeight="false" outlineLevel="0" collapsed="false">
      <c r="A72" s="4" t="s">
        <v>111</v>
      </c>
      <c r="B72" s="4" t="s">
        <v>82</v>
      </c>
      <c r="C72" s="5" t="n">
        <v>1</v>
      </c>
      <c r="D72" s="5" t="n">
        <v>103</v>
      </c>
      <c r="E72" s="5" t="n">
        <v>14</v>
      </c>
      <c r="F72" s="5" t="n">
        <v>2</v>
      </c>
      <c r="G72" s="5" t="n">
        <v>0</v>
      </c>
      <c r="H72" s="5" t="n">
        <v>101</v>
      </c>
      <c r="I72" s="6" t="n">
        <v>14</v>
      </c>
      <c r="J72" s="6" t="n">
        <v>174.6</v>
      </c>
      <c r="K72" s="6" t="n">
        <v>714</v>
      </c>
      <c r="L72" s="6" t="n">
        <v>714</v>
      </c>
      <c r="M72" s="4" t="str">
        <f aca="false">IF(AND(K72="",L72=""),"No closed tickets",IF(K72="","MISSING in catalog",IF(L72="","No valid closed tickets",IF(AND(ABS(K72-L72)&gt;=$S$3,ABS(K72-L72)&gt;=$S$4*MAX(L72,1)),"FAR OFF","OK"))))</f>
        <v>OK</v>
      </c>
      <c r="N72" s="7" t="n">
        <f aca="false">D72/SUMIFS($D$2:$D$741,$B$2:$B$741,B72)</f>
        <v>0.00217745174724647</v>
      </c>
      <c r="O72" s="7" t="n">
        <f aca="false">SUMIFS($D$2:D72,$B$2:B72,B72)/SUMIFS($D$2:$D$741,$B$2:$B$741,B72)</f>
        <v>0.994736063251802</v>
      </c>
      <c r="P72" s="8" t="b">
        <f aca="false">O72-N72&lt;$S$2</f>
        <v>0</v>
      </c>
      <c r="Q72" s="2"/>
      <c r="R72" s="2"/>
      <c r="S72" s="2"/>
    </row>
    <row r="73" customFormat="false" ht="14.25" hidden="false" customHeight="false" outlineLevel="0" collapsed="false">
      <c r="A73" s="4" t="s">
        <v>112</v>
      </c>
      <c r="B73" s="4" t="s">
        <v>82</v>
      </c>
      <c r="C73" s="5" t="n">
        <v>1</v>
      </c>
      <c r="D73" s="5" t="n">
        <v>68</v>
      </c>
      <c r="E73" s="5" t="n">
        <v>14</v>
      </c>
      <c r="F73" s="5" t="n">
        <v>3</v>
      </c>
      <c r="G73" s="5" t="n">
        <v>1</v>
      </c>
      <c r="H73" s="5" t="n">
        <v>65</v>
      </c>
      <c r="I73" s="6" t="n">
        <v>4</v>
      </c>
      <c r="J73" s="6" t="n">
        <v>46.7</v>
      </c>
      <c r="K73" s="6" t="n">
        <v>220</v>
      </c>
      <c r="L73" s="6" t="n">
        <v>220.2</v>
      </c>
      <c r="M73" s="4" t="str">
        <f aca="false">IF(AND(K73="",L73=""),"No closed tickets",IF(K73="","MISSING in catalog",IF(L73="","No valid closed tickets",IF(AND(ABS(K73-L73)&gt;=$S$3,ABS(K73-L73)&gt;=$S$4*MAX(L73,1)),"FAR OFF","OK"))))</f>
        <v>OK</v>
      </c>
      <c r="N73" s="7" t="n">
        <f aca="false">D73/SUMIFS($D$2:$D$741,$B$2:$B$741,B73)</f>
        <v>0.00143754095934719</v>
      </c>
      <c r="O73" s="7" t="n">
        <f aca="false">SUMIFS($D$2:D73,$B$2:B73,B73)/SUMIFS($D$2:$D$741,$B$2:$B$741,B73)</f>
        <v>0.996173604211149</v>
      </c>
      <c r="P73" s="8" t="b">
        <f aca="false">O73-N73&lt;$S$2</f>
        <v>0</v>
      </c>
      <c r="Q73" s="2"/>
      <c r="R73" s="2"/>
      <c r="S73" s="2"/>
    </row>
    <row r="74" customFormat="false" ht="14.25" hidden="false" customHeight="false" outlineLevel="0" collapsed="false">
      <c r="A74" s="4" t="s">
        <v>113</v>
      </c>
      <c r="B74" s="4" t="s">
        <v>82</v>
      </c>
      <c r="C74" s="5" t="n">
        <v>1</v>
      </c>
      <c r="D74" s="5" t="n">
        <v>67</v>
      </c>
      <c r="E74" s="5" t="n">
        <v>13</v>
      </c>
      <c r="F74" s="5" t="n">
        <v>2</v>
      </c>
      <c r="G74" s="5" t="n">
        <v>0</v>
      </c>
      <c r="H74" s="5" t="n">
        <v>65</v>
      </c>
      <c r="I74" s="6" t="n">
        <v>4</v>
      </c>
      <c r="J74" s="6" t="n">
        <v>6.4</v>
      </c>
      <c r="K74" s="6" t="n">
        <v>13</v>
      </c>
      <c r="L74" s="6" t="n">
        <v>13</v>
      </c>
      <c r="M74" s="4" t="str">
        <f aca="false">IF(AND(K74="",L74=""),"No closed tickets",IF(K74="","MISSING in catalog",IF(L74="","No valid closed tickets",IF(AND(ABS(K74-L74)&gt;=$S$3,ABS(K74-L74)&gt;=$S$4*MAX(L74,1)),"FAR OFF","OK"))))</f>
        <v>OK</v>
      </c>
      <c r="N74" s="7" t="n">
        <f aca="false">D74/SUMIFS($D$2:$D$741,$B$2:$B$741,B74)</f>
        <v>0.00141640065112149</v>
      </c>
      <c r="O74" s="7" t="n">
        <f aca="false">SUMIFS($D$2:D74,$B$2:B74,B74)/SUMIFS($D$2:$D$741,$B$2:$B$741,B74)</f>
        <v>0.997590004862271</v>
      </c>
      <c r="P74" s="8" t="b">
        <f aca="false">O74-N74&lt;$S$2</f>
        <v>0</v>
      </c>
      <c r="Q74" s="2"/>
      <c r="R74" s="2"/>
      <c r="S74" s="2"/>
    </row>
    <row r="75" customFormat="false" ht="14.25" hidden="false" customHeight="false" outlineLevel="0" collapsed="false">
      <c r="A75" s="4" t="s">
        <v>114</v>
      </c>
      <c r="B75" s="4" t="s">
        <v>82</v>
      </c>
      <c r="C75" s="5" t="n">
        <v>1</v>
      </c>
      <c r="D75" s="5" t="n">
        <v>50</v>
      </c>
      <c r="E75" s="5" t="n">
        <v>20</v>
      </c>
      <c r="F75" s="5" t="n">
        <v>1</v>
      </c>
      <c r="G75" s="5" t="n">
        <v>1</v>
      </c>
      <c r="H75" s="5" t="n">
        <v>49</v>
      </c>
      <c r="I75" s="6" t="n">
        <v>2</v>
      </c>
      <c r="J75" s="6" t="n">
        <v>6.7</v>
      </c>
      <c r="K75" s="6" t="n">
        <v>8</v>
      </c>
      <c r="L75" s="6" t="n">
        <v>8.2</v>
      </c>
      <c r="M75" s="4" t="str">
        <f aca="false">IF(AND(K75="",L75=""),"No closed tickets",IF(K75="","MISSING in catalog",IF(L75="","No valid closed tickets",IF(AND(ABS(K75-L75)&gt;=$S$3,ABS(K75-L75)&gt;=$S$4*MAX(L75,1)),"FAR OFF","OK"))))</f>
        <v>OK</v>
      </c>
      <c r="N75" s="7" t="n">
        <f aca="false">D75/SUMIFS($D$2:$D$741,$B$2:$B$741,B75)</f>
        <v>0.0010570154112847</v>
      </c>
      <c r="O75" s="7" t="n">
        <f aca="false">SUMIFS($D$2:D75,$B$2:B75,B75)/SUMIFS($D$2:$D$741,$B$2:$B$741,B75)</f>
        <v>0.998647020273556</v>
      </c>
      <c r="P75" s="8" t="b">
        <f aca="false">O75-N75&lt;$S$2</f>
        <v>0</v>
      </c>
      <c r="Q75" s="2"/>
      <c r="R75" s="2"/>
      <c r="S75" s="2"/>
    </row>
    <row r="76" customFormat="false" ht="14.25" hidden="false" customHeight="false" outlineLevel="0" collapsed="false">
      <c r="A76" s="4" t="s">
        <v>115</v>
      </c>
      <c r="B76" s="4" t="s">
        <v>82</v>
      </c>
      <c r="C76" s="5" t="n">
        <v>1</v>
      </c>
      <c r="D76" s="5" t="n">
        <v>33</v>
      </c>
      <c r="E76" s="5" t="n">
        <v>0</v>
      </c>
      <c r="F76" s="5" t="n">
        <v>0</v>
      </c>
      <c r="G76" s="5" t="n">
        <v>0</v>
      </c>
      <c r="H76" s="5" t="n">
        <v>33</v>
      </c>
      <c r="I76" s="6" t="n">
        <v>4</v>
      </c>
      <c r="J76" s="6" t="n">
        <v>4.6</v>
      </c>
      <c r="K76" s="6" t="n">
        <v>8</v>
      </c>
      <c r="L76" s="6" t="n">
        <v>8</v>
      </c>
      <c r="M76" s="4" t="str">
        <f aca="false">IF(AND(K76="",L76=""),"No closed tickets",IF(K76="","MISSING in catalog",IF(L76="","No valid closed tickets",IF(AND(ABS(K76-L76)&gt;=$S$3,ABS(K76-L76)&gt;=$S$4*MAX(L76,1)),"FAR OFF","OK"))))</f>
        <v>OK</v>
      </c>
      <c r="N76" s="7" t="n">
        <f aca="false">D76/SUMIFS($D$2:$D$741,$B$2:$B$741,B76)</f>
        <v>0.0006976301714479</v>
      </c>
      <c r="O76" s="7" t="n">
        <f aca="false">SUMIFS($D$2:D76,$B$2:B76,B76)/SUMIFS($D$2:$D$741,$B$2:$B$741,B76)</f>
        <v>0.999344650445004</v>
      </c>
      <c r="P76" s="8" t="b">
        <f aca="false">O76-N76&lt;$S$2</f>
        <v>0</v>
      </c>
      <c r="Q76" s="2"/>
      <c r="R76" s="2"/>
      <c r="S76" s="2"/>
    </row>
    <row r="77" customFormat="false" ht="14.25" hidden="false" customHeight="false" outlineLevel="0" collapsed="false">
      <c r="A77" s="4" t="s">
        <v>116</v>
      </c>
      <c r="B77" s="4" t="s">
        <v>82</v>
      </c>
      <c r="C77" s="5" t="n">
        <v>1</v>
      </c>
      <c r="D77" s="5" t="n">
        <v>25</v>
      </c>
      <c r="E77" s="5" t="n">
        <v>6</v>
      </c>
      <c r="F77" s="5" t="n">
        <v>1</v>
      </c>
      <c r="G77" s="5" t="n">
        <v>1</v>
      </c>
      <c r="H77" s="5" t="n">
        <v>24</v>
      </c>
      <c r="I77" s="6" t="n">
        <v>10.5</v>
      </c>
      <c r="J77" s="6" t="n">
        <v>14.7</v>
      </c>
      <c r="K77" s="6" t="n">
        <v>26</v>
      </c>
      <c r="L77" s="6" t="n">
        <v>26.4</v>
      </c>
      <c r="M77" s="4" t="str">
        <f aca="false">IF(AND(K77="",L77=""),"No closed tickets",IF(K77="","MISSING in catalog",IF(L77="","No valid closed tickets",IF(AND(ABS(K77-L77)&gt;=$S$3,ABS(K77-L77)&gt;=$S$4*MAX(L77,1)),"FAR OFF","OK"))))</f>
        <v>OK</v>
      </c>
      <c r="N77" s="7" t="n">
        <f aca="false">D77/SUMIFS($D$2:$D$741,$B$2:$B$741,B77)</f>
        <v>0.000528507705642348</v>
      </c>
      <c r="O77" s="7" t="n">
        <f aca="false">SUMIFS($D$2:D77,$B$2:B77,B77)/SUMIFS($D$2:$D$741,$B$2:$B$741,B77)</f>
        <v>0.999873158150646</v>
      </c>
      <c r="P77" s="8" t="b">
        <f aca="false">O77-N77&lt;$S$2</f>
        <v>0</v>
      </c>
      <c r="Q77" s="2"/>
      <c r="R77" s="2"/>
      <c r="S77" s="2"/>
    </row>
    <row r="78" customFormat="false" ht="14.25" hidden="false" customHeight="false" outlineLevel="0" collapsed="false">
      <c r="A78" s="4" t="s">
        <v>117</v>
      </c>
      <c r="B78" s="4" t="s">
        <v>82</v>
      </c>
      <c r="C78" s="5" t="n">
        <v>1</v>
      </c>
      <c r="D78" s="5" t="n">
        <v>6</v>
      </c>
      <c r="E78" s="5" t="n">
        <v>0</v>
      </c>
      <c r="F78" s="5" t="n">
        <v>0</v>
      </c>
      <c r="G78" s="5" t="n">
        <v>0</v>
      </c>
      <c r="H78" s="5" t="n">
        <v>6</v>
      </c>
      <c r="I78" s="6" t="n">
        <v>2.5</v>
      </c>
      <c r="J78" s="6" t="n">
        <v>2.8</v>
      </c>
      <c r="K78" s="6" t="n">
        <v>5</v>
      </c>
      <c r="L78" s="6" t="n">
        <v>5</v>
      </c>
      <c r="M78" s="4" t="str">
        <f aca="false">IF(AND(K78="",L78=""),"No closed tickets",IF(K78="","MISSING in catalog",IF(L78="","No valid closed tickets",IF(AND(ABS(K78-L78)&gt;=$S$3,ABS(K78-L78)&gt;=$S$4*MAX(L78,1)),"FAR OFF","OK"))))</f>
        <v>OK</v>
      </c>
      <c r="N78" s="7" t="n">
        <f aca="false">D78/SUMIFS($D$2:$D$741,$B$2:$B$741,B78)</f>
        <v>0.000126841849354164</v>
      </c>
      <c r="O78" s="7" t="n">
        <f aca="false">SUMIFS($D$2:D78,$B$2:B78,B78)/SUMIFS($D$2:$D$741,$B$2:$B$741,B78)</f>
        <v>1</v>
      </c>
      <c r="P78" s="8" t="b">
        <f aca="false">O78-N78&lt;$S$2</f>
        <v>0</v>
      </c>
      <c r="Q78" s="2"/>
      <c r="R78" s="2"/>
      <c r="S78" s="2"/>
    </row>
    <row r="79" customFormat="false" ht="14.25" hidden="false" customHeight="false" outlineLevel="0" collapsed="false">
      <c r="A79" s="10" t="s">
        <v>118</v>
      </c>
      <c r="B79" s="10" t="s">
        <v>119</v>
      </c>
      <c r="C79" s="11" t="n">
        <v>1</v>
      </c>
      <c r="D79" s="11" t="n">
        <v>413</v>
      </c>
      <c r="E79" s="11" t="n">
        <v>0</v>
      </c>
      <c r="F79" s="11" t="n">
        <v>0</v>
      </c>
      <c r="G79" s="11" t="n">
        <v>0</v>
      </c>
      <c r="H79" s="11" t="n">
        <v>413</v>
      </c>
      <c r="I79" s="12" t="n">
        <v>7</v>
      </c>
      <c r="J79" s="12" t="n">
        <v>6.4</v>
      </c>
      <c r="K79" s="12" t="n">
        <v>10</v>
      </c>
      <c r="L79" s="12" t="n">
        <v>10</v>
      </c>
      <c r="M79" s="10" t="str">
        <f aca="false">IF(AND(K79="",L79=""),"No closed tickets",IF(K79="","MISSING in catalog",IF(L79="","No valid closed tickets",IF(AND(ABS(K79-L79)&gt;=$S$3,ABS(K79-L79)&gt;=$S$4*MAX(L79,1)),"FAR OFF","OK"))))</f>
        <v>OK</v>
      </c>
      <c r="N79" s="13" t="n">
        <f aca="false">D79/SUMIFS($D$2:$D$741,$B$2:$B$741,B79)</f>
        <v>0.6608</v>
      </c>
      <c r="O79" s="13" t="n">
        <f aca="false">SUMIFS($D$2:D79,$B$2:B79,B79)/SUMIFS($D$2:$D$741,$B$2:$B$741,B79)</f>
        <v>0.6608</v>
      </c>
      <c r="P79" s="14" t="b">
        <f aca="false">O79-N79&lt;$S$2</f>
        <v>1</v>
      </c>
      <c r="Q79" s="2"/>
      <c r="R79" s="2"/>
      <c r="S79" s="2"/>
    </row>
    <row r="80" customFormat="false" ht="14.25" hidden="false" customHeight="false" outlineLevel="0" collapsed="false">
      <c r="A80" s="4" t="s">
        <v>120</v>
      </c>
      <c r="B80" s="4" t="s">
        <v>119</v>
      </c>
      <c r="C80" s="5" t="n">
        <v>1</v>
      </c>
      <c r="D80" s="5" t="n">
        <v>86</v>
      </c>
      <c r="E80" s="5" t="n">
        <v>0</v>
      </c>
      <c r="F80" s="5" t="n">
        <v>0</v>
      </c>
      <c r="G80" s="5" t="n">
        <v>0</v>
      </c>
      <c r="H80" s="5" t="n">
        <v>86</v>
      </c>
      <c r="I80" s="6" t="n">
        <v>10</v>
      </c>
      <c r="J80" s="6" t="n">
        <v>9.8</v>
      </c>
      <c r="K80" s="6" t="n">
        <v>13</v>
      </c>
      <c r="L80" s="6" t="n">
        <v>13</v>
      </c>
      <c r="M80" s="4" t="str">
        <f aca="false">IF(AND(K80="",L80=""),"No closed tickets",IF(K80="","MISSING in catalog",IF(L80="","No valid closed tickets",IF(AND(ABS(K80-L80)&gt;=$S$3,ABS(K80-L80)&gt;=$S$4*MAX(L80,1)),"FAR OFF","OK"))))</f>
        <v>OK</v>
      </c>
      <c r="N80" s="7" t="n">
        <f aca="false">D80/SUMIFS($D$2:$D$741,$B$2:$B$741,B80)</f>
        <v>0.1376</v>
      </c>
      <c r="O80" s="7" t="n">
        <f aca="false">SUMIFS($D$2:D80,$B$2:B80,B80)/SUMIFS($D$2:$D$741,$B$2:$B$741,B80)</f>
        <v>0.7984</v>
      </c>
      <c r="P80" s="8" t="b">
        <f aca="false">O80-N80&lt;$S$2</f>
        <v>1</v>
      </c>
      <c r="Q80" s="2"/>
      <c r="R80" s="2"/>
      <c r="S80" s="2"/>
    </row>
    <row r="81" customFormat="false" ht="14.25" hidden="false" customHeight="false" outlineLevel="0" collapsed="false">
      <c r="A81" s="4" t="s">
        <v>121</v>
      </c>
      <c r="B81" s="4" t="s">
        <v>119</v>
      </c>
      <c r="C81" s="5" t="n">
        <v>1</v>
      </c>
      <c r="D81" s="5" t="n">
        <v>77</v>
      </c>
      <c r="E81" s="5" t="n">
        <v>0</v>
      </c>
      <c r="F81" s="5" t="n">
        <v>0</v>
      </c>
      <c r="G81" s="5" t="n">
        <v>0</v>
      </c>
      <c r="H81" s="5" t="n">
        <v>77</v>
      </c>
      <c r="I81" s="6" t="n">
        <v>1</v>
      </c>
      <c r="J81" s="6" t="n">
        <v>1.7</v>
      </c>
      <c r="K81" s="6" t="n">
        <v>3</v>
      </c>
      <c r="L81" s="6" t="n">
        <v>3</v>
      </c>
      <c r="M81" s="4" t="str">
        <f aca="false">IF(AND(K81="",L81=""),"No closed tickets",IF(K81="","MISSING in catalog",IF(L81="","No valid closed tickets",IF(AND(ABS(K81-L81)&gt;=$S$3,ABS(K81-L81)&gt;=$S$4*MAX(L81,1)),"FAR OFF","OK"))))</f>
        <v>OK</v>
      </c>
      <c r="N81" s="7" t="n">
        <f aca="false">D81/SUMIFS($D$2:$D$741,$B$2:$B$741,B81)</f>
        <v>0.1232</v>
      </c>
      <c r="O81" s="7" t="n">
        <f aca="false">SUMIFS($D$2:D81,$B$2:B81,B81)/SUMIFS($D$2:$D$741,$B$2:$B$741,B81)</f>
        <v>0.9216</v>
      </c>
      <c r="P81" s="8" t="b">
        <f aca="false">O81-N81&lt;$S$2</f>
        <v>1</v>
      </c>
      <c r="Q81" s="2"/>
      <c r="R81" s="2"/>
      <c r="S81" s="2"/>
    </row>
    <row r="82" customFormat="false" ht="14.25" hidden="false" customHeight="false" outlineLevel="0" collapsed="false">
      <c r="A82" s="4" t="s">
        <v>122</v>
      </c>
      <c r="B82" s="4" t="s">
        <v>119</v>
      </c>
      <c r="C82" s="5" t="n">
        <v>1</v>
      </c>
      <c r="D82" s="5" t="n">
        <v>19</v>
      </c>
      <c r="E82" s="5" t="n">
        <v>0</v>
      </c>
      <c r="F82" s="5" t="n">
        <v>0</v>
      </c>
      <c r="G82" s="5" t="n">
        <v>0</v>
      </c>
      <c r="H82" s="5" t="n">
        <v>19</v>
      </c>
      <c r="I82" s="6" t="n">
        <v>4</v>
      </c>
      <c r="J82" s="6" t="n">
        <v>3.4</v>
      </c>
      <c r="K82" s="6" t="n">
        <v>5</v>
      </c>
      <c r="L82" s="6" t="n">
        <v>5.4</v>
      </c>
      <c r="M82" s="4" t="str">
        <f aca="false">IF(AND(K82="",L82=""),"No closed tickets",IF(K82="","MISSING in catalog",IF(L82="","No valid closed tickets",IF(AND(ABS(K82-L82)&gt;=$S$3,ABS(K82-L82)&gt;=$S$4*MAX(L82,1)),"FAR OFF","OK"))))</f>
        <v>OK</v>
      </c>
      <c r="N82" s="7" t="n">
        <f aca="false">D82/SUMIFS($D$2:$D$741,$B$2:$B$741,B82)</f>
        <v>0.0304</v>
      </c>
      <c r="O82" s="7" t="n">
        <f aca="false">SUMIFS($D$2:D82,$B$2:B82,B82)/SUMIFS($D$2:$D$741,$B$2:$B$741,B82)</f>
        <v>0.952</v>
      </c>
      <c r="P82" s="8" t="b">
        <f aca="false">O82-N82&lt;$S$2</f>
        <v>1</v>
      </c>
      <c r="Q82" s="2"/>
      <c r="R82" s="2"/>
      <c r="S82" s="2"/>
    </row>
    <row r="83" customFormat="false" ht="14.25" hidden="false" customHeight="false" outlineLevel="0" collapsed="false">
      <c r="A83" s="4" t="s">
        <v>123</v>
      </c>
      <c r="B83" s="4" t="s">
        <v>119</v>
      </c>
      <c r="C83" s="5" t="n">
        <v>2</v>
      </c>
      <c r="D83" s="5" t="n">
        <v>11</v>
      </c>
      <c r="E83" s="5" t="n">
        <v>0</v>
      </c>
      <c r="F83" s="5" t="n">
        <v>0</v>
      </c>
      <c r="G83" s="5" t="n">
        <v>0</v>
      </c>
      <c r="H83" s="5" t="n">
        <v>11</v>
      </c>
      <c r="I83" s="6" t="n">
        <v>2</v>
      </c>
      <c r="J83" s="6" t="n">
        <v>2.1</v>
      </c>
      <c r="K83" s="6" t="n">
        <v>4</v>
      </c>
      <c r="L83" s="6" t="n">
        <v>4</v>
      </c>
      <c r="M83" s="4" t="str">
        <f aca="false">IF(AND(K83="",L83=""),"No closed tickets",IF(K83="","MISSING in catalog",IF(L83="","No valid closed tickets",IF(AND(ABS(K83-L83)&gt;=$S$3,ABS(K83-L83)&gt;=$S$4*MAX(L83,1)),"FAR OFF","OK"))))</f>
        <v>OK</v>
      </c>
      <c r="N83" s="7" t="n">
        <f aca="false">D83/SUMIFS($D$2:$D$741,$B$2:$B$741,B83)</f>
        <v>0.0176</v>
      </c>
      <c r="O83" s="7" t="n">
        <f aca="false">SUMIFS($D$2:D83,$B$2:B83,B83)/SUMIFS($D$2:$D$741,$B$2:$B$741,B83)</f>
        <v>0.9696</v>
      </c>
      <c r="P83" s="8" t="b">
        <f aca="false">O83-N83&lt;$S$2</f>
        <v>0</v>
      </c>
      <c r="Q83" s="2"/>
      <c r="R83" s="2"/>
      <c r="S83" s="2"/>
    </row>
    <row r="84" customFormat="false" ht="14.25" hidden="false" customHeight="false" outlineLevel="0" collapsed="false">
      <c r="A84" s="4" t="s">
        <v>124</v>
      </c>
      <c r="B84" s="4" t="s">
        <v>119</v>
      </c>
      <c r="C84" s="5" t="n">
        <v>1</v>
      </c>
      <c r="D84" s="5" t="n">
        <v>8</v>
      </c>
      <c r="E84" s="5" t="n">
        <v>0</v>
      </c>
      <c r="F84" s="5" t="n">
        <v>0</v>
      </c>
      <c r="G84" s="5" t="n">
        <v>0</v>
      </c>
      <c r="H84" s="5" t="n">
        <v>8</v>
      </c>
      <c r="I84" s="6" t="n">
        <v>4</v>
      </c>
      <c r="J84" s="6" t="n">
        <v>5.6</v>
      </c>
      <c r="K84" s="6" t="n">
        <v>13</v>
      </c>
      <c r="L84" s="6" t="n">
        <v>13</v>
      </c>
      <c r="M84" s="4" t="str">
        <f aca="false">IF(AND(K84="",L84=""),"No closed tickets",IF(K84="","MISSING in catalog",IF(L84="","No valid closed tickets",IF(AND(ABS(K84-L84)&gt;=$S$3,ABS(K84-L84)&gt;=$S$4*MAX(L84,1)),"FAR OFF","OK"))))</f>
        <v>OK</v>
      </c>
      <c r="N84" s="7" t="n">
        <f aca="false">D84/SUMIFS($D$2:$D$741,$B$2:$B$741,B84)</f>
        <v>0.0128</v>
      </c>
      <c r="O84" s="7" t="n">
        <f aca="false">SUMIFS($D$2:D84,$B$2:B84,B84)/SUMIFS($D$2:$D$741,$B$2:$B$741,B84)</f>
        <v>0.9824</v>
      </c>
      <c r="P84" s="8" t="b">
        <f aca="false">O84-N84&lt;$S$2</f>
        <v>0</v>
      </c>
      <c r="Q84" s="2"/>
      <c r="R84" s="2"/>
      <c r="S84" s="2"/>
    </row>
    <row r="85" customFormat="false" ht="14.25" hidden="false" customHeight="false" outlineLevel="0" collapsed="false">
      <c r="A85" s="4" t="s">
        <v>125</v>
      </c>
      <c r="B85" s="4" t="s">
        <v>119</v>
      </c>
      <c r="C85" s="5" t="n">
        <v>2</v>
      </c>
      <c r="D85" s="5" t="n">
        <v>7</v>
      </c>
      <c r="E85" s="5" t="n">
        <v>0</v>
      </c>
      <c r="F85" s="5" t="n">
        <v>0</v>
      </c>
      <c r="G85" s="5" t="n">
        <v>0</v>
      </c>
      <c r="H85" s="5" t="n">
        <v>7</v>
      </c>
      <c r="I85" s="6" t="n">
        <v>14</v>
      </c>
      <c r="J85" s="6" t="n">
        <v>10.9</v>
      </c>
      <c r="K85" s="6" t="n">
        <v>18</v>
      </c>
      <c r="L85" s="6" t="n">
        <v>17.8</v>
      </c>
      <c r="M85" s="4" t="str">
        <f aca="false">IF(AND(K85="",L85=""),"No closed tickets",IF(K85="","MISSING in catalog",IF(L85="","No valid closed tickets",IF(AND(ABS(K85-L85)&gt;=$S$3,ABS(K85-L85)&gt;=$S$4*MAX(L85,1)),"FAR OFF","OK"))))</f>
        <v>OK</v>
      </c>
      <c r="N85" s="7" t="n">
        <f aca="false">D85/SUMIFS($D$2:$D$741,$B$2:$B$741,B85)</f>
        <v>0.0112</v>
      </c>
      <c r="O85" s="7" t="n">
        <f aca="false">SUMIFS($D$2:D85,$B$2:B85,B85)/SUMIFS($D$2:$D$741,$B$2:$B$741,B85)</f>
        <v>0.9936</v>
      </c>
      <c r="P85" s="8" t="b">
        <f aca="false">O85-N85&lt;$S$2</f>
        <v>0</v>
      </c>
      <c r="Q85" s="2"/>
      <c r="R85" s="2"/>
      <c r="S85" s="2"/>
    </row>
    <row r="86" customFormat="false" ht="14.25" hidden="false" customHeight="false" outlineLevel="0" collapsed="false">
      <c r="A86" s="4" t="s">
        <v>126</v>
      </c>
      <c r="B86" s="4" t="s">
        <v>119</v>
      </c>
      <c r="C86" s="5" t="n">
        <v>1</v>
      </c>
      <c r="D86" s="5" t="n">
        <v>2</v>
      </c>
      <c r="E86" s="5" t="n">
        <v>0</v>
      </c>
      <c r="F86" s="5" t="n">
        <v>0</v>
      </c>
      <c r="G86" s="5" t="n">
        <v>0</v>
      </c>
      <c r="H86" s="5" t="n">
        <v>2</v>
      </c>
      <c r="I86" s="6" t="n">
        <v>1.5</v>
      </c>
      <c r="J86" s="6" t="n">
        <v>1.5</v>
      </c>
      <c r="K86" s="6" t="n">
        <v>2</v>
      </c>
      <c r="L86" s="6" t="n">
        <v>1.9</v>
      </c>
      <c r="M86" s="4" t="str">
        <f aca="false">IF(AND(K86="",L86=""),"No closed tickets",IF(K86="","MISSING in catalog",IF(L86="","No valid closed tickets",IF(AND(ABS(K86-L86)&gt;=$S$3,ABS(K86-L86)&gt;=$S$4*MAX(L86,1)),"FAR OFF","OK"))))</f>
        <v>OK</v>
      </c>
      <c r="N86" s="7" t="n">
        <f aca="false">D86/SUMIFS($D$2:$D$741,$B$2:$B$741,B86)</f>
        <v>0.0032</v>
      </c>
      <c r="O86" s="7" t="n">
        <f aca="false">SUMIFS($D$2:D86,$B$2:B86,B86)/SUMIFS($D$2:$D$741,$B$2:$B$741,B86)</f>
        <v>0.9968</v>
      </c>
      <c r="P86" s="8" t="b">
        <f aca="false">O86-N86&lt;$S$2</f>
        <v>0</v>
      </c>
      <c r="Q86" s="2"/>
      <c r="R86" s="2"/>
      <c r="S86" s="2"/>
    </row>
    <row r="87" customFormat="false" ht="14.25" hidden="false" customHeight="false" outlineLevel="0" collapsed="false">
      <c r="A87" s="4" t="s">
        <v>127</v>
      </c>
      <c r="B87" s="4" t="s">
        <v>119</v>
      </c>
      <c r="C87" s="5" t="n">
        <v>1</v>
      </c>
      <c r="D87" s="5" t="n">
        <v>2</v>
      </c>
      <c r="E87" s="5" t="n">
        <v>0</v>
      </c>
      <c r="F87" s="5" t="n">
        <v>0</v>
      </c>
      <c r="G87" s="5" t="n">
        <v>0</v>
      </c>
      <c r="H87" s="5" t="n">
        <v>2</v>
      </c>
      <c r="I87" s="6" t="n">
        <v>6</v>
      </c>
      <c r="J87" s="6" t="n">
        <v>6</v>
      </c>
      <c r="K87" s="6" t="n">
        <v>7</v>
      </c>
      <c r="L87" s="6" t="n">
        <v>6.8</v>
      </c>
      <c r="M87" s="4" t="str">
        <f aca="false">IF(AND(K87="",L87=""),"No closed tickets",IF(K87="","MISSING in catalog",IF(L87="","No valid closed tickets",IF(AND(ABS(K87-L87)&gt;=$S$3,ABS(K87-L87)&gt;=$S$4*MAX(L87,1)),"FAR OFF","OK"))))</f>
        <v>OK</v>
      </c>
      <c r="N87" s="7" t="n">
        <f aca="false">D87/SUMIFS($D$2:$D$741,$B$2:$B$741,B87)</f>
        <v>0.0032</v>
      </c>
      <c r="O87" s="7" t="n">
        <f aca="false">SUMIFS($D$2:D87,$B$2:B87,B87)/SUMIFS($D$2:$D$741,$B$2:$B$741,B87)</f>
        <v>1</v>
      </c>
      <c r="P87" s="8" t="b">
        <f aca="false">O87-N87&lt;$S$2</f>
        <v>0</v>
      </c>
      <c r="Q87" s="2"/>
      <c r="R87" s="2"/>
      <c r="S87" s="2"/>
    </row>
    <row r="88" customFormat="false" ht="14.25" hidden="false" customHeight="false" outlineLevel="0" collapsed="false">
      <c r="A88" s="10" t="s">
        <v>128</v>
      </c>
      <c r="B88" s="10" t="s">
        <v>129</v>
      </c>
      <c r="C88" s="11" t="n">
        <v>1</v>
      </c>
      <c r="D88" s="11" t="n">
        <v>186</v>
      </c>
      <c r="E88" s="11" t="n">
        <v>0</v>
      </c>
      <c r="F88" s="11" t="n">
        <v>0</v>
      </c>
      <c r="G88" s="11" t="n">
        <v>0</v>
      </c>
      <c r="H88" s="11" t="n">
        <v>186</v>
      </c>
      <c r="I88" s="12" t="n">
        <v>2</v>
      </c>
      <c r="J88" s="12" t="n">
        <v>3.6</v>
      </c>
      <c r="K88" s="12" t="n">
        <v>8</v>
      </c>
      <c r="L88" s="12" t="n">
        <v>7.5</v>
      </c>
      <c r="M88" s="10" t="str">
        <f aca="false">IF(AND(K88="",L88=""),"No closed tickets",IF(K88="","MISSING in catalog",IF(L88="","No valid closed tickets",IF(AND(ABS(K88-L88)&gt;=$S$3,ABS(K88-L88)&gt;=$S$4*MAX(L88,1)),"FAR OFF","OK"))))</f>
        <v>OK</v>
      </c>
      <c r="N88" s="13" t="n">
        <f aca="false">D88/SUMIFS($D$2:$D$741,$B$2:$B$741,B88)</f>
        <v>0.244736842105263</v>
      </c>
      <c r="O88" s="13" t="n">
        <f aca="false">SUMIFS($D$2:D88,$B$2:B88,B88)/SUMIFS($D$2:$D$741,$B$2:$B$741,B88)</f>
        <v>0.244736842105263</v>
      </c>
      <c r="P88" s="14" t="b">
        <f aca="false">O88-N88&lt;$S$2</f>
        <v>1</v>
      </c>
      <c r="Q88" s="2"/>
      <c r="R88" s="2"/>
      <c r="S88" s="2"/>
    </row>
    <row r="89" customFormat="false" ht="14.25" hidden="false" customHeight="false" outlineLevel="0" collapsed="false">
      <c r="A89" s="4" t="s">
        <v>130</v>
      </c>
      <c r="B89" s="4" t="s">
        <v>129</v>
      </c>
      <c r="C89" s="5" t="n">
        <v>1</v>
      </c>
      <c r="D89" s="5" t="n">
        <v>84</v>
      </c>
      <c r="E89" s="5" t="n">
        <v>0</v>
      </c>
      <c r="F89" s="5" t="n">
        <v>0</v>
      </c>
      <c r="G89" s="5" t="n">
        <v>0</v>
      </c>
      <c r="H89" s="5" t="n">
        <v>84</v>
      </c>
      <c r="I89" s="6" t="n">
        <v>1</v>
      </c>
      <c r="J89" s="6" t="n">
        <v>2.2</v>
      </c>
      <c r="K89" s="6" t="n">
        <v>5</v>
      </c>
      <c r="L89" s="6" t="n">
        <v>5</v>
      </c>
      <c r="M89" s="4" t="str">
        <f aca="false">IF(AND(K89="",L89=""),"No closed tickets",IF(K89="","MISSING in catalog",IF(L89="","No valid closed tickets",IF(AND(ABS(K89-L89)&gt;=$S$3,ABS(K89-L89)&gt;=$S$4*MAX(L89,1)),"FAR OFF","OK"))))</f>
        <v>OK</v>
      </c>
      <c r="N89" s="7" t="n">
        <f aca="false">D89/SUMIFS($D$2:$D$741,$B$2:$B$741,B89)</f>
        <v>0.110526315789474</v>
      </c>
      <c r="O89" s="7" t="n">
        <f aca="false">SUMIFS($D$2:D89,$B$2:B89,B89)/SUMIFS($D$2:$D$741,$B$2:$B$741,B89)</f>
        <v>0.355263157894737</v>
      </c>
      <c r="P89" s="8" t="b">
        <f aca="false">O89-N89&lt;$S$2</f>
        <v>1</v>
      </c>
      <c r="Q89" s="2"/>
      <c r="R89" s="2"/>
      <c r="S89" s="2"/>
    </row>
    <row r="90" customFormat="false" ht="14.25" hidden="false" customHeight="false" outlineLevel="0" collapsed="false">
      <c r="A90" s="4" t="s">
        <v>131</v>
      </c>
      <c r="B90" s="4" t="s">
        <v>129</v>
      </c>
      <c r="C90" s="5" t="n">
        <v>1</v>
      </c>
      <c r="D90" s="5" t="n">
        <v>67</v>
      </c>
      <c r="E90" s="5" t="n">
        <v>0</v>
      </c>
      <c r="F90" s="5" t="n">
        <v>0</v>
      </c>
      <c r="G90" s="5" t="n">
        <v>0</v>
      </c>
      <c r="H90" s="5" t="n">
        <v>67</v>
      </c>
      <c r="I90" s="6" t="n">
        <v>2</v>
      </c>
      <c r="J90" s="6" t="n">
        <v>4.6</v>
      </c>
      <c r="K90" s="6" t="n">
        <v>12</v>
      </c>
      <c r="L90" s="6" t="n">
        <v>12</v>
      </c>
      <c r="M90" s="4" t="str">
        <f aca="false">IF(AND(K90="",L90=""),"No closed tickets",IF(K90="","MISSING in catalog",IF(L90="","No valid closed tickets",IF(AND(ABS(K90-L90)&gt;=$S$3,ABS(K90-L90)&gt;=$S$4*MAX(L90,1)),"FAR OFF","OK"))))</f>
        <v>OK</v>
      </c>
      <c r="N90" s="7" t="n">
        <f aca="false">D90/SUMIFS($D$2:$D$741,$B$2:$B$741,B90)</f>
        <v>0.0881578947368421</v>
      </c>
      <c r="O90" s="7" t="n">
        <f aca="false">SUMIFS($D$2:D90,$B$2:B90,B90)/SUMIFS($D$2:$D$741,$B$2:$B$741,B90)</f>
        <v>0.443421052631579</v>
      </c>
      <c r="P90" s="8" t="b">
        <f aca="false">O90-N90&lt;$S$2</f>
        <v>1</v>
      </c>
      <c r="Q90" s="2"/>
      <c r="R90" s="2"/>
      <c r="S90" s="2"/>
    </row>
    <row r="91" customFormat="false" ht="14.25" hidden="false" customHeight="false" outlineLevel="0" collapsed="false">
      <c r="A91" s="4" t="s">
        <v>132</v>
      </c>
      <c r="B91" s="4" t="s">
        <v>129</v>
      </c>
      <c r="C91" s="5" t="n">
        <v>2</v>
      </c>
      <c r="D91" s="5" t="n">
        <v>61</v>
      </c>
      <c r="E91" s="5" t="n">
        <v>0</v>
      </c>
      <c r="F91" s="5" t="n">
        <v>0</v>
      </c>
      <c r="G91" s="5" t="n">
        <v>0</v>
      </c>
      <c r="H91" s="5" t="n">
        <v>61</v>
      </c>
      <c r="I91" s="6" t="n">
        <v>36</v>
      </c>
      <c r="J91" s="6" t="n">
        <v>35.3</v>
      </c>
      <c r="K91" s="6" t="n">
        <v>50</v>
      </c>
      <c r="L91" s="6" t="n">
        <v>50</v>
      </c>
      <c r="M91" s="4" t="str">
        <f aca="false">IF(AND(K91="",L91=""),"No closed tickets",IF(K91="","MISSING in catalog",IF(L91="","No valid closed tickets",IF(AND(ABS(K91-L91)&gt;=$S$3,ABS(K91-L91)&gt;=$S$4*MAX(L91,1)),"FAR OFF","OK"))))</f>
        <v>OK</v>
      </c>
      <c r="N91" s="7" t="n">
        <f aca="false">D91/SUMIFS($D$2:$D$741,$B$2:$B$741,B91)</f>
        <v>0.0802631578947368</v>
      </c>
      <c r="O91" s="7" t="n">
        <f aca="false">SUMIFS($D$2:D91,$B$2:B91,B91)/SUMIFS($D$2:$D$741,$B$2:$B$741,B91)</f>
        <v>0.523684210526316</v>
      </c>
      <c r="P91" s="8" t="b">
        <f aca="false">O91-N91&lt;$S$2</f>
        <v>1</v>
      </c>
      <c r="Q91" s="2"/>
      <c r="R91" s="2"/>
      <c r="S91" s="2"/>
    </row>
    <row r="92" customFormat="false" ht="14.25" hidden="false" customHeight="false" outlineLevel="0" collapsed="false">
      <c r="A92" s="4" t="s">
        <v>133</v>
      </c>
      <c r="B92" s="4" t="s">
        <v>129</v>
      </c>
      <c r="C92" s="5" t="n">
        <v>2</v>
      </c>
      <c r="D92" s="5" t="n">
        <v>38</v>
      </c>
      <c r="E92" s="5" t="n">
        <v>0</v>
      </c>
      <c r="F92" s="5" t="n">
        <v>0</v>
      </c>
      <c r="G92" s="5" t="n">
        <v>0</v>
      </c>
      <c r="H92" s="5" t="n">
        <v>38</v>
      </c>
      <c r="I92" s="6" t="n">
        <v>1</v>
      </c>
      <c r="J92" s="6" t="n">
        <v>5</v>
      </c>
      <c r="K92" s="6" t="n">
        <v>11</v>
      </c>
      <c r="L92" s="6" t="n">
        <v>10.5</v>
      </c>
      <c r="M92" s="4" t="str">
        <f aca="false">IF(AND(K92="",L92=""),"No closed tickets",IF(K92="","MISSING in catalog",IF(L92="","No valid closed tickets",IF(AND(ABS(K92-L92)&gt;=$S$3,ABS(K92-L92)&gt;=$S$4*MAX(L92,1)),"FAR OFF","OK"))))</f>
        <v>OK</v>
      </c>
      <c r="N92" s="7" t="n">
        <f aca="false">D92/SUMIFS($D$2:$D$741,$B$2:$B$741,B92)</f>
        <v>0.05</v>
      </c>
      <c r="O92" s="7" t="n">
        <f aca="false">SUMIFS($D$2:D92,$B$2:B92,B92)/SUMIFS($D$2:$D$741,$B$2:$B$741,B92)</f>
        <v>0.573684210526316</v>
      </c>
      <c r="P92" s="8" t="b">
        <f aca="false">O92-N92&lt;$S$2</f>
        <v>1</v>
      </c>
      <c r="Q92" s="2"/>
      <c r="R92" s="2"/>
      <c r="S92" s="2"/>
    </row>
    <row r="93" customFormat="false" ht="14.25" hidden="false" customHeight="false" outlineLevel="0" collapsed="false">
      <c r="A93" s="4" t="s">
        <v>134</v>
      </c>
      <c r="B93" s="4" t="s">
        <v>129</v>
      </c>
      <c r="C93" s="5" t="n">
        <v>2</v>
      </c>
      <c r="D93" s="5" t="n">
        <v>36</v>
      </c>
      <c r="E93" s="5" t="n">
        <v>0</v>
      </c>
      <c r="F93" s="5" t="n">
        <v>0</v>
      </c>
      <c r="G93" s="5" t="n">
        <v>0</v>
      </c>
      <c r="H93" s="5" t="n">
        <v>36</v>
      </c>
      <c r="I93" s="6" t="n">
        <v>34</v>
      </c>
      <c r="J93" s="6" t="n">
        <v>38.7</v>
      </c>
      <c r="K93" s="6" t="n">
        <v>79</v>
      </c>
      <c r="L93" s="6" t="n">
        <v>79</v>
      </c>
      <c r="M93" s="4" t="str">
        <f aca="false">IF(AND(K93="",L93=""),"No closed tickets",IF(K93="","MISSING in catalog",IF(L93="","No valid closed tickets",IF(AND(ABS(K93-L93)&gt;=$S$3,ABS(K93-L93)&gt;=$S$4*MAX(L93,1)),"FAR OFF","OK"))))</f>
        <v>OK</v>
      </c>
      <c r="N93" s="7" t="n">
        <f aca="false">D93/SUMIFS($D$2:$D$741,$B$2:$B$741,B93)</f>
        <v>0.0473684210526316</v>
      </c>
      <c r="O93" s="7" t="n">
        <f aca="false">SUMIFS($D$2:D93,$B$2:B93,B93)/SUMIFS($D$2:$D$741,$B$2:$B$741,B93)</f>
        <v>0.621052631578947</v>
      </c>
      <c r="P93" s="8" t="b">
        <f aca="false">O93-N93&lt;$S$2</f>
        <v>1</v>
      </c>
      <c r="Q93" s="2"/>
      <c r="R93" s="2"/>
      <c r="S93" s="2"/>
    </row>
    <row r="94" customFormat="false" ht="14.25" hidden="false" customHeight="false" outlineLevel="0" collapsed="false">
      <c r="A94" s="4" t="s">
        <v>135</v>
      </c>
      <c r="B94" s="4" t="s">
        <v>129</v>
      </c>
      <c r="C94" s="5" t="n">
        <v>1</v>
      </c>
      <c r="D94" s="5" t="n">
        <v>35</v>
      </c>
      <c r="E94" s="5" t="n">
        <v>0</v>
      </c>
      <c r="F94" s="5" t="n">
        <v>0</v>
      </c>
      <c r="G94" s="5" t="n">
        <v>0</v>
      </c>
      <c r="H94" s="5" t="n">
        <v>35</v>
      </c>
      <c r="I94" s="6" t="n">
        <v>1</v>
      </c>
      <c r="J94" s="6" t="n">
        <v>2</v>
      </c>
      <c r="K94" s="6" t="n">
        <v>4</v>
      </c>
      <c r="L94" s="6" t="n">
        <v>4</v>
      </c>
      <c r="M94" s="4" t="str">
        <f aca="false">IF(AND(K94="",L94=""),"No closed tickets",IF(K94="","MISSING in catalog",IF(L94="","No valid closed tickets",IF(AND(ABS(K94-L94)&gt;=$S$3,ABS(K94-L94)&gt;=$S$4*MAX(L94,1)),"FAR OFF","OK"))))</f>
        <v>OK</v>
      </c>
      <c r="N94" s="7" t="n">
        <f aca="false">D94/SUMIFS($D$2:$D$741,$B$2:$B$741,B94)</f>
        <v>0.0460526315789474</v>
      </c>
      <c r="O94" s="7" t="n">
        <f aca="false">SUMIFS($D$2:D94,$B$2:B94,B94)/SUMIFS($D$2:$D$741,$B$2:$B$741,B94)</f>
        <v>0.667105263157895</v>
      </c>
      <c r="P94" s="8" t="b">
        <f aca="false">O94-N94&lt;$S$2</f>
        <v>1</v>
      </c>
      <c r="Q94" s="2"/>
      <c r="R94" s="2"/>
      <c r="S94" s="2"/>
    </row>
    <row r="95" customFormat="false" ht="14.25" hidden="false" customHeight="false" outlineLevel="0" collapsed="false">
      <c r="A95" s="4" t="s">
        <v>136</v>
      </c>
      <c r="B95" s="4" t="s">
        <v>129</v>
      </c>
      <c r="C95" s="5" t="n">
        <v>1</v>
      </c>
      <c r="D95" s="5" t="n">
        <v>31</v>
      </c>
      <c r="E95" s="5" t="n">
        <v>0</v>
      </c>
      <c r="F95" s="5" t="n">
        <v>0</v>
      </c>
      <c r="G95" s="5" t="n">
        <v>0</v>
      </c>
      <c r="H95" s="5" t="n">
        <v>31</v>
      </c>
      <c r="I95" s="6" t="n">
        <v>0</v>
      </c>
      <c r="J95" s="6" t="n">
        <v>2.5</v>
      </c>
      <c r="K95" s="6" t="n">
        <v>3</v>
      </c>
      <c r="L95" s="6" t="n">
        <v>3</v>
      </c>
      <c r="M95" s="4" t="str">
        <f aca="false">IF(AND(K95="",L95=""),"No closed tickets",IF(K95="","MISSING in catalog",IF(L95="","No valid closed tickets",IF(AND(ABS(K95-L95)&gt;=$S$3,ABS(K95-L95)&gt;=$S$4*MAX(L95,1)),"FAR OFF","OK"))))</f>
        <v>OK</v>
      </c>
      <c r="N95" s="7" t="n">
        <f aca="false">D95/SUMIFS($D$2:$D$741,$B$2:$B$741,B95)</f>
        <v>0.0407894736842105</v>
      </c>
      <c r="O95" s="7" t="n">
        <f aca="false">SUMIFS($D$2:D95,$B$2:B95,B95)/SUMIFS($D$2:$D$741,$B$2:$B$741,B95)</f>
        <v>0.707894736842105</v>
      </c>
      <c r="P95" s="8" t="b">
        <f aca="false">O95-N95&lt;$S$2</f>
        <v>1</v>
      </c>
      <c r="Q95" s="2"/>
      <c r="R95" s="2"/>
      <c r="S95" s="2"/>
    </row>
    <row r="96" customFormat="false" ht="14.25" hidden="false" customHeight="false" outlineLevel="0" collapsed="false">
      <c r="A96" s="4" t="s">
        <v>137</v>
      </c>
      <c r="B96" s="4" t="s">
        <v>129</v>
      </c>
      <c r="C96" s="5" t="n">
        <v>1</v>
      </c>
      <c r="D96" s="5" t="n">
        <v>31</v>
      </c>
      <c r="E96" s="5" t="n">
        <v>0</v>
      </c>
      <c r="F96" s="5" t="n">
        <v>0</v>
      </c>
      <c r="G96" s="5" t="n">
        <v>0</v>
      </c>
      <c r="H96" s="5" t="n">
        <v>31</v>
      </c>
      <c r="I96" s="6" t="n">
        <v>2</v>
      </c>
      <c r="J96" s="6" t="n">
        <v>4.3</v>
      </c>
      <c r="K96" s="6" t="n">
        <v>14</v>
      </c>
      <c r="L96" s="6" t="n">
        <v>14</v>
      </c>
      <c r="M96" s="4" t="str">
        <f aca="false">IF(AND(K96="",L96=""),"No closed tickets",IF(K96="","MISSING in catalog",IF(L96="","No valid closed tickets",IF(AND(ABS(K96-L96)&gt;=$S$3,ABS(K96-L96)&gt;=$S$4*MAX(L96,1)),"FAR OFF","OK"))))</f>
        <v>OK</v>
      </c>
      <c r="N96" s="7" t="n">
        <f aca="false">D96/SUMIFS($D$2:$D$741,$B$2:$B$741,B96)</f>
        <v>0.0407894736842105</v>
      </c>
      <c r="O96" s="7" t="n">
        <f aca="false">SUMIFS($D$2:D96,$B$2:B96,B96)/SUMIFS($D$2:$D$741,$B$2:$B$741,B96)</f>
        <v>0.748684210526316</v>
      </c>
      <c r="P96" s="8" t="b">
        <f aca="false">O96-N96&lt;$S$2</f>
        <v>1</v>
      </c>
      <c r="Q96" s="2"/>
      <c r="R96" s="2"/>
      <c r="S96" s="2"/>
    </row>
    <row r="97" customFormat="false" ht="14.25" hidden="false" customHeight="false" outlineLevel="0" collapsed="false">
      <c r="A97" s="4" t="s">
        <v>138</v>
      </c>
      <c r="B97" s="4" t="s">
        <v>129</v>
      </c>
      <c r="C97" s="5" t="n">
        <v>1</v>
      </c>
      <c r="D97" s="5" t="n">
        <v>31</v>
      </c>
      <c r="E97" s="5" t="n">
        <v>0</v>
      </c>
      <c r="F97" s="5" t="n">
        <v>0</v>
      </c>
      <c r="G97" s="5" t="n">
        <v>0</v>
      </c>
      <c r="H97" s="5" t="n">
        <v>31</v>
      </c>
      <c r="I97" s="6" t="n">
        <v>2</v>
      </c>
      <c r="J97" s="6" t="n">
        <v>3.3</v>
      </c>
      <c r="K97" s="6" t="n">
        <v>5</v>
      </c>
      <c r="L97" s="6" t="n">
        <v>5</v>
      </c>
      <c r="M97" s="4" t="str">
        <f aca="false">IF(AND(K97="",L97=""),"No closed tickets",IF(K97="","MISSING in catalog",IF(L97="","No valid closed tickets",IF(AND(ABS(K97-L97)&gt;=$S$3,ABS(K97-L97)&gt;=$S$4*MAX(L97,1)),"FAR OFF","OK"))))</f>
        <v>OK</v>
      </c>
      <c r="N97" s="7" t="n">
        <f aca="false">D97/SUMIFS($D$2:$D$741,$B$2:$B$741,B97)</f>
        <v>0.0407894736842105</v>
      </c>
      <c r="O97" s="7" t="n">
        <f aca="false">SUMIFS($D$2:D97,$B$2:B97,B97)/SUMIFS($D$2:$D$741,$B$2:$B$741,B97)</f>
        <v>0.789473684210526</v>
      </c>
      <c r="P97" s="8" t="b">
        <f aca="false">O97-N97&lt;$S$2</f>
        <v>1</v>
      </c>
      <c r="Q97" s="2"/>
      <c r="R97" s="2"/>
      <c r="S97" s="2"/>
    </row>
    <row r="98" customFormat="false" ht="14.25" hidden="false" customHeight="false" outlineLevel="0" collapsed="false">
      <c r="A98" s="4" t="s">
        <v>139</v>
      </c>
      <c r="B98" s="4" t="s">
        <v>129</v>
      </c>
      <c r="C98" s="5" t="n">
        <v>1</v>
      </c>
      <c r="D98" s="5" t="n">
        <v>27</v>
      </c>
      <c r="E98" s="5" t="n">
        <v>0</v>
      </c>
      <c r="F98" s="5" t="n">
        <v>0</v>
      </c>
      <c r="G98" s="5" t="n">
        <v>0</v>
      </c>
      <c r="H98" s="5" t="n">
        <v>27</v>
      </c>
      <c r="I98" s="6" t="n">
        <v>2</v>
      </c>
      <c r="J98" s="6" t="n">
        <v>3.3</v>
      </c>
      <c r="K98" s="6" t="n">
        <v>9</v>
      </c>
      <c r="L98" s="6" t="n">
        <v>9</v>
      </c>
      <c r="M98" s="4" t="str">
        <f aca="false">IF(AND(K98="",L98=""),"No closed tickets",IF(K98="","MISSING in catalog",IF(L98="","No valid closed tickets",IF(AND(ABS(K98-L98)&gt;=$S$3,ABS(K98-L98)&gt;=$S$4*MAX(L98,1)),"FAR OFF","OK"))))</f>
        <v>OK</v>
      </c>
      <c r="N98" s="7" t="n">
        <f aca="false">D98/SUMIFS($D$2:$D$741,$B$2:$B$741,B98)</f>
        <v>0.0355263157894737</v>
      </c>
      <c r="O98" s="7" t="n">
        <f aca="false">SUMIFS($D$2:D98,$B$2:B98,B98)/SUMIFS($D$2:$D$741,$B$2:$B$741,B98)</f>
        <v>0.825</v>
      </c>
      <c r="P98" s="8" t="b">
        <f aca="false">O98-N98&lt;$S$2</f>
        <v>1</v>
      </c>
      <c r="Q98" s="2"/>
      <c r="R98" s="2"/>
      <c r="S98" s="2"/>
    </row>
    <row r="99" customFormat="false" ht="14.25" hidden="false" customHeight="false" outlineLevel="0" collapsed="false">
      <c r="A99" s="4" t="s">
        <v>140</v>
      </c>
      <c r="B99" s="4" t="s">
        <v>129</v>
      </c>
      <c r="C99" s="5" t="n">
        <v>1</v>
      </c>
      <c r="D99" s="5" t="n">
        <v>23</v>
      </c>
      <c r="E99" s="5" t="n">
        <v>0</v>
      </c>
      <c r="F99" s="5" t="n">
        <v>0</v>
      </c>
      <c r="G99" s="5" t="n">
        <v>0</v>
      </c>
      <c r="H99" s="5" t="n">
        <v>23</v>
      </c>
      <c r="I99" s="6" t="n">
        <v>2</v>
      </c>
      <c r="J99" s="6" t="n">
        <v>2.6</v>
      </c>
      <c r="K99" s="6" t="n">
        <v>6</v>
      </c>
      <c r="L99" s="6" t="n">
        <v>5.8</v>
      </c>
      <c r="M99" s="4" t="str">
        <f aca="false">IF(AND(K99="",L99=""),"No closed tickets",IF(K99="","MISSING in catalog",IF(L99="","No valid closed tickets",IF(AND(ABS(K99-L99)&gt;=$S$3,ABS(K99-L99)&gt;=$S$4*MAX(L99,1)),"FAR OFF","OK"))))</f>
        <v>OK</v>
      </c>
      <c r="N99" s="7" t="n">
        <f aca="false">D99/SUMIFS($D$2:$D$741,$B$2:$B$741,B99)</f>
        <v>0.0302631578947368</v>
      </c>
      <c r="O99" s="7" t="n">
        <f aca="false">SUMIFS($D$2:D99,$B$2:B99,B99)/SUMIFS($D$2:$D$741,$B$2:$B$741,B99)</f>
        <v>0.855263157894737</v>
      </c>
      <c r="P99" s="8" t="b">
        <f aca="false">O99-N99&lt;$S$2</f>
        <v>1</v>
      </c>
      <c r="Q99" s="2"/>
      <c r="R99" s="2"/>
      <c r="S99" s="2"/>
    </row>
    <row r="100" customFormat="false" ht="14.25" hidden="false" customHeight="false" outlineLevel="0" collapsed="false">
      <c r="A100" s="4" t="s">
        <v>141</v>
      </c>
      <c r="B100" s="4" t="s">
        <v>129</v>
      </c>
      <c r="C100" s="5" t="n">
        <v>1</v>
      </c>
      <c r="D100" s="5" t="n">
        <v>18</v>
      </c>
      <c r="E100" s="5" t="n">
        <v>0</v>
      </c>
      <c r="F100" s="5" t="n">
        <v>0</v>
      </c>
      <c r="G100" s="5" t="n">
        <v>0</v>
      </c>
      <c r="H100" s="5" t="n">
        <v>18</v>
      </c>
      <c r="I100" s="6" t="n">
        <v>2</v>
      </c>
      <c r="J100" s="6" t="n">
        <v>4.8</v>
      </c>
      <c r="K100" s="6" t="n">
        <v>13</v>
      </c>
      <c r="L100" s="6" t="n">
        <v>12.6</v>
      </c>
      <c r="M100" s="4" t="str">
        <f aca="false">IF(AND(K100="",L100=""),"No closed tickets",IF(K100="","MISSING in catalog",IF(L100="","No valid closed tickets",IF(AND(ABS(K100-L100)&gt;=$S$3,ABS(K100-L100)&gt;=$S$4*MAX(L100,1)),"FAR OFF","OK"))))</f>
        <v>OK</v>
      </c>
      <c r="N100" s="7" t="n">
        <f aca="false">D100/SUMIFS($D$2:$D$741,$B$2:$B$741,B100)</f>
        <v>0.0236842105263158</v>
      </c>
      <c r="O100" s="7" t="n">
        <f aca="false">SUMIFS($D$2:D100,$B$2:B100,B100)/SUMIFS($D$2:$D$741,$B$2:$B$741,B100)</f>
        <v>0.878947368421053</v>
      </c>
      <c r="P100" s="8" t="b">
        <f aca="false">O100-N100&lt;$S$2</f>
        <v>1</v>
      </c>
      <c r="Q100" s="2"/>
      <c r="R100" s="2"/>
      <c r="S100" s="2"/>
    </row>
    <row r="101" customFormat="false" ht="14.25" hidden="false" customHeight="false" outlineLevel="0" collapsed="false">
      <c r="A101" s="4" t="s">
        <v>142</v>
      </c>
      <c r="B101" s="4" t="s">
        <v>129</v>
      </c>
      <c r="C101" s="5" t="n">
        <v>1</v>
      </c>
      <c r="D101" s="5" t="n">
        <v>15</v>
      </c>
      <c r="E101" s="5" t="n">
        <v>0</v>
      </c>
      <c r="F101" s="5" t="n">
        <v>0</v>
      </c>
      <c r="G101" s="5" t="n">
        <v>0</v>
      </c>
      <c r="H101" s="5" t="n">
        <v>15</v>
      </c>
      <c r="I101" s="6" t="n">
        <v>3</v>
      </c>
      <c r="J101" s="6" t="n">
        <v>2.8</v>
      </c>
      <c r="K101" s="6" t="n">
        <v>5</v>
      </c>
      <c r="L101" s="6" t="n">
        <v>5</v>
      </c>
      <c r="M101" s="4" t="str">
        <f aca="false">IF(AND(K101="",L101=""),"No closed tickets",IF(K101="","MISSING in catalog",IF(L101="","No valid closed tickets",IF(AND(ABS(K101-L101)&gt;=$S$3,ABS(K101-L101)&gt;=$S$4*MAX(L101,1)),"FAR OFF","OK"))))</f>
        <v>OK</v>
      </c>
      <c r="N101" s="7" t="n">
        <f aca="false">D101/SUMIFS($D$2:$D$741,$B$2:$B$741,B101)</f>
        <v>0.0197368421052632</v>
      </c>
      <c r="O101" s="7" t="n">
        <f aca="false">SUMIFS($D$2:D101,$B$2:B101,B101)/SUMIFS($D$2:$D$741,$B$2:$B$741,B101)</f>
        <v>0.898684210526316</v>
      </c>
      <c r="P101" s="8" t="b">
        <f aca="false">O101-N101&lt;$S$2</f>
        <v>1</v>
      </c>
      <c r="Q101" s="2"/>
      <c r="R101" s="2"/>
      <c r="S101" s="2"/>
    </row>
    <row r="102" customFormat="false" ht="14.25" hidden="false" customHeight="false" outlineLevel="0" collapsed="false">
      <c r="A102" s="4" t="s">
        <v>143</v>
      </c>
      <c r="B102" s="4" t="s">
        <v>129</v>
      </c>
      <c r="C102" s="5" t="n">
        <v>1</v>
      </c>
      <c r="D102" s="5" t="n">
        <v>12</v>
      </c>
      <c r="E102" s="5" t="n">
        <v>0</v>
      </c>
      <c r="F102" s="5" t="n">
        <v>0</v>
      </c>
      <c r="G102" s="5" t="n">
        <v>0</v>
      </c>
      <c r="H102" s="5" t="n">
        <v>12</v>
      </c>
      <c r="I102" s="6" t="n">
        <v>1</v>
      </c>
      <c r="J102" s="6" t="n">
        <v>2.2</v>
      </c>
      <c r="K102" s="6" t="n">
        <v>5</v>
      </c>
      <c r="L102" s="6" t="n">
        <v>4.9</v>
      </c>
      <c r="M102" s="4" t="str">
        <f aca="false">IF(AND(K102="",L102=""),"No closed tickets",IF(K102="","MISSING in catalog",IF(L102="","No valid closed tickets",IF(AND(ABS(K102-L102)&gt;=$S$3,ABS(K102-L102)&gt;=$S$4*MAX(L102,1)),"FAR OFF","OK"))))</f>
        <v>OK</v>
      </c>
      <c r="N102" s="7" t="n">
        <f aca="false">D102/SUMIFS($D$2:$D$741,$B$2:$B$741,B102)</f>
        <v>0.0157894736842105</v>
      </c>
      <c r="O102" s="7" t="n">
        <f aca="false">SUMIFS($D$2:D102,$B$2:B102,B102)/SUMIFS($D$2:$D$741,$B$2:$B$741,B102)</f>
        <v>0.914473684210526</v>
      </c>
      <c r="P102" s="8" t="b">
        <f aca="false">O102-N102&lt;$S$2</f>
        <v>1</v>
      </c>
      <c r="Q102" s="2"/>
      <c r="R102" s="2"/>
      <c r="S102" s="2"/>
    </row>
    <row r="103" customFormat="false" ht="14.25" hidden="false" customHeight="false" outlineLevel="0" collapsed="false">
      <c r="A103" s="4" t="s">
        <v>144</v>
      </c>
      <c r="B103" s="4" t="s">
        <v>129</v>
      </c>
      <c r="C103" s="5" t="n">
        <v>1</v>
      </c>
      <c r="D103" s="5" t="n">
        <v>12</v>
      </c>
      <c r="E103" s="5" t="n">
        <v>0</v>
      </c>
      <c r="F103" s="5" t="n">
        <v>0</v>
      </c>
      <c r="G103" s="5" t="n">
        <v>0</v>
      </c>
      <c r="H103" s="5" t="n">
        <v>12</v>
      </c>
      <c r="I103" s="6" t="n">
        <v>3</v>
      </c>
      <c r="J103" s="6" t="n">
        <v>3.2</v>
      </c>
      <c r="K103" s="6" t="n">
        <v>6</v>
      </c>
      <c r="L103" s="6" t="n">
        <v>5.9</v>
      </c>
      <c r="M103" s="4" t="str">
        <f aca="false">IF(AND(K103="",L103=""),"No closed tickets",IF(K103="","MISSING in catalog",IF(L103="","No valid closed tickets",IF(AND(ABS(K103-L103)&gt;=$S$3,ABS(K103-L103)&gt;=$S$4*MAX(L103,1)),"FAR OFF","OK"))))</f>
        <v>OK</v>
      </c>
      <c r="N103" s="7" t="n">
        <f aca="false">D103/SUMIFS($D$2:$D$741,$B$2:$B$741,B103)</f>
        <v>0.0157894736842105</v>
      </c>
      <c r="O103" s="7" t="n">
        <f aca="false">SUMIFS($D$2:D103,$B$2:B103,B103)/SUMIFS($D$2:$D$741,$B$2:$B$741,B103)</f>
        <v>0.930263157894737</v>
      </c>
      <c r="P103" s="8" t="b">
        <f aca="false">O103-N103&lt;$S$2</f>
        <v>1</v>
      </c>
      <c r="Q103" s="2"/>
      <c r="R103" s="2"/>
      <c r="S103" s="2"/>
    </row>
    <row r="104" customFormat="false" ht="14.25" hidden="false" customHeight="false" outlineLevel="0" collapsed="false">
      <c r="A104" s="4" t="s">
        <v>145</v>
      </c>
      <c r="B104" s="4" t="s">
        <v>129</v>
      </c>
      <c r="C104" s="5" t="n">
        <v>1</v>
      </c>
      <c r="D104" s="5" t="n">
        <v>10</v>
      </c>
      <c r="E104" s="5" t="n">
        <v>0</v>
      </c>
      <c r="F104" s="5" t="n">
        <v>0</v>
      </c>
      <c r="G104" s="5" t="n">
        <v>0</v>
      </c>
      <c r="H104" s="5" t="n">
        <v>10</v>
      </c>
      <c r="I104" s="6" t="n">
        <v>2</v>
      </c>
      <c r="J104" s="6" t="n">
        <v>4.1</v>
      </c>
      <c r="K104" s="6" t="n">
        <v>6</v>
      </c>
      <c r="L104" s="6" t="n">
        <v>5.9</v>
      </c>
      <c r="M104" s="4" t="str">
        <f aca="false">IF(AND(K104="",L104=""),"No closed tickets",IF(K104="","MISSING in catalog",IF(L104="","No valid closed tickets",IF(AND(ABS(K104-L104)&gt;=$S$3,ABS(K104-L104)&gt;=$S$4*MAX(L104,1)),"FAR OFF","OK"))))</f>
        <v>OK</v>
      </c>
      <c r="N104" s="7" t="n">
        <f aca="false">D104/SUMIFS($D$2:$D$741,$B$2:$B$741,B104)</f>
        <v>0.0131578947368421</v>
      </c>
      <c r="O104" s="7" t="n">
        <f aca="false">SUMIFS($D$2:D104,$B$2:B104,B104)/SUMIFS($D$2:$D$741,$B$2:$B$741,B104)</f>
        <v>0.943421052631579</v>
      </c>
      <c r="P104" s="8" t="b">
        <f aca="false">O104-N104&lt;$S$2</f>
        <v>1</v>
      </c>
      <c r="Q104" s="2"/>
      <c r="R104" s="2"/>
      <c r="S104" s="2"/>
    </row>
    <row r="105" customFormat="false" ht="14.25" hidden="false" customHeight="false" outlineLevel="0" collapsed="false">
      <c r="A105" s="4" t="s">
        <v>146</v>
      </c>
      <c r="B105" s="4" t="s">
        <v>129</v>
      </c>
      <c r="C105" s="5" t="n">
        <v>1</v>
      </c>
      <c r="D105" s="5" t="n">
        <v>10</v>
      </c>
      <c r="E105" s="5" t="n">
        <v>0</v>
      </c>
      <c r="F105" s="5" t="n">
        <v>0</v>
      </c>
      <c r="G105" s="5" t="n">
        <v>0</v>
      </c>
      <c r="H105" s="5" t="n">
        <v>10</v>
      </c>
      <c r="I105" s="6" t="n">
        <v>1.5</v>
      </c>
      <c r="J105" s="6" t="n">
        <v>1.9</v>
      </c>
      <c r="K105" s="6" t="n">
        <v>4</v>
      </c>
      <c r="L105" s="6" t="n">
        <v>4.1</v>
      </c>
      <c r="M105" s="4" t="str">
        <f aca="false">IF(AND(K105="",L105=""),"No closed tickets",IF(K105="","MISSING in catalog",IF(L105="","No valid closed tickets",IF(AND(ABS(K105-L105)&gt;=$S$3,ABS(K105-L105)&gt;=$S$4*MAX(L105,1)),"FAR OFF","OK"))))</f>
        <v>OK</v>
      </c>
      <c r="N105" s="7" t="n">
        <f aca="false">D105/SUMIFS($D$2:$D$741,$B$2:$B$741,B105)</f>
        <v>0.0131578947368421</v>
      </c>
      <c r="O105" s="7" t="n">
        <f aca="false">SUMIFS($D$2:D105,$B$2:B105,B105)/SUMIFS($D$2:$D$741,$B$2:$B$741,B105)</f>
        <v>0.956578947368421</v>
      </c>
      <c r="P105" s="8" t="b">
        <f aca="false">O105-N105&lt;$S$2</f>
        <v>1</v>
      </c>
      <c r="Q105" s="2"/>
      <c r="R105" s="2"/>
      <c r="S105" s="2"/>
    </row>
    <row r="106" customFormat="false" ht="14.25" hidden="false" customHeight="false" outlineLevel="0" collapsed="false">
      <c r="A106" s="4" t="s">
        <v>147</v>
      </c>
      <c r="B106" s="4" t="s">
        <v>129</v>
      </c>
      <c r="C106" s="5" t="n">
        <v>1</v>
      </c>
      <c r="D106" s="5" t="n">
        <v>9</v>
      </c>
      <c r="E106" s="5" t="n">
        <v>0</v>
      </c>
      <c r="F106" s="5" t="n">
        <v>0</v>
      </c>
      <c r="G106" s="5" t="n">
        <v>0</v>
      </c>
      <c r="H106" s="5" t="n">
        <v>9</v>
      </c>
      <c r="I106" s="6" t="n">
        <v>7</v>
      </c>
      <c r="J106" s="6" t="n">
        <v>15.9</v>
      </c>
      <c r="K106" s="6" t="n">
        <v>42</v>
      </c>
      <c r="L106" s="6" t="n">
        <v>42.4</v>
      </c>
      <c r="M106" s="4" t="str">
        <f aca="false">IF(AND(K106="",L106=""),"No closed tickets",IF(K106="","MISSING in catalog",IF(L106="","No valid closed tickets",IF(AND(ABS(K106-L106)&gt;=$S$3,ABS(K106-L106)&gt;=$S$4*MAX(L106,1)),"FAR OFF","OK"))))</f>
        <v>OK</v>
      </c>
      <c r="N106" s="7" t="n">
        <f aca="false">D106/SUMIFS($D$2:$D$741,$B$2:$B$741,B106)</f>
        <v>0.0118421052631579</v>
      </c>
      <c r="O106" s="7" t="n">
        <f aca="false">SUMIFS($D$2:D106,$B$2:B106,B106)/SUMIFS($D$2:$D$741,$B$2:$B$741,B106)</f>
        <v>0.968421052631579</v>
      </c>
      <c r="P106" s="8" t="b">
        <f aca="false">O106-N106&lt;$S$2</f>
        <v>0</v>
      </c>
      <c r="Q106" s="2"/>
      <c r="R106" s="2"/>
      <c r="S106" s="2"/>
    </row>
    <row r="107" customFormat="false" ht="14.25" hidden="false" customHeight="false" outlineLevel="0" collapsed="false">
      <c r="A107" s="4" t="s">
        <v>148</v>
      </c>
      <c r="B107" s="4" t="s">
        <v>129</v>
      </c>
      <c r="C107" s="5" t="n">
        <v>1</v>
      </c>
      <c r="D107" s="5" t="n">
        <v>6</v>
      </c>
      <c r="E107" s="5" t="n">
        <v>0</v>
      </c>
      <c r="F107" s="5" t="n">
        <v>0</v>
      </c>
      <c r="G107" s="5" t="n">
        <v>0</v>
      </c>
      <c r="H107" s="5" t="n">
        <v>6</v>
      </c>
      <c r="I107" s="6" t="n">
        <v>5</v>
      </c>
      <c r="J107" s="6" t="n">
        <v>7.3</v>
      </c>
      <c r="K107" s="6" t="n">
        <v>16</v>
      </c>
      <c r="L107" s="6" t="n">
        <v>15.5</v>
      </c>
      <c r="M107" s="4" t="str">
        <f aca="false">IF(AND(K107="",L107=""),"No closed tickets",IF(K107="","MISSING in catalog",IF(L107="","No valid closed tickets",IF(AND(ABS(K107-L107)&gt;=$S$3,ABS(K107-L107)&gt;=$S$4*MAX(L107,1)),"FAR OFF","OK"))))</f>
        <v>OK</v>
      </c>
      <c r="N107" s="7" t="n">
        <f aca="false">D107/SUMIFS($D$2:$D$741,$B$2:$B$741,B107)</f>
        <v>0.00789473684210526</v>
      </c>
      <c r="O107" s="7" t="n">
        <f aca="false">SUMIFS($D$2:D107,$B$2:B107,B107)/SUMIFS($D$2:$D$741,$B$2:$B$741,B107)</f>
        <v>0.976315789473684</v>
      </c>
      <c r="P107" s="8" t="b">
        <f aca="false">O107-N107&lt;$S$2</f>
        <v>0</v>
      </c>
      <c r="Q107" s="2"/>
      <c r="R107" s="2"/>
      <c r="S107" s="2"/>
    </row>
    <row r="108" customFormat="false" ht="14.25" hidden="false" customHeight="false" outlineLevel="0" collapsed="false">
      <c r="A108" s="4" t="s">
        <v>149</v>
      </c>
      <c r="B108" s="4" t="s">
        <v>129</v>
      </c>
      <c r="C108" s="5" t="n">
        <v>1</v>
      </c>
      <c r="D108" s="5" t="n">
        <v>6</v>
      </c>
      <c r="E108" s="5" t="n">
        <v>0</v>
      </c>
      <c r="F108" s="5" t="n">
        <v>0</v>
      </c>
      <c r="G108" s="5" t="n">
        <v>0</v>
      </c>
      <c r="H108" s="5" t="n">
        <v>6</v>
      </c>
      <c r="I108" s="6" t="n">
        <v>20</v>
      </c>
      <c r="J108" s="6" t="n">
        <v>18.7</v>
      </c>
      <c r="K108" s="6" t="n">
        <v>22</v>
      </c>
      <c r="L108" s="6" t="n">
        <v>21.5</v>
      </c>
      <c r="M108" s="4" t="str">
        <f aca="false">IF(AND(K108="",L108=""),"No closed tickets",IF(K108="","MISSING in catalog",IF(L108="","No valid closed tickets",IF(AND(ABS(K108-L108)&gt;=$S$3,ABS(K108-L108)&gt;=$S$4*MAX(L108,1)),"FAR OFF","OK"))))</f>
        <v>OK</v>
      </c>
      <c r="N108" s="7" t="n">
        <f aca="false">D108/SUMIFS($D$2:$D$741,$B$2:$B$741,B108)</f>
        <v>0.00789473684210526</v>
      </c>
      <c r="O108" s="7" t="n">
        <f aca="false">SUMIFS($D$2:D108,$B$2:B108,B108)/SUMIFS($D$2:$D$741,$B$2:$B$741,B108)</f>
        <v>0.984210526315789</v>
      </c>
      <c r="P108" s="8" t="b">
        <f aca="false">O108-N108&lt;$S$2</f>
        <v>0</v>
      </c>
      <c r="Q108" s="2"/>
      <c r="R108" s="2"/>
      <c r="S108" s="2"/>
    </row>
    <row r="109" customFormat="false" ht="14.25" hidden="false" customHeight="false" outlineLevel="0" collapsed="false">
      <c r="A109" s="4" t="s">
        <v>150</v>
      </c>
      <c r="B109" s="4" t="s">
        <v>129</v>
      </c>
      <c r="C109" s="5" t="n">
        <v>1</v>
      </c>
      <c r="D109" s="5" t="n">
        <v>5</v>
      </c>
      <c r="E109" s="5" t="n">
        <v>0</v>
      </c>
      <c r="F109" s="5" t="n">
        <v>0</v>
      </c>
      <c r="G109" s="5" t="n">
        <v>0</v>
      </c>
      <c r="H109" s="5" t="n">
        <v>5</v>
      </c>
      <c r="I109" s="6" t="n">
        <v>1</v>
      </c>
      <c r="J109" s="6" t="n">
        <v>2.6</v>
      </c>
      <c r="K109" s="6" t="n">
        <v>5</v>
      </c>
      <c r="L109" s="6" t="n">
        <v>5.4</v>
      </c>
      <c r="M109" s="4" t="str">
        <f aca="false">IF(AND(K109="",L109=""),"No closed tickets",IF(K109="","MISSING in catalog",IF(L109="","No valid closed tickets",IF(AND(ABS(K109-L109)&gt;=$S$3,ABS(K109-L109)&gt;=$S$4*MAX(L109,1)),"FAR OFF","OK"))))</f>
        <v>OK</v>
      </c>
      <c r="N109" s="7" t="n">
        <f aca="false">D109/SUMIFS($D$2:$D$741,$B$2:$B$741,B109)</f>
        <v>0.00657894736842105</v>
      </c>
      <c r="O109" s="7" t="n">
        <f aca="false">SUMIFS($D$2:D109,$B$2:B109,B109)/SUMIFS($D$2:$D$741,$B$2:$B$741,B109)</f>
        <v>0.990789473684211</v>
      </c>
      <c r="P109" s="8" t="b">
        <f aca="false">O109-N109&lt;$S$2</f>
        <v>0</v>
      </c>
      <c r="Q109" s="2"/>
      <c r="R109" s="2"/>
      <c r="S109" s="2"/>
    </row>
    <row r="110" customFormat="false" ht="14.25" hidden="false" customHeight="false" outlineLevel="0" collapsed="false">
      <c r="A110" s="4" t="s">
        <v>151</v>
      </c>
      <c r="B110" s="4" t="s">
        <v>129</v>
      </c>
      <c r="C110" s="5" t="n">
        <v>1</v>
      </c>
      <c r="D110" s="5" t="n">
        <v>4</v>
      </c>
      <c r="E110" s="5" t="n">
        <v>0</v>
      </c>
      <c r="F110" s="5" t="n">
        <v>0</v>
      </c>
      <c r="G110" s="5" t="n">
        <v>0</v>
      </c>
      <c r="H110" s="5" t="n">
        <v>4</v>
      </c>
      <c r="I110" s="6" t="n">
        <v>3</v>
      </c>
      <c r="J110" s="6" t="n">
        <v>6.2</v>
      </c>
      <c r="K110" s="6" t="n">
        <v>14</v>
      </c>
      <c r="L110" s="6" t="n">
        <v>13.8</v>
      </c>
      <c r="M110" s="4" t="str">
        <f aca="false">IF(AND(K110="",L110=""),"No closed tickets",IF(K110="","MISSING in catalog",IF(L110="","No valid closed tickets",IF(AND(ABS(K110-L110)&gt;=$S$3,ABS(K110-L110)&gt;=$S$4*MAX(L110,1)),"FAR OFF","OK"))))</f>
        <v>OK</v>
      </c>
      <c r="N110" s="7" t="n">
        <f aca="false">D110/SUMIFS($D$2:$D$741,$B$2:$B$741,B110)</f>
        <v>0.00526315789473684</v>
      </c>
      <c r="O110" s="7" t="n">
        <f aca="false">SUMIFS($D$2:D110,$B$2:B110,B110)/SUMIFS($D$2:$D$741,$B$2:$B$741,B110)</f>
        <v>0.996052631578947</v>
      </c>
      <c r="P110" s="8" t="b">
        <f aca="false">O110-N110&lt;$S$2</f>
        <v>0</v>
      </c>
      <c r="Q110" s="2"/>
      <c r="R110" s="2"/>
      <c r="S110" s="2"/>
    </row>
    <row r="111" customFormat="false" ht="14.25" hidden="false" customHeight="false" outlineLevel="0" collapsed="false">
      <c r="A111" s="4" t="s">
        <v>152</v>
      </c>
      <c r="B111" s="4" t="s">
        <v>129</v>
      </c>
      <c r="C111" s="5" t="n">
        <v>1</v>
      </c>
      <c r="D111" s="5" t="n">
        <v>1</v>
      </c>
      <c r="E111" s="5" t="n">
        <v>0</v>
      </c>
      <c r="F111" s="5" t="n">
        <v>0</v>
      </c>
      <c r="G111" s="5" t="n">
        <v>0</v>
      </c>
      <c r="H111" s="5" t="n">
        <v>1</v>
      </c>
      <c r="I111" s="6" t="n">
        <v>0</v>
      </c>
      <c r="J111" s="6" t="n">
        <v>0</v>
      </c>
      <c r="K111" s="6" t="n">
        <v>0</v>
      </c>
      <c r="L111" s="6" t="n">
        <v>0</v>
      </c>
      <c r="M111" s="4" t="str">
        <f aca="false">IF(AND(K111="",L111=""),"No closed tickets",IF(K111="","MISSING in catalog",IF(L111="","No valid closed tickets",IF(AND(ABS(K111-L111)&gt;=$S$3,ABS(K111-L111)&gt;=$S$4*MAX(L111,1)),"FAR OFF","OK"))))</f>
        <v>OK</v>
      </c>
      <c r="N111" s="7" t="n">
        <f aca="false">D111/SUMIFS($D$2:$D$741,$B$2:$B$741,B111)</f>
        <v>0.00131578947368421</v>
      </c>
      <c r="O111" s="7" t="n">
        <f aca="false">SUMIFS($D$2:D111,$B$2:B111,B111)/SUMIFS($D$2:$D$741,$B$2:$B$741,B111)</f>
        <v>0.997368421052632</v>
      </c>
      <c r="P111" s="8" t="b">
        <f aca="false">O111-N111&lt;$S$2</f>
        <v>0</v>
      </c>
      <c r="Q111" s="2"/>
      <c r="R111" s="2"/>
      <c r="S111" s="2"/>
    </row>
    <row r="112" customFormat="false" ht="14.25" hidden="false" customHeight="false" outlineLevel="0" collapsed="false">
      <c r="A112" s="4" t="s">
        <v>153</v>
      </c>
      <c r="B112" s="4" t="s">
        <v>129</v>
      </c>
      <c r="C112" s="5" t="n">
        <v>1</v>
      </c>
      <c r="D112" s="5" t="n">
        <v>1</v>
      </c>
      <c r="E112" s="5" t="n">
        <v>0</v>
      </c>
      <c r="F112" s="5" t="n">
        <v>0</v>
      </c>
      <c r="G112" s="5" t="n">
        <v>0</v>
      </c>
      <c r="H112" s="5" t="n">
        <v>1</v>
      </c>
      <c r="I112" s="6" t="n">
        <v>0</v>
      </c>
      <c r="J112" s="6" t="n">
        <v>0</v>
      </c>
      <c r="K112" s="6" t="n">
        <v>0</v>
      </c>
      <c r="L112" s="6" t="n">
        <v>0</v>
      </c>
      <c r="M112" s="4" t="str">
        <f aca="false">IF(AND(K112="",L112=""),"No closed tickets",IF(K112="","MISSING in catalog",IF(L112="","No valid closed tickets",IF(AND(ABS(K112-L112)&gt;=$S$3,ABS(K112-L112)&gt;=$S$4*MAX(L112,1)),"FAR OFF","OK"))))</f>
        <v>OK</v>
      </c>
      <c r="N112" s="7" t="n">
        <f aca="false">D112/SUMIFS($D$2:$D$741,$B$2:$B$741,B112)</f>
        <v>0.00131578947368421</v>
      </c>
      <c r="O112" s="7" t="n">
        <f aca="false">SUMIFS($D$2:D112,$B$2:B112,B112)/SUMIFS($D$2:$D$741,$B$2:$B$741,B112)</f>
        <v>0.998684210526316</v>
      </c>
      <c r="P112" s="8" t="b">
        <f aca="false">O112-N112&lt;$S$2</f>
        <v>0</v>
      </c>
      <c r="Q112" s="2"/>
      <c r="R112" s="2"/>
      <c r="S112" s="2"/>
    </row>
    <row r="113" customFormat="false" ht="14.25" hidden="false" customHeight="false" outlineLevel="0" collapsed="false">
      <c r="A113" s="4" t="s">
        <v>154</v>
      </c>
      <c r="B113" s="4" t="s">
        <v>129</v>
      </c>
      <c r="C113" s="5" t="n">
        <v>1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1</v>
      </c>
      <c r="I113" s="6" t="n">
        <v>94</v>
      </c>
      <c r="J113" s="6" t="n">
        <v>94</v>
      </c>
      <c r="K113" s="6" t="n">
        <v>94</v>
      </c>
      <c r="L113" s="6" t="n">
        <v>94</v>
      </c>
      <c r="M113" s="4" t="str">
        <f aca="false">IF(AND(K113="",L113=""),"No closed tickets",IF(K113="","MISSING in catalog",IF(L113="","No valid closed tickets",IF(AND(ABS(K113-L113)&gt;=$S$3,ABS(K113-L113)&gt;=$S$4*MAX(L113,1)),"FAR OFF","OK"))))</f>
        <v>OK</v>
      </c>
      <c r="N113" s="7" t="n">
        <f aca="false">D113/SUMIFS($D$2:$D$741,$B$2:$B$741,B113)</f>
        <v>0.00131578947368421</v>
      </c>
      <c r="O113" s="7" t="n">
        <f aca="false">SUMIFS($D$2:D113,$B$2:B113,B113)/SUMIFS($D$2:$D$741,$B$2:$B$741,B113)</f>
        <v>1</v>
      </c>
      <c r="P113" s="8" t="b">
        <f aca="false">O113-N113&lt;$S$2</f>
        <v>0</v>
      </c>
      <c r="Q113" s="2"/>
      <c r="R113" s="2"/>
      <c r="S113" s="2"/>
    </row>
    <row r="114" customFormat="false" ht="14.25" hidden="false" customHeight="false" outlineLevel="0" collapsed="false">
      <c r="A114" s="10" t="s">
        <v>155</v>
      </c>
      <c r="B114" s="10" t="s">
        <v>156</v>
      </c>
      <c r="C114" s="11" t="n">
        <v>1</v>
      </c>
      <c r="D114" s="11" t="n">
        <v>30</v>
      </c>
      <c r="E114" s="11" t="n">
        <v>12</v>
      </c>
      <c r="F114" s="11" t="n">
        <v>0</v>
      </c>
      <c r="G114" s="11" t="n">
        <v>0</v>
      </c>
      <c r="H114" s="11" t="n">
        <v>30</v>
      </c>
      <c r="I114" s="12" t="n">
        <v>4.5</v>
      </c>
      <c r="J114" s="12" t="n">
        <v>4.4</v>
      </c>
      <c r="K114" s="12" t="n">
        <v>7</v>
      </c>
      <c r="L114" s="12" t="n">
        <v>7.1</v>
      </c>
      <c r="M114" s="10" t="str">
        <f aca="false">IF(AND(K114="",L114=""),"No closed tickets",IF(K114="","MISSING in catalog",IF(L114="","No valid closed tickets",IF(AND(ABS(K114-L114)&gt;=$S$3,ABS(K114-L114)&gt;=$S$4*MAX(L114,1)),"FAR OFF","OK"))))</f>
        <v>OK</v>
      </c>
      <c r="N114" s="13" t="n">
        <f aca="false">D114/SUMIFS($D$2:$D$741,$B$2:$B$741,B114)</f>
        <v>0.254237288135593</v>
      </c>
      <c r="O114" s="13" t="n">
        <f aca="false">SUMIFS($D$2:D114,$B$2:B114,B114)/SUMIFS($D$2:$D$741,$B$2:$B$741,B114)</f>
        <v>0.254237288135593</v>
      </c>
      <c r="P114" s="14" t="b">
        <f aca="false">O114-N114&lt;$S$2</f>
        <v>1</v>
      </c>
      <c r="Q114" s="2"/>
      <c r="R114" s="2"/>
      <c r="S114" s="2"/>
    </row>
    <row r="115" customFormat="false" ht="14.25" hidden="false" customHeight="false" outlineLevel="0" collapsed="false">
      <c r="A115" s="4" t="s">
        <v>157</v>
      </c>
      <c r="B115" s="4" t="s">
        <v>156</v>
      </c>
      <c r="C115" s="5" t="n">
        <v>2</v>
      </c>
      <c r="D115" s="5" t="n">
        <v>21</v>
      </c>
      <c r="E115" s="5" t="n">
        <v>0</v>
      </c>
      <c r="F115" s="5" t="n">
        <v>0</v>
      </c>
      <c r="G115" s="5" t="n">
        <v>0</v>
      </c>
      <c r="H115" s="5" t="n">
        <v>21</v>
      </c>
      <c r="I115" s="6" t="n">
        <v>5</v>
      </c>
      <c r="J115" s="6" t="n">
        <v>7.7</v>
      </c>
      <c r="K115" s="6" t="n">
        <v>19</v>
      </c>
      <c r="L115" s="6" t="n">
        <v>19</v>
      </c>
      <c r="M115" s="4" t="str">
        <f aca="false">IF(AND(K115="",L115=""),"No closed tickets",IF(K115="","MISSING in catalog",IF(L115="","No valid closed tickets",IF(AND(ABS(K115-L115)&gt;=$S$3,ABS(K115-L115)&gt;=$S$4*MAX(L115,1)),"FAR OFF","OK"))))</f>
        <v>OK</v>
      </c>
      <c r="N115" s="7" t="n">
        <f aca="false">D115/SUMIFS($D$2:$D$741,$B$2:$B$741,B115)</f>
        <v>0.177966101694915</v>
      </c>
      <c r="O115" s="7" t="n">
        <f aca="false">SUMIFS($D$2:D115,$B$2:B115,B115)/SUMIFS($D$2:$D$741,$B$2:$B$741,B115)</f>
        <v>0.432203389830509</v>
      </c>
      <c r="P115" s="8" t="b">
        <f aca="false">O115-N115&lt;$S$2</f>
        <v>1</v>
      </c>
      <c r="Q115" s="2"/>
      <c r="R115" s="2"/>
      <c r="S115" s="2"/>
    </row>
    <row r="116" customFormat="false" ht="14.25" hidden="false" customHeight="false" outlineLevel="0" collapsed="false">
      <c r="A116" s="4" t="s">
        <v>158</v>
      </c>
      <c r="B116" s="4" t="s">
        <v>156</v>
      </c>
      <c r="C116" s="5" t="n">
        <v>1</v>
      </c>
      <c r="D116" s="5" t="n">
        <v>19</v>
      </c>
      <c r="E116" s="5" t="n">
        <v>0</v>
      </c>
      <c r="F116" s="5" t="n">
        <v>0</v>
      </c>
      <c r="G116" s="5" t="n">
        <v>0</v>
      </c>
      <c r="H116" s="5" t="n">
        <v>19</v>
      </c>
      <c r="I116" s="6" t="n">
        <v>3</v>
      </c>
      <c r="J116" s="6" t="n">
        <v>3.7</v>
      </c>
      <c r="K116" s="6" t="n">
        <v>7</v>
      </c>
      <c r="L116" s="6" t="n">
        <v>7</v>
      </c>
      <c r="M116" s="4" t="str">
        <f aca="false">IF(AND(K116="",L116=""),"No closed tickets",IF(K116="","MISSING in catalog",IF(L116="","No valid closed tickets",IF(AND(ABS(K116-L116)&gt;=$S$3,ABS(K116-L116)&gt;=$S$4*MAX(L116,1)),"FAR OFF","OK"))))</f>
        <v>OK</v>
      </c>
      <c r="N116" s="7" t="n">
        <f aca="false">D116/SUMIFS($D$2:$D$741,$B$2:$B$741,B116)</f>
        <v>0.161016949152542</v>
      </c>
      <c r="O116" s="7" t="n">
        <f aca="false">SUMIFS($D$2:D116,$B$2:B116,B116)/SUMIFS($D$2:$D$741,$B$2:$B$741,B116)</f>
        <v>0.593220338983051</v>
      </c>
      <c r="P116" s="8" t="b">
        <f aca="false">O116-N116&lt;$S$2</f>
        <v>1</v>
      </c>
      <c r="Q116" s="2"/>
      <c r="R116" s="2"/>
      <c r="S116" s="2"/>
    </row>
    <row r="117" customFormat="false" ht="14.25" hidden="false" customHeight="false" outlineLevel="0" collapsed="false">
      <c r="A117" s="4" t="s">
        <v>159</v>
      </c>
      <c r="B117" s="4" t="s">
        <v>156</v>
      </c>
      <c r="C117" s="5" t="n">
        <v>1</v>
      </c>
      <c r="D117" s="5" t="n">
        <v>18</v>
      </c>
      <c r="E117" s="5" t="n">
        <v>3</v>
      </c>
      <c r="F117" s="5" t="n">
        <v>0</v>
      </c>
      <c r="G117" s="5" t="n">
        <v>0</v>
      </c>
      <c r="H117" s="5" t="n">
        <v>18</v>
      </c>
      <c r="I117" s="6" t="n">
        <v>19</v>
      </c>
      <c r="J117" s="6" t="n">
        <v>40.3</v>
      </c>
      <c r="K117" s="6" t="n">
        <v>107</v>
      </c>
      <c r="L117" s="6" t="n">
        <v>107.2</v>
      </c>
      <c r="M117" s="4" t="str">
        <f aca="false">IF(AND(K117="",L117=""),"No closed tickets",IF(K117="","MISSING in catalog",IF(L117="","No valid closed tickets",IF(AND(ABS(K117-L117)&gt;=$S$3,ABS(K117-L117)&gt;=$S$4*MAX(L117,1)),"FAR OFF","OK"))))</f>
        <v>OK</v>
      </c>
      <c r="N117" s="7" t="n">
        <f aca="false">D117/SUMIFS($D$2:$D$741,$B$2:$B$741,B117)</f>
        <v>0.152542372881356</v>
      </c>
      <c r="O117" s="7" t="n">
        <f aca="false">SUMIFS($D$2:D117,$B$2:B117,B117)/SUMIFS($D$2:$D$741,$B$2:$B$741,B117)</f>
        <v>0.745762711864407</v>
      </c>
      <c r="P117" s="8" t="b">
        <f aca="false">O117-N117&lt;$S$2</f>
        <v>1</v>
      </c>
      <c r="Q117" s="2"/>
      <c r="R117" s="2"/>
      <c r="S117" s="2"/>
    </row>
    <row r="118" customFormat="false" ht="14.25" hidden="false" customHeight="false" outlineLevel="0" collapsed="false">
      <c r="A118" s="4" t="s">
        <v>160</v>
      </c>
      <c r="B118" s="4" t="s">
        <v>156</v>
      </c>
      <c r="C118" s="5" t="n">
        <v>1</v>
      </c>
      <c r="D118" s="5" t="n">
        <v>16</v>
      </c>
      <c r="E118" s="5" t="n">
        <v>0</v>
      </c>
      <c r="F118" s="5" t="n">
        <v>0</v>
      </c>
      <c r="G118" s="5" t="n">
        <v>0</v>
      </c>
      <c r="H118" s="5" t="n">
        <v>16</v>
      </c>
      <c r="I118" s="6" t="n">
        <v>20</v>
      </c>
      <c r="J118" s="6" t="n">
        <v>21.1</v>
      </c>
      <c r="K118" s="6" t="n">
        <v>34</v>
      </c>
      <c r="L118" s="6" t="n">
        <v>34.5</v>
      </c>
      <c r="M118" s="4" t="str">
        <f aca="false">IF(AND(K118="",L118=""),"No closed tickets",IF(K118="","MISSING in catalog",IF(L118="","No valid closed tickets",IF(AND(ABS(K118-L118)&gt;=$S$3,ABS(K118-L118)&gt;=$S$4*MAX(L118,1)),"FAR OFF","OK"))))</f>
        <v>OK</v>
      </c>
      <c r="N118" s="7" t="n">
        <f aca="false">D118/SUMIFS($D$2:$D$741,$B$2:$B$741,B118)</f>
        <v>0.135593220338983</v>
      </c>
      <c r="O118" s="7" t="n">
        <f aca="false">SUMIFS($D$2:D118,$B$2:B118,B118)/SUMIFS($D$2:$D$741,$B$2:$B$741,B118)</f>
        <v>0.88135593220339</v>
      </c>
      <c r="P118" s="8" t="b">
        <f aca="false">O118-N118&lt;$S$2</f>
        <v>1</v>
      </c>
      <c r="Q118" s="2"/>
      <c r="R118" s="2"/>
      <c r="S118" s="2"/>
    </row>
    <row r="119" customFormat="false" ht="14.25" hidden="false" customHeight="false" outlineLevel="0" collapsed="false">
      <c r="A119" s="4" t="s">
        <v>161</v>
      </c>
      <c r="B119" s="4" t="s">
        <v>156</v>
      </c>
      <c r="C119" s="5" t="n">
        <v>2</v>
      </c>
      <c r="D119" s="5" t="n">
        <v>4</v>
      </c>
      <c r="E119" s="5" t="n">
        <v>0</v>
      </c>
      <c r="F119" s="5" t="n">
        <v>0</v>
      </c>
      <c r="G119" s="5" t="n">
        <v>0</v>
      </c>
      <c r="H119" s="5" t="n">
        <v>4</v>
      </c>
      <c r="I119" s="6" t="n">
        <v>6.5</v>
      </c>
      <c r="J119" s="6" t="n">
        <v>15.8</v>
      </c>
      <c r="K119" s="6" t="n">
        <v>36</v>
      </c>
      <c r="L119" s="6" t="n">
        <v>35.7</v>
      </c>
      <c r="M119" s="4" t="str">
        <f aca="false">IF(AND(K119="",L119=""),"No closed tickets",IF(K119="","MISSING in catalog",IF(L119="","No valid closed tickets",IF(AND(ABS(K119-L119)&gt;=$S$3,ABS(K119-L119)&gt;=$S$4*MAX(L119,1)),"FAR OFF","OK"))))</f>
        <v>OK</v>
      </c>
      <c r="N119" s="7" t="n">
        <f aca="false">D119/SUMIFS($D$2:$D$741,$B$2:$B$741,B119)</f>
        <v>0.0338983050847458</v>
      </c>
      <c r="O119" s="7" t="n">
        <f aca="false">SUMIFS($D$2:D119,$B$2:B119,B119)/SUMIFS($D$2:$D$741,$B$2:$B$741,B119)</f>
        <v>0.915254237288136</v>
      </c>
      <c r="P119" s="8" t="b">
        <f aca="false">O119-N119&lt;$S$2</f>
        <v>1</v>
      </c>
      <c r="Q119" s="2"/>
      <c r="R119" s="2"/>
      <c r="S119" s="2"/>
    </row>
    <row r="120" customFormat="false" ht="14.25" hidden="false" customHeight="false" outlineLevel="0" collapsed="false">
      <c r="A120" s="4" t="s">
        <v>162</v>
      </c>
      <c r="B120" s="4" t="s">
        <v>156</v>
      </c>
      <c r="C120" s="5" t="n">
        <v>1</v>
      </c>
      <c r="D120" s="5" t="n">
        <v>4</v>
      </c>
      <c r="E120" s="5" t="n">
        <v>0</v>
      </c>
      <c r="F120" s="5" t="n">
        <v>0</v>
      </c>
      <c r="G120" s="5" t="n">
        <v>0</v>
      </c>
      <c r="H120" s="5" t="n">
        <v>4</v>
      </c>
      <c r="I120" s="6" t="n">
        <v>1</v>
      </c>
      <c r="J120" s="6" t="n">
        <v>1.8</v>
      </c>
      <c r="K120" s="6" t="n">
        <v>4</v>
      </c>
      <c r="L120" s="6" t="n">
        <v>4.1</v>
      </c>
      <c r="M120" s="4" t="str">
        <f aca="false">IF(AND(K120="",L120=""),"No closed tickets",IF(K120="","MISSING in catalog",IF(L120="","No valid closed tickets",IF(AND(ABS(K120-L120)&gt;=$S$3,ABS(K120-L120)&gt;=$S$4*MAX(L120,1)),"FAR OFF","OK"))))</f>
        <v>OK</v>
      </c>
      <c r="N120" s="7" t="n">
        <f aca="false">D120/SUMIFS($D$2:$D$741,$B$2:$B$741,B120)</f>
        <v>0.0338983050847458</v>
      </c>
      <c r="O120" s="7" t="n">
        <f aca="false">SUMIFS($D$2:D120,$B$2:B120,B120)/SUMIFS($D$2:$D$741,$B$2:$B$741,B120)</f>
        <v>0.949152542372881</v>
      </c>
      <c r="P120" s="8" t="b">
        <f aca="false">O120-N120&lt;$S$2</f>
        <v>1</v>
      </c>
      <c r="Q120" s="2"/>
      <c r="R120" s="2"/>
      <c r="S120" s="2"/>
    </row>
    <row r="121" customFormat="false" ht="14.25" hidden="false" customHeight="false" outlineLevel="0" collapsed="false">
      <c r="A121" s="4" t="s">
        <v>163</v>
      </c>
      <c r="B121" s="4" t="s">
        <v>156</v>
      </c>
      <c r="C121" s="5" t="n">
        <v>1</v>
      </c>
      <c r="D121" s="5" t="n">
        <v>4</v>
      </c>
      <c r="E121" s="5" t="n">
        <v>3</v>
      </c>
      <c r="F121" s="5" t="n">
        <v>1</v>
      </c>
      <c r="G121" s="5" t="n">
        <v>1</v>
      </c>
      <c r="H121" s="5" t="n">
        <v>3</v>
      </c>
      <c r="I121" s="6" t="n">
        <v>53</v>
      </c>
      <c r="J121" s="6" t="n">
        <v>60</v>
      </c>
      <c r="K121" s="6" t="n">
        <v>101</v>
      </c>
      <c r="L121" s="6" t="n">
        <v>101</v>
      </c>
      <c r="M121" s="4" t="str">
        <f aca="false">IF(AND(K121="",L121=""),"No closed tickets",IF(K121="","MISSING in catalog",IF(L121="","No valid closed tickets",IF(AND(ABS(K121-L121)&gt;=$S$3,ABS(K121-L121)&gt;=$S$4*MAX(L121,1)),"FAR OFF","OK"))))</f>
        <v>OK</v>
      </c>
      <c r="N121" s="7" t="n">
        <f aca="false">D121/SUMIFS($D$2:$D$741,$B$2:$B$741,B121)</f>
        <v>0.0338983050847458</v>
      </c>
      <c r="O121" s="7" t="n">
        <f aca="false">SUMIFS($D$2:D121,$B$2:B121,B121)/SUMIFS($D$2:$D$741,$B$2:$B$741,B121)</f>
        <v>0.983050847457627</v>
      </c>
      <c r="P121" s="8" t="b">
        <f aca="false">O121-N121&lt;$S$2</f>
        <v>1</v>
      </c>
      <c r="Q121" s="2"/>
      <c r="R121" s="2"/>
      <c r="S121" s="2"/>
    </row>
    <row r="122" customFormat="false" ht="14.25" hidden="false" customHeight="false" outlineLevel="0" collapsed="false">
      <c r="A122" s="4" t="s">
        <v>164</v>
      </c>
      <c r="B122" s="4" t="s">
        <v>156</v>
      </c>
      <c r="C122" s="5" t="n">
        <v>1</v>
      </c>
      <c r="D122" s="5" t="n">
        <v>2</v>
      </c>
      <c r="E122" s="5" t="n">
        <v>0</v>
      </c>
      <c r="F122" s="5" t="n">
        <v>0</v>
      </c>
      <c r="G122" s="5" t="n">
        <v>0</v>
      </c>
      <c r="H122" s="5" t="n">
        <v>2</v>
      </c>
      <c r="I122" s="6" t="n">
        <v>2</v>
      </c>
      <c r="J122" s="6" t="n">
        <v>2</v>
      </c>
      <c r="K122" s="6" t="n">
        <v>3</v>
      </c>
      <c r="L122" s="6" t="n">
        <v>2.8</v>
      </c>
      <c r="M122" s="4" t="str">
        <f aca="false">IF(AND(K122="",L122=""),"No closed tickets",IF(K122="","MISSING in catalog",IF(L122="","No valid closed tickets",IF(AND(ABS(K122-L122)&gt;=$S$3,ABS(K122-L122)&gt;=$S$4*MAX(L122,1)),"FAR OFF","OK"))))</f>
        <v>OK</v>
      </c>
      <c r="N122" s="7" t="n">
        <f aca="false">D122/SUMIFS($D$2:$D$741,$B$2:$B$741,B122)</f>
        <v>0.0169491525423729</v>
      </c>
      <c r="O122" s="7" t="n">
        <f aca="false">SUMIFS($D$2:D122,$B$2:B122,B122)/SUMIFS($D$2:$D$741,$B$2:$B$741,B122)</f>
        <v>1</v>
      </c>
      <c r="P122" s="8" t="b">
        <f aca="false">O122-N122&lt;$S$2</f>
        <v>0</v>
      </c>
      <c r="Q122" s="2"/>
      <c r="R122" s="2"/>
      <c r="S122" s="2"/>
    </row>
    <row r="123" customFormat="false" ht="14.25" hidden="false" customHeight="false" outlineLevel="0" collapsed="false">
      <c r="A123" s="10" t="s">
        <v>165</v>
      </c>
      <c r="B123" s="10" t="s">
        <v>166</v>
      </c>
      <c r="C123" s="11" t="n">
        <v>2</v>
      </c>
      <c r="D123" s="11" t="n">
        <v>49297</v>
      </c>
      <c r="E123" s="11" t="n">
        <v>6028</v>
      </c>
      <c r="F123" s="11" t="n">
        <v>46</v>
      </c>
      <c r="G123" s="11" t="n">
        <v>46</v>
      </c>
      <c r="H123" s="11" t="n">
        <v>48657</v>
      </c>
      <c r="I123" s="12" t="n">
        <v>5</v>
      </c>
      <c r="J123" s="12" t="n">
        <v>9.3</v>
      </c>
      <c r="K123" s="12" t="n">
        <v>19</v>
      </c>
      <c r="L123" s="12" t="n">
        <v>19</v>
      </c>
      <c r="M123" s="10" t="str">
        <f aca="false">IF(AND(K123="",L123=""),"No closed tickets",IF(K123="","MISSING in catalog",IF(L123="","No valid closed tickets",IF(AND(ABS(K123-L123)&gt;=$S$3,ABS(K123-L123)&gt;=$S$4*MAX(L123,1)),"FAR OFF","OK"))))</f>
        <v>OK</v>
      </c>
      <c r="N123" s="13" t="n">
        <f aca="false">D123/SUMIFS($D$2:$D$741,$B$2:$B$741,B123)</f>
        <v>0.137910294105305</v>
      </c>
      <c r="O123" s="13" t="n">
        <f aca="false">SUMIFS($D$2:D123,$B$2:B123,B123)/SUMIFS($D$2:$D$741,$B$2:$B$741,B123)</f>
        <v>0.137910294105305</v>
      </c>
      <c r="P123" s="14" t="b">
        <f aca="false">O123-N123&lt;$S$2</f>
        <v>1</v>
      </c>
      <c r="Q123" s="2"/>
      <c r="R123" s="2"/>
      <c r="S123" s="2"/>
    </row>
    <row r="124" customFormat="false" ht="14.25" hidden="false" customHeight="false" outlineLevel="0" collapsed="false">
      <c r="A124" s="4" t="s">
        <v>167</v>
      </c>
      <c r="B124" s="4" t="s">
        <v>166</v>
      </c>
      <c r="C124" s="5" t="n">
        <v>2</v>
      </c>
      <c r="D124" s="5" t="n">
        <v>44141</v>
      </c>
      <c r="E124" s="5" t="n">
        <v>11071</v>
      </c>
      <c r="F124" s="5" t="n">
        <v>617</v>
      </c>
      <c r="G124" s="5" t="n">
        <v>293</v>
      </c>
      <c r="H124" s="5" t="n">
        <v>43523</v>
      </c>
      <c r="I124" s="6" t="n">
        <v>8</v>
      </c>
      <c r="J124" s="6" t="n">
        <v>13.5</v>
      </c>
      <c r="K124" s="6" t="n">
        <v>23</v>
      </c>
      <c r="L124" s="6" t="n">
        <v>23</v>
      </c>
      <c r="M124" s="4" t="str">
        <f aca="false">IF(AND(K124="",L124=""),"No closed tickets",IF(K124="","MISSING in catalog",IF(L124="","No valid closed tickets",IF(AND(ABS(K124-L124)&gt;=$S$3,ABS(K124-L124)&gt;=$S$4*MAX(L124,1)),"FAR OFF","OK"))))</f>
        <v>OK</v>
      </c>
      <c r="N124" s="7" t="n">
        <f aca="false">D124/SUMIFS($D$2:$D$741,$B$2:$B$741,B124)</f>
        <v>0.123486181554704</v>
      </c>
      <c r="O124" s="7" t="n">
        <f aca="false">SUMIFS($D$2:D124,$B$2:B124,B124)/SUMIFS($D$2:$D$741,$B$2:$B$741,B124)</f>
        <v>0.261396475660009</v>
      </c>
      <c r="P124" s="8" t="b">
        <f aca="false">O124-N124&lt;$S$2</f>
        <v>1</v>
      </c>
      <c r="Q124" s="2"/>
      <c r="R124" s="2"/>
      <c r="S124" s="2"/>
    </row>
    <row r="125" customFormat="false" ht="14.25" hidden="false" customHeight="false" outlineLevel="0" collapsed="false">
      <c r="A125" s="4" t="s">
        <v>168</v>
      </c>
      <c r="B125" s="4" t="s">
        <v>166</v>
      </c>
      <c r="C125" s="5" t="n">
        <v>2</v>
      </c>
      <c r="D125" s="5" t="n">
        <v>39298</v>
      </c>
      <c r="E125" s="5" t="n">
        <v>10003</v>
      </c>
      <c r="F125" s="5" t="n">
        <v>895</v>
      </c>
      <c r="G125" s="5" t="n">
        <v>180</v>
      </c>
      <c r="H125" s="5" t="n">
        <v>38403</v>
      </c>
      <c r="I125" s="6" t="n">
        <v>30</v>
      </c>
      <c r="J125" s="6" t="n">
        <v>26.5</v>
      </c>
      <c r="K125" s="6" t="n">
        <v>41</v>
      </c>
      <c r="L125" s="6" t="n">
        <v>41</v>
      </c>
      <c r="M125" s="4" t="str">
        <f aca="false">IF(AND(K125="",L125=""),"No closed tickets",IF(K125="","MISSING in catalog",IF(L125="","No valid closed tickets",IF(AND(ABS(K125-L125)&gt;=$S$3,ABS(K125-L125)&gt;=$S$4*MAX(L125,1)),"FAR OFF","OK"))))</f>
        <v>OK</v>
      </c>
      <c r="N125" s="7" t="n">
        <f aca="false">D125/SUMIFS($D$2:$D$741,$B$2:$B$741,B125)</f>
        <v>0.109937698800135</v>
      </c>
      <c r="O125" s="7" t="n">
        <f aca="false">SUMIFS($D$2:D125,$B$2:B125,B125)/SUMIFS($D$2:$D$741,$B$2:$B$741,B125)</f>
        <v>0.371334174460145</v>
      </c>
      <c r="P125" s="8" t="b">
        <f aca="false">O125-N125&lt;$S$2</f>
        <v>1</v>
      </c>
      <c r="Q125" s="2"/>
      <c r="R125" s="2"/>
      <c r="S125" s="2"/>
    </row>
    <row r="126" customFormat="false" ht="14.25" hidden="false" customHeight="false" outlineLevel="0" collapsed="false">
      <c r="A126" s="4" t="s">
        <v>169</v>
      </c>
      <c r="B126" s="4" t="s">
        <v>166</v>
      </c>
      <c r="C126" s="5" t="n">
        <v>2</v>
      </c>
      <c r="D126" s="5" t="n">
        <v>33965</v>
      </c>
      <c r="E126" s="5" t="n">
        <v>7844</v>
      </c>
      <c r="F126" s="5" t="n">
        <v>694</v>
      </c>
      <c r="G126" s="5" t="n">
        <v>309</v>
      </c>
      <c r="H126" s="5" t="n">
        <v>33271</v>
      </c>
      <c r="I126" s="6" t="n">
        <v>5</v>
      </c>
      <c r="J126" s="6" t="n">
        <v>15.1</v>
      </c>
      <c r="K126" s="6" t="n">
        <v>33</v>
      </c>
      <c r="L126" s="6" t="n">
        <v>33</v>
      </c>
      <c r="M126" s="4" t="str">
        <f aca="false">IF(AND(K126="",L126=""),"No closed tickets",IF(K126="","MISSING in catalog",IF(L126="","No valid closed tickets",IF(AND(ABS(K126-L126)&gt;=$S$3,ABS(K126-L126)&gt;=$S$4*MAX(L126,1)),"FAR OFF","OK"))))</f>
        <v>OK</v>
      </c>
      <c r="N126" s="7" t="n">
        <f aca="false">D126/SUMIFS($D$2:$D$741,$B$2:$B$741,B126)</f>
        <v>0.0950184217961881</v>
      </c>
      <c r="O126" s="7" t="n">
        <f aca="false">SUMIFS($D$2:D126,$B$2:B126,B126)/SUMIFS($D$2:$D$741,$B$2:$B$741,B126)</f>
        <v>0.466352596256333</v>
      </c>
      <c r="P126" s="8" t="b">
        <f aca="false">O126-N126&lt;$S$2</f>
        <v>1</v>
      </c>
      <c r="Q126" s="2"/>
      <c r="R126" s="2"/>
      <c r="S126" s="2"/>
    </row>
    <row r="127" customFormat="false" ht="14.25" hidden="false" customHeight="false" outlineLevel="0" collapsed="false">
      <c r="A127" s="4" t="s">
        <v>170</v>
      </c>
      <c r="B127" s="4" t="s">
        <v>166</v>
      </c>
      <c r="C127" s="5" t="n">
        <v>2</v>
      </c>
      <c r="D127" s="5" t="n">
        <v>29665</v>
      </c>
      <c r="E127" s="5" t="n">
        <v>5404</v>
      </c>
      <c r="F127" s="5" t="n">
        <v>388</v>
      </c>
      <c r="G127" s="5" t="n">
        <v>165</v>
      </c>
      <c r="H127" s="5" t="n">
        <v>29277</v>
      </c>
      <c r="I127" s="6" t="n">
        <v>4</v>
      </c>
      <c r="J127" s="6" t="n">
        <v>12.7</v>
      </c>
      <c r="K127" s="6" t="n">
        <v>29</v>
      </c>
      <c r="L127" s="6" t="n">
        <v>29</v>
      </c>
      <c r="M127" s="4" t="str">
        <f aca="false">IF(AND(K127="",L127=""),"No closed tickets",IF(K127="","MISSING in catalog",IF(L127="","No valid closed tickets",IF(AND(ABS(K127-L127)&gt;=$S$3,ABS(K127-L127)&gt;=$S$4*MAX(L127,1)),"FAR OFF","OK"))))</f>
        <v>OK</v>
      </c>
      <c r="N127" s="7" t="n">
        <f aca="false">D127/SUMIFS($D$2:$D$741,$B$2:$B$741,B127)</f>
        <v>0.0829890028730728</v>
      </c>
      <c r="O127" s="7" t="n">
        <f aca="false">SUMIFS($D$2:D127,$B$2:B127,B127)/SUMIFS($D$2:$D$741,$B$2:$B$741,B127)</f>
        <v>0.549341599129406</v>
      </c>
      <c r="P127" s="8" t="b">
        <f aca="false">O127-N127&lt;$S$2</f>
        <v>1</v>
      </c>
      <c r="Q127" s="2"/>
      <c r="R127" s="2"/>
      <c r="S127" s="2"/>
    </row>
    <row r="128" customFormat="false" ht="14.25" hidden="false" customHeight="false" outlineLevel="0" collapsed="false">
      <c r="A128" s="4" t="s">
        <v>171</v>
      </c>
      <c r="B128" s="4" t="s">
        <v>166</v>
      </c>
      <c r="C128" s="5" t="n">
        <v>2</v>
      </c>
      <c r="D128" s="5" t="n">
        <v>20961</v>
      </c>
      <c r="E128" s="5" t="n">
        <v>5598</v>
      </c>
      <c r="F128" s="5" t="n">
        <v>432</v>
      </c>
      <c r="G128" s="5" t="n">
        <v>216</v>
      </c>
      <c r="H128" s="5" t="n">
        <v>20529</v>
      </c>
      <c r="I128" s="6" t="n">
        <v>5</v>
      </c>
      <c r="J128" s="6" t="n">
        <v>14.5</v>
      </c>
      <c r="K128" s="6" t="n">
        <v>34</v>
      </c>
      <c r="L128" s="6" t="n">
        <v>34</v>
      </c>
      <c r="M128" s="4" t="str">
        <f aca="false">IF(AND(K128="",L128=""),"No closed tickets",IF(K128="","MISSING in catalog",IF(L128="","No valid closed tickets",IF(AND(ABS(K128-L128)&gt;=$S$3,ABS(K128-L128)&gt;=$S$4*MAX(L128,1)),"FAR OFF","OK"))))</f>
        <v>OK</v>
      </c>
      <c r="N128" s="7" t="n">
        <f aca="false">D128/SUMIFS($D$2:$D$741,$B$2:$B$741,B128)</f>
        <v>0.0586392209412601</v>
      </c>
      <c r="O128" s="7" t="n">
        <f aca="false">SUMIFS($D$2:D128,$B$2:B128,B128)/SUMIFS($D$2:$D$741,$B$2:$B$741,B128)</f>
        <v>0.607980820070666</v>
      </c>
      <c r="P128" s="8" t="b">
        <f aca="false">O128-N128&lt;$S$2</f>
        <v>1</v>
      </c>
      <c r="Q128" s="2"/>
      <c r="R128" s="2"/>
      <c r="S128" s="2"/>
    </row>
    <row r="129" customFormat="false" ht="14.25" hidden="false" customHeight="false" outlineLevel="0" collapsed="false">
      <c r="A129" s="4" t="s">
        <v>172</v>
      </c>
      <c r="B129" s="4" t="s">
        <v>166</v>
      </c>
      <c r="C129" s="5" t="n">
        <v>2</v>
      </c>
      <c r="D129" s="5" t="n">
        <v>13264</v>
      </c>
      <c r="E129" s="5" t="n">
        <v>3938</v>
      </c>
      <c r="F129" s="5" t="n">
        <v>1005</v>
      </c>
      <c r="G129" s="5" t="n">
        <v>625</v>
      </c>
      <c r="H129" s="5" t="n">
        <v>12259</v>
      </c>
      <c r="I129" s="6" t="n">
        <v>3</v>
      </c>
      <c r="J129" s="6" t="n">
        <v>11.8</v>
      </c>
      <c r="K129" s="6" t="n">
        <v>25</v>
      </c>
      <c r="L129" s="6" t="n">
        <v>25</v>
      </c>
      <c r="M129" s="4" t="str">
        <f aca="false">IF(AND(K129="",L129=""),"No closed tickets",IF(K129="","MISSING in catalog",IF(L129="","No valid closed tickets",IF(AND(ABS(K129-L129)&gt;=$S$3,ABS(K129-L129)&gt;=$S$4*MAX(L129,1)),"FAR OFF","OK"))))</f>
        <v>OK</v>
      </c>
      <c r="N129" s="7" t="n">
        <f aca="false">D129/SUMIFS($D$2:$D$741,$B$2:$B$741,B129)</f>
        <v>0.0371065610688838</v>
      </c>
      <c r="O129" s="7" t="n">
        <f aca="false">SUMIFS($D$2:D129,$B$2:B129,B129)/SUMIFS($D$2:$D$741,$B$2:$B$741,B129)</f>
        <v>0.64508738113955</v>
      </c>
      <c r="P129" s="8" t="b">
        <f aca="false">O129-N129&lt;$S$2</f>
        <v>1</v>
      </c>
      <c r="Q129" s="2"/>
      <c r="R129" s="2"/>
      <c r="S129" s="2"/>
    </row>
    <row r="130" customFormat="false" ht="14.25" hidden="false" customHeight="false" outlineLevel="0" collapsed="false">
      <c r="A130" s="4" t="s">
        <v>173</v>
      </c>
      <c r="B130" s="4" t="s">
        <v>166</v>
      </c>
      <c r="C130" s="5" t="n">
        <v>2</v>
      </c>
      <c r="D130" s="5" t="n">
        <v>12305</v>
      </c>
      <c r="E130" s="5" t="n">
        <v>2121</v>
      </c>
      <c r="F130" s="5" t="n">
        <v>32</v>
      </c>
      <c r="G130" s="5" t="n">
        <v>22</v>
      </c>
      <c r="H130" s="5" t="n">
        <v>12273</v>
      </c>
      <c r="I130" s="6" t="n">
        <v>0</v>
      </c>
      <c r="J130" s="6" t="n">
        <v>3.6</v>
      </c>
      <c r="K130" s="6" t="n">
        <v>1</v>
      </c>
      <c r="L130" s="6" t="n">
        <v>1</v>
      </c>
      <c r="M130" s="4" t="str">
        <f aca="false">IF(AND(K130="",L130=""),"No closed tickets",IF(K130="","MISSING in catalog",IF(L130="","No valid closed tickets",IF(AND(ABS(K130-L130)&gt;=$S$3,ABS(K130-L130)&gt;=$S$4*MAX(L130,1)),"FAR OFF","OK"))))</f>
        <v>OK</v>
      </c>
      <c r="N130" s="7" t="n">
        <f aca="false">D130/SUMIFS($D$2:$D$741,$B$2:$B$741,B130)</f>
        <v>0.0344237208951007</v>
      </c>
      <c r="O130" s="7" t="n">
        <f aca="false">SUMIFS($D$2:D130,$B$2:B130,B130)/SUMIFS($D$2:$D$741,$B$2:$B$741,B130)</f>
        <v>0.67951110203465</v>
      </c>
      <c r="P130" s="8" t="b">
        <f aca="false">O130-N130&lt;$S$2</f>
        <v>1</v>
      </c>
      <c r="Q130" s="2"/>
      <c r="R130" s="2"/>
      <c r="S130" s="2"/>
    </row>
    <row r="131" customFormat="false" ht="14.25" hidden="false" customHeight="false" outlineLevel="0" collapsed="false">
      <c r="A131" s="4" t="s">
        <v>174</v>
      </c>
      <c r="B131" s="4" t="s">
        <v>166</v>
      </c>
      <c r="C131" s="5" t="n">
        <v>2</v>
      </c>
      <c r="D131" s="5" t="n">
        <v>12115</v>
      </c>
      <c r="E131" s="5" t="n">
        <v>2911</v>
      </c>
      <c r="F131" s="5" t="n">
        <v>445</v>
      </c>
      <c r="G131" s="5" t="n">
        <v>162</v>
      </c>
      <c r="H131" s="5" t="n">
        <v>11622</v>
      </c>
      <c r="I131" s="6" t="n">
        <v>16</v>
      </c>
      <c r="J131" s="6" t="n">
        <v>27.4</v>
      </c>
      <c r="K131" s="6" t="n">
        <v>67</v>
      </c>
      <c r="L131" s="6" t="n">
        <v>67</v>
      </c>
      <c r="M131" s="4" t="str">
        <f aca="false">IF(AND(K131="",L131=""),"No closed tickets",IF(K131="","MISSING in catalog",IF(L131="","No valid closed tickets",IF(AND(ABS(K131-L131)&gt;=$S$3,ABS(K131-L131)&gt;=$S$4*MAX(L131,1)),"FAR OFF","OK"))))</f>
        <v>OK</v>
      </c>
      <c r="N131" s="7" t="n">
        <f aca="false">D131/SUMIFS($D$2:$D$741,$B$2:$B$741,B131)</f>
        <v>0.033892188431056</v>
      </c>
      <c r="O131" s="7" t="n">
        <f aca="false">SUMIFS($D$2:D131,$B$2:B131,B131)/SUMIFS($D$2:$D$741,$B$2:$B$741,B131)</f>
        <v>0.713403290465706</v>
      </c>
      <c r="P131" s="8" t="b">
        <f aca="false">O131-N131&lt;$S$2</f>
        <v>1</v>
      </c>
      <c r="Q131" s="2"/>
      <c r="R131" s="2"/>
      <c r="S131" s="2"/>
    </row>
    <row r="132" customFormat="false" ht="14.25" hidden="false" customHeight="false" outlineLevel="0" collapsed="false">
      <c r="A132" s="4" t="s">
        <v>175</v>
      </c>
      <c r="B132" s="4" t="s">
        <v>166</v>
      </c>
      <c r="C132" s="5" t="n">
        <v>2</v>
      </c>
      <c r="D132" s="5" t="n">
        <v>11477</v>
      </c>
      <c r="E132" s="5" t="n">
        <v>2402</v>
      </c>
      <c r="F132" s="5" t="n">
        <v>93</v>
      </c>
      <c r="G132" s="5" t="n">
        <v>55</v>
      </c>
      <c r="H132" s="5" t="n">
        <v>11380</v>
      </c>
      <c r="I132" s="6" t="n">
        <v>0</v>
      </c>
      <c r="J132" s="6" t="n">
        <v>5.8</v>
      </c>
      <c r="K132" s="6" t="n">
        <v>12</v>
      </c>
      <c r="L132" s="6" t="n">
        <v>12</v>
      </c>
      <c r="M132" s="4" t="str">
        <f aca="false">IF(AND(K132="",L132=""),"No closed tickets",IF(K132="","MISSING in catalog",IF(L132="","No valid closed tickets",IF(AND(ABS(K132-L132)&gt;=$S$3,ABS(K132-L132)&gt;=$S$4*MAX(L132,1)),"FAR OFF","OK"))))</f>
        <v>OK</v>
      </c>
      <c r="N132" s="7" t="n">
        <f aca="false">D132/SUMIFS($D$2:$D$741,$B$2:$B$741,B132)</f>
        <v>0.0321073583675799</v>
      </c>
      <c r="O132" s="7" t="n">
        <f aca="false">SUMIFS($D$2:D132,$B$2:B132,B132)/SUMIFS($D$2:$D$741,$B$2:$B$741,B132)</f>
        <v>0.745510648833286</v>
      </c>
      <c r="P132" s="8" t="b">
        <f aca="false">O132-N132&lt;$S$2</f>
        <v>1</v>
      </c>
      <c r="Q132" s="2"/>
      <c r="R132" s="2"/>
      <c r="S132" s="2"/>
    </row>
    <row r="133" customFormat="false" ht="14.25" hidden="false" customHeight="false" outlineLevel="0" collapsed="false">
      <c r="A133" s="4" t="s">
        <v>176</v>
      </c>
      <c r="B133" s="4" t="s">
        <v>166</v>
      </c>
      <c r="C133" s="5" t="n">
        <v>2</v>
      </c>
      <c r="D133" s="5" t="n">
        <v>10657</v>
      </c>
      <c r="E133" s="5" t="n">
        <v>2875</v>
      </c>
      <c r="F133" s="5" t="n">
        <v>173</v>
      </c>
      <c r="G133" s="5" t="n">
        <v>71</v>
      </c>
      <c r="H133" s="5" t="n">
        <v>10484</v>
      </c>
      <c r="I133" s="6" t="n">
        <v>5</v>
      </c>
      <c r="J133" s="6" t="n">
        <v>11.1</v>
      </c>
      <c r="K133" s="6" t="n">
        <v>25</v>
      </c>
      <c r="L133" s="6" t="n">
        <v>25</v>
      </c>
      <c r="M133" s="4" t="str">
        <f aca="false">IF(AND(K133="",L133=""),"No closed tickets",IF(K133="","MISSING in catalog",IF(L133="","No valid closed tickets",IF(AND(ABS(K133-L133)&gt;=$S$3,ABS(K133-L133)&gt;=$S$4*MAX(L133,1)),"FAR OFF","OK"))))</f>
        <v>OK</v>
      </c>
      <c r="N133" s="7" t="n">
        <f aca="false">D133/SUMIFS($D$2:$D$741,$B$2:$B$741,B133)</f>
        <v>0.0298133761543347</v>
      </c>
      <c r="O133" s="7" t="n">
        <f aca="false">SUMIFS($D$2:D133,$B$2:B133,B133)/SUMIFS($D$2:$D$741,$B$2:$B$741,B133)</f>
        <v>0.775324024987621</v>
      </c>
      <c r="P133" s="8" t="b">
        <f aca="false">O133-N133&lt;$S$2</f>
        <v>1</v>
      </c>
      <c r="Q133" s="2"/>
      <c r="R133" s="2"/>
      <c r="S133" s="2"/>
    </row>
    <row r="134" customFormat="false" ht="14.25" hidden="false" customHeight="false" outlineLevel="0" collapsed="false">
      <c r="A134" s="4" t="s">
        <v>177</v>
      </c>
      <c r="B134" s="4" t="s">
        <v>166</v>
      </c>
      <c r="C134" s="5" t="n">
        <v>2</v>
      </c>
      <c r="D134" s="5" t="n">
        <v>8010</v>
      </c>
      <c r="E134" s="5" t="n">
        <v>490</v>
      </c>
      <c r="F134" s="5" t="n">
        <v>34</v>
      </c>
      <c r="G134" s="5" t="n">
        <v>20</v>
      </c>
      <c r="H134" s="5" t="n">
        <v>7976</v>
      </c>
      <c r="I134" s="6" t="n">
        <v>1</v>
      </c>
      <c r="J134" s="6" t="n">
        <v>7.1</v>
      </c>
      <c r="K134" s="6" t="n">
        <v>13</v>
      </c>
      <c r="L134" s="6" t="n">
        <v>13</v>
      </c>
      <c r="M134" s="4" t="str">
        <f aca="false">IF(AND(K134="",L134=""),"No closed tickets",IF(K134="","MISSING in catalog",IF(L134="","No valid closed tickets",IF(AND(ABS(K134-L134)&gt;=$S$3,ABS(K134-L134)&gt;=$S$4*MAX(L134,1)),"FAR OFF","OK"))))</f>
        <v>OK</v>
      </c>
      <c r="N134" s="7" t="n">
        <f aca="false">D134/SUMIFS($D$2:$D$741,$B$2:$B$741,B134)</f>
        <v>0.0224082896684077</v>
      </c>
      <c r="O134" s="7" t="n">
        <f aca="false">SUMIFS($D$2:D134,$B$2:B134,B134)/SUMIFS($D$2:$D$741,$B$2:$B$741,B134)</f>
        <v>0.797732314656029</v>
      </c>
      <c r="P134" s="8" t="b">
        <f aca="false">O134-N134&lt;$S$2</f>
        <v>1</v>
      </c>
      <c r="Q134" s="2"/>
      <c r="R134" s="2"/>
      <c r="S134" s="2"/>
    </row>
    <row r="135" customFormat="false" ht="14.25" hidden="false" customHeight="false" outlineLevel="0" collapsed="false">
      <c r="A135" s="4" t="s">
        <v>178</v>
      </c>
      <c r="B135" s="4" t="s">
        <v>166</v>
      </c>
      <c r="C135" s="5" t="n">
        <v>2</v>
      </c>
      <c r="D135" s="5" t="n">
        <v>7854</v>
      </c>
      <c r="E135" s="5" t="n">
        <v>1876</v>
      </c>
      <c r="F135" s="5" t="n">
        <v>103</v>
      </c>
      <c r="G135" s="5" t="n">
        <v>87</v>
      </c>
      <c r="H135" s="5" t="n">
        <v>7751</v>
      </c>
      <c r="I135" s="6" t="n">
        <v>2</v>
      </c>
      <c r="J135" s="6" t="n">
        <v>6.7</v>
      </c>
      <c r="K135" s="6" t="n">
        <v>12</v>
      </c>
      <c r="L135" s="6" t="n">
        <v>12</v>
      </c>
      <c r="M135" s="4" t="str">
        <f aca="false">IF(AND(K135="",L135=""),"No closed tickets",IF(K135="","MISSING in catalog",IF(L135="","No valid closed tickets",IF(AND(ABS(K135-L135)&gt;=$S$3,ABS(K135-L135)&gt;=$S$4*MAX(L135,1)),"FAR OFF","OK"))))</f>
        <v>OK</v>
      </c>
      <c r="N135" s="7" t="n">
        <f aca="false">D135/SUMIFS($D$2:$D$741,$B$2:$B$741,B135)</f>
        <v>0.0219718735400342</v>
      </c>
      <c r="O135" s="7" t="n">
        <f aca="false">SUMIFS($D$2:D135,$B$2:B135,B135)/SUMIFS($D$2:$D$741,$B$2:$B$741,B135)</f>
        <v>0.819704188196063</v>
      </c>
      <c r="P135" s="8" t="b">
        <f aca="false">O135-N135&lt;$S$2</f>
        <v>1</v>
      </c>
      <c r="Q135" s="2"/>
      <c r="R135" s="2"/>
      <c r="S135" s="2"/>
    </row>
    <row r="136" customFormat="false" ht="14.25" hidden="false" customHeight="false" outlineLevel="0" collapsed="false">
      <c r="A136" s="4" t="s">
        <v>179</v>
      </c>
      <c r="B136" s="4" t="s">
        <v>166</v>
      </c>
      <c r="C136" s="5" t="n">
        <v>2</v>
      </c>
      <c r="D136" s="5" t="n">
        <v>7646</v>
      </c>
      <c r="E136" s="5" t="n">
        <v>2005</v>
      </c>
      <c r="F136" s="5" t="n">
        <v>1279</v>
      </c>
      <c r="G136" s="5" t="n">
        <v>894</v>
      </c>
      <c r="H136" s="5" t="n">
        <v>6367</v>
      </c>
      <c r="I136" s="6" t="n">
        <v>19</v>
      </c>
      <c r="J136" s="6" t="n">
        <v>27.2</v>
      </c>
      <c r="K136" s="6" t="n">
        <v>70</v>
      </c>
      <c r="L136" s="6" t="n">
        <v>70</v>
      </c>
      <c r="M136" s="4" t="str">
        <f aca="false">IF(AND(K136="",L136=""),"No closed tickets",IF(K136="","MISSING in catalog",IF(L136="","No valid closed tickets",IF(AND(ABS(K136-L136)&gt;=$S$3,ABS(K136-L136)&gt;=$S$4*MAX(L136,1)),"FAR OFF","OK"))))</f>
        <v>OK</v>
      </c>
      <c r="N136" s="7" t="n">
        <f aca="false">D136/SUMIFS($D$2:$D$741,$B$2:$B$741,B136)</f>
        <v>0.0213899853688695</v>
      </c>
      <c r="O136" s="7" t="n">
        <f aca="false">SUMIFS($D$2:D136,$B$2:B136,B136)/SUMIFS($D$2:$D$741,$B$2:$B$741,B136)</f>
        <v>0.841094173564932</v>
      </c>
      <c r="P136" s="8" t="b">
        <f aca="false">O136-N136&lt;$S$2</f>
        <v>1</v>
      </c>
      <c r="Q136" s="2"/>
      <c r="R136" s="2"/>
      <c r="S136" s="2"/>
    </row>
    <row r="137" customFormat="false" ht="14.25" hidden="false" customHeight="false" outlineLevel="0" collapsed="false">
      <c r="A137" s="4" t="s">
        <v>180</v>
      </c>
      <c r="B137" s="4" t="s">
        <v>166</v>
      </c>
      <c r="C137" s="5" t="n">
        <v>2</v>
      </c>
      <c r="D137" s="5" t="n">
        <v>6634</v>
      </c>
      <c r="E137" s="5" t="n">
        <v>1568</v>
      </c>
      <c r="F137" s="5" t="n">
        <v>144</v>
      </c>
      <c r="G137" s="5" t="n">
        <v>72</v>
      </c>
      <c r="H137" s="5" t="n">
        <v>6315</v>
      </c>
      <c r="I137" s="6" t="n">
        <v>6</v>
      </c>
      <c r="J137" s="6" t="n">
        <v>18.2</v>
      </c>
      <c r="K137" s="6" t="n">
        <v>45</v>
      </c>
      <c r="L137" s="6" t="n">
        <v>44.6</v>
      </c>
      <c r="M137" s="4" t="str">
        <f aca="false">IF(AND(K137="",L137=""),"No closed tickets",IF(K137="","MISSING in catalog",IF(L137="","No valid closed tickets",IF(AND(ABS(K137-L137)&gt;=$S$3,ABS(K137-L137)&gt;=$S$4*MAX(L137,1)),"FAR OFF","OK"))))</f>
        <v>OK</v>
      </c>
      <c r="N137" s="7" t="n">
        <f aca="false">D137/SUMIFS($D$2:$D$741,$B$2:$B$741,B137)</f>
        <v>0.0185588756130108</v>
      </c>
      <c r="O137" s="7" t="n">
        <f aca="false">SUMIFS($D$2:D137,$B$2:B137,B137)/SUMIFS($D$2:$D$741,$B$2:$B$741,B137)</f>
        <v>0.859653049177943</v>
      </c>
      <c r="P137" s="8" t="b">
        <f aca="false">O137-N137&lt;$S$2</f>
        <v>1</v>
      </c>
      <c r="Q137" s="2"/>
      <c r="R137" s="2"/>
      <c r="S137" s="2"/>
    </row>
    <row r="138" customFormat="false" ht="14.25" hidden="false" customHeight="false" outlineLevel="0" collapsed="false">
      <c r="A138" s="4" t="s">
        <v>181</v>
      </c>
      <c r="B138" s="4" t="s">
        <v>166</v>
      </c>
      <c r="C138" s="5" t="n">
        <v>1</v>
      </c>
      <c r="D138" s="5" t="n">
        <v>6369</v>
      </c>
      <c r="E138" s="5" t="n">
        <v>1756</v>
      </c>
      <c r="F138" s="5" t="n">
        <v>109</v>
      </c>
      <c r="G138" s="5" t="n">
        <v>40</v>
      </c>
      <c r="H138" s="5" t="n">
        <v>6260</v>
      </c>
      <c r="I138" s="6" t="n">
        <v>4</v>
      </c>
      <c r="J138" s="6" t="n">
        <v>13.3</v>
      </c>
      <c r="K138" s="6" t="n">
        <v>31</v>
      </c>
      <c r="L138" s="6" t="n">
        <v>31</v>
      </c>
      <c r="M138" s="4" t="str">
        <f aca="false">IF(AND(K138="",L138=""),"No closed tickets",IF(K138="","MISSING in catalog",IF(L138="","No valid closed tickets",IF(AND(ABS(K138-L138)&gt;=$S$3,ABS(K138-L138)&gt;=$S$4*MAX(L138,1)),"FAR OFF","OK"))))</f>
        <v>OK</v>
      </c>
      <c r="N138" s="7" t="n">
        <f aca="false">D138/SUMIFS($D$2:$D$741,$B$2:$B$741,B138)</f>
        <v>0.0178175277026328</v>
      </c>
      <c r="O138" s="7" t="n">
        <f aca="false">SUMIFS($D$2:D138,$B$2:B138,B138)/SUMIFS($D$2:$D$741,$B$2:$B$741,B138)</f>
        <v>0.877470576880576</v>
      </c>
      <c r="P138" s="8" t="b">
        <f aca="false">O138-N138&lt;$S$2</f>
        <v>1</v>
      </c>
      <c r="Q138" s="2"/>
      <c r="R138" s="2"/>
      <c r="S138" s="2"/>
    </row>
    <row r="139" customFormat="false" ht="14.25" hidden="false" customHeight="false" outlineLevel="0" collapsed="false">
      <c r="A139" s="4" t="s">
        <v>182</v>
      </c>
      <c r="B139" s="4" t="s">
        <v>166</v>
      </c>
      <c r="C139" s="5" t="n">
        <v>1</v>
      </c>
      <c r="D139" s="5" t="n">
        <v>3513</v>
      </c>
      <c r="E139" s="5" t="n">
        <v>867</v>
      </c>
      <c r="F139" s="5" t="n">
        <v>15</v>
      </c>
      <c r="G139" s="5" t="n">
        <v>9</v>
      </c>
      <c r="H139" s="5" t="n">
        <v>3498</v>
      </c>
      <c r="I139" s="6" t="n">
        <v>0</v>
      </c>
      <c r="J139" s="6" t="n">
        <v>0.9</v>
      </c>
      <c r="K139" s="6" t="n">
        <v>2</v>
      </c>
      <c r="L139" s="6" t="n">
        <v>2</v>
      </c>
      <c r="M139" s="4" t="str">
        <f aca="false">IF(AND(K139="",L139=""),"No closed tickets",IF(K139="","MISSING in catalog",IF(L139="","No valid closed tickets",IF(AND(ABS(K139-L139)&gt;=$S$3,ABS(K139-L139)&gt;=$S$4*MAX(L139,1)),"FAR OFF","OK"))))</f>
        <v>OK</v>
      </c>
      <c r="N139" s="7" t="n">
        <f aca="false">D139/SUMIFS($D$2:$D$741,$B$2:$B$741,B139)</f>
        <v>0.0098277555062567</v>
      </c>
      <c r="O139" s="7" t="n">
        <f aca="false">SUMIFS($D$2:D139,$B$2:B139,B139)/SUMIFS($D$2:$D$741,$B$2:$B$741,B139)</f>
        <v>0.887298332386833</v>
      </c>
      <c r="P139" s="8" t="b">
        <f aca="false">O139-N139&lt;$S$2</f>
        <v>1</v>
      </c>
      <c r="Q139" s="2"/>
      <c r="R139" s="2"/>
      <c r="S139" s="2"/>
    </row>
    <row r="140" customFormat="false" ht="14.25" hidden="false" customHeight="false" outlineLevel="0" collapsed="false">
      <c r="A140" s="4" t="s">
        <v>183</v>
      </c>
      <c r="B140" s="4" t="s">
        <v>166</v>
      </c>
      <c r="C140" s="5" t="n">
        <v>1</v>
      </c>
      <c r="D140" s="5" t="n">
        <v>3450</v>
      </c>
      <c r="E140" s="5" t="n">
        <v>811</v>
      </c>
      <c r="F140" s="5" t="n">
        <v>28</v>
      </c>
      <c r="G140" s="5" t="n">
        <v>22</v>
      </c>
      <c r="H140" s="5" t="n">
        <v>3422</v>
      </c>
      <c r="I140" s="6" t="n">
        <v>1</v>
      </c>
      <c r="J140" s="6" t="n">
        <v>1.4</v>
      </c>
      <c r="K140" s="6" t="n">
        <v>2</v>
      </c>
      <c r="L140" s="6" t="n">
        <v>2</v>
      </c>
      <c r="M140" s="4" t="str">
        <f aca="false">IF(AND(K140="",L140=""),"No closed tickets",IF(K140="","MISSING in catalog",IF(L140="","No valid closed tickets",IF(AND(ABS(K140-L140)&gt;=$S$3,ABS(K140-L140)&gt;=$S$4*MAX(L140,1)),"FAR OFF","OK"))))</f>
        <v>OK</v>
      </c>
      <c r="N140" s="7" t="n">
        <f aca="false">D140/SUMIFS($D$2:$D$741,$B$2:$B$741,B140)</f>
        <v>0.00965151053133664</v>
      </c>
      <c r="O140" s="7" t="n">
        <f aca="false">SUMIFS($D$2:D140,$B$2:B140,B140)/SUMIFS($D$2:$D$741,$B$2:$B$741,B140)</f>
        <v>0.896949842918169</v>
      </c>
      <c r="P140" s="8" t="b">
        <f aca="false">O140-N140&lt;$S$2</f>
        <v>1</v>
      </c>
      <c r="Q140" s="2"/>
      <c r="R140" s="2"/>
      <c r="S140" s="2"/>
    </row>
    <row r="141" customFormat="false" ht="14.25" hidden="false" customHeight="false" outlineLevel="0" collapsed="false">
      <c r="A141" s="4" t="s">
        <v>184</v>
      </c>
      <c r="B141" s="4" t="s">
        <v>166</v>
      </c>
      <c r="C141" s="5" t="n">
        <v>1</v>
      </c>
      <c r="D141" s="5" t="n">
        <v>3450</v>
      </c>
      <c r="E141" s="5" t="n">
        <v>1323</v>
      </c>
      <c r="F141" s="5" t="n">
        <v>154</v>
      </c>
      <c r="G141" s="5" t="n">
        <v>52</v>
      </c>
      <c r="H141" s="5" t="n">
        <v>3296</v>
      </c>
      <c r="I141" s="6" t="n">
        <v>10</v>
      </c>
      <c r="J141" s="6" t="n">
        <v>24.9</v>
      </c>
      <c r="K141" s="6" t="n">
        <v>62</v>
      </c>
      <c r="L141" s="6" t="n">
        <v>62</v>
      </c>
      <c r="M141" s="4" t="str">
        <f aca="false">IF(AND(K141="",L141=""),"No closed tickets",IF(K141="","MISSING in catalog",IF(L141="","No valid closed tickets",IF(AND(ABS(K141-L141)&gt;=$S$3,ABS(K141-L141)&gt;=$S$4*MAX(L141,1)),"FAR OFF","OK"))))</f>
        <v>OK</v>
      </c>
      <c r="N141" s="7" t="n">
        <f aca="false">D141/SUMIFS($D$2:$D$741,$B$2:$B$741,B141)</f>
        <v>0.00965151053133664</v>
      </c>
      <c r="O141" s="7" t="n">
        <f aca="false">SUMIFS($D$2:D141,$B$2:B141,B141)/SUMIFS($D$2:$D$741,$B$2:$B$741,B141)</f>
        <v>0.906601353449506</v>
      </c>
      <c r="P141" s="8" t="b">
        <f aca="false">O141-N141&lt;$S$2</f>
        <v>1</v>
      </c>
      <c r="Q141" s="2"/>
      <c r="R141" s="2"/>
      <c r="S141" s="2"/>
    </row>
    <row r="142" customFormat="false" ht="14.25" hidden="false" customHeight="false" outlineLevel="0" collapsed="false">
      <c r="A142" s="4" t="s">
        <v>185</v>
      </c>
      <c r="B142" s="4" t="s">
        <v>166</v>
      </c>
      <c r="C142" s="5" t="n">
        <v>2</v>
      </c>
      <c r="D142" s="5" t="n">
        <v>3100</v>
      </c>
      <c r="E142" s="5" t="n">
        <v>0</v>
      </c>
      <c r="F142" s="5" t="n">
        <v>0</v>
      </c>
      <c r="G142" s="5" t="n">
        <v>0</v>
      </c>
      <c r="H142" s="5" t="n">
        <v>3100</v>
      </c>
      <c r="I142" s="6" t="n">
        <v>6</v>
      </c>
      <c r="J142" s="6" t="n">
        <v>13.1</v>
      </c>
      <c r="K142" s="6" t="n">
        <v>34</v>
      </c>
      <c r="L142" s="6" t="n">
        <v>34</v>
      </c>
      <c r="M142" s="4" t="str">
        <f aca="false">IF(AND(K142="",L142=""),"No closed tickets",IF(K142="","MISSING in catalog",IF(L142="","No valid closed tickets",IF(AND(ABS(K142-L142)&gt;=$S$3,ABS(K142-L142)&gt;=$S$4*MAX(L142,1)),"FAR OFF","OK"))))</f>
        <v>OK</v>
      </c>
      <c r="N142" s="7" t="n">
        <f aca="false">D142/SUMIFS($D$2:$D$741,$B$2:$B$741,B142)</f>
        <v>0.00867237178178075</v>
      </c>
      <c r="O142" s="7" t="n">
        <f aca="false">SUMIFS($D$2:D142,$B$2:B142,B142)/SUMIFS($D$2:$D$741,$B$2:$B$741,B142)</f>
        <v>0.915273725231287</v>
      </c>
      <c r="P142" s="8" t="b">
        <f aca="false">O142-N142&lt;$S$2</f>
        <v>1</v>
      </c>
      <c r="Q142" s="2"/>
      <c r="R142" s="2"/>
      <c r="S142" s="2"/>
    </row>
    <row r="143" customFormat="false" ht="14.25" hidden="false" customHeight="false" outlineLevel="0" collapsed="false">
      <c r="A143" s="4" t="s">
        <v>186</v>
      </c>
      <c r="B143" s="4" t="s">
        <v>166</v>
      </c>
      <c r="C143" s="5" t="n">
        <v>2</v>
      </c>
      <c r="D143" s="5" t="n">
        <v>2677</v>
      </c>
      <c r="E143" s="5" t="n">
        <v>687</v>
      </c>
      <c r="F143" s="5" t="n">
        <v>10</v>
      </c>
      <c r="G143" s="5" t="n">
        <v>0</v>
      </c>
      <c r="H143" s="5" t="n">
        <v>2664</v>
      </c>
      <c r="I143" s="6" t="n">
        <v>5</v>
      </c>
      <c r="J143" s="6" t="n">
        <v>10.6</v>
      </c>
      <c r="K143" s="6" t="n">
        <v>20</v>
      </c>
      <c r="L143" s="6" t="n">
        <v>20</v>
      </c>
      <c r="M143" s="4" t="str">
        <f aca="false">IF(AND(K143="",L143=""),"No closed tickets",IF(K143="","MISSING in catalog",IF(L143="","No valid closed tickets",IF(AND(ABS(K143-L143)&gt;=$S$3,ABS(K143-L143)&gt;=$S$4*MAX(L143,1)),"FAR OFF","OK"))))</f>
        <v>OK</v>
      </c>
      <c r="N143" s="7" t="n">
        <f aca="false">D143/SUMIFS($D$2:$D$741,$B$2:$B$741,B143)</f>
        <v>0.00748901266446034</v>
      </c>
      <c r="O143" s="7" t="n">
        <f aca="false">SUMIFS($D$2:D143,$B$2:B143,B143)/SUMIFS($D$2:$D$741,$B$2:$B$741,B143)</f>
        <v>0.922762737895747</v>
      </c>
      <c r="P143" s="8" t="b">
        <f aca="false">O143-N143&lt;$S$2</f>
        <v>1</v>
      </c>
      <c r="Q143" s="2"/>
      <c r="R143" s="2"/>
      <c r="S143" s="2"/>
    </row>
    <row r="144" customFormat="false" ht="14.25" hidden="false" customHeight="false" outlineLevel="0" collapsed="false">
      <c r="A144" s="4" t="s">
        <v>187</v>
      </c>
      <c r="B144" s="4" t="s">
        <v>166</v>
      </c>
      <c r="C144" s="5" t="n">
        <v>2</v>
      </c>
      <c r="D144" s="5" t="n">
        <v>2176</v>
      </c>
      <c r="E144" s="5" t="n">
        <v>0</v>
      </c>
      <c r="F144" s="5" t="n">
        <v>0</v>
      </c>
      <c r="G144" s="5" t="n">
        <v>0</v>
      </c>
      <c r="H144" s="5" t="n">
        <v>2176</v>
      </c>
      <c r="I144" s="6" t="n">
        <v>7</v>
      </c>
      <c r="J144" s="6" t="n">
        <v>13.6</v>
      </c>
      <c r="K144" s="6" t="n">
        <v>43</v>
      </c>
      <c r="L144" s="6" t="n">
        <v>43</v>
      </c>
      <c r="M144" s="4" t="str">
        <f aca="false">IF(AND(K144="",L144=""),"No closed tickets",IF(K144="","MISSING in catalog",IF(L144="","No valid closed tickets",IF(AND(ABS(K144-L144)&gt;=$S$3,ABS(K144-L144)&gt;=$S$4*MAX(L144,1)),"FAR OFF","OK"))))</f>
        <v>OK</v>
      </c>
      <c r="N144" s="7" t="n">
        <f aca="false">D144/SUMIFS($D$2:$D$741,$B$2:$B$741,B144)</f>
        <v>0.00608744548295319</v>
      </c>
      <c r="O144" s="7" t="n">
        <f aca="false">SUMIFS($D$2:D144,$B$2:B144,B144)/SUMIFS($D$2:$D$741,$B$2:$B$741,B144)</f>
        <v>0.9288501833787</v>
      </c>
      <c r="P144" s="8" t="b">
        <f aca="false">O144-N144&lt;$S$2</f>
        <v>1</v>
      </c>
      <c r="Q144" s="2"/>
      <c r="R144" s="2"/>
      <c r="S144" s="2"/>
    </row>
    <row r="145" customFormat="false" ht="14.25" hidden="false" customHeight="false" outlineLevel="0" collapsed="false">
      <c r="A145" s="4" t="s">
        <v>188</v>
      </c>
      <c r="B145" s="4" t="s">
        <v>166</v>
      </c>
      <c r="C145" s="5" t="n">
        <v>1</v>
      </c>
      <c r="D145" s="5" t="n">
        <v>1985</v>
      </c>
      <c r="E145" s="5" t="n">
        <v>0</v>
      </c>
      <c r="F145" s="5" t="n">
        <v>0</v>
      </c>
      <c r="G145" s="5" t="n">
        <v>0</v>
      </c>
      <c r="H145" s="5" t="n">
        <v>1985</v>
      </c>
      <c r="I145" s="6" t="n">
        <v>12</v>
      </c>
      <c r="J145" s="6" t="n">
        <v>19.4</v>
      </c>
      <c r="K145" s="6" t="n">
        <v>46</v>
      </c>
      <c r="L145" s="6" t="n">
        <v>46</v>
      </c>
      <c r="M145" s="4" t="str">
        <f aca="false">IF(AND(K145="",L145=""),"No closed tickets",IF(K145="","MISSING in catalog",IF(L145="","No valid closed tickets",IF(AND(ABS(K145-L145)&gt;=$S$3,ABS(K145-L145)&gt;=$S$4*MAX(L145,1)),"FAR OFF","OK"))))</f>
        <v>OK</v>
      </c>
      <c r="N145" s="7" t="n">
        <f aca="false">D145/SUMIFS($D$2:$D$741,$B$2:$B$741,B145)</f>
        <v>0.00555311547962412</v>
      </c>
      <c r="O145" s="7" t="n">
        <f aca="false">SUMIFS($D$2:D145,$B$2:B145,B145)/SUMIFS($D$2:$D$741,$B$2:$B$741,B145)</f>
        <v>0.934403298858324</v>
      </c>
      <c r="P145" s="8" t="b">
        <f aca="false">O145-N145&lt;$S$2</f>
        <v>1</v>
      </c>
      <c r="Q145" s="2"/>
      <c r="R145" s="2"/>
      <c r="S145" s="2"/>
    </row>
    <row r="146" customFormat="false" ht="14.25" hidden="false" customHeight="false" outlineLevel="0" collapsed="false">
      <c r="A146" s="4" t="s">
        <v>189</v>
      </c>
      <c r="B146" s="4" t="s">
        <v>166</v>
      </c>
      <c r="C146" s="5" t="n">
        <v>1</v>
      </c>
      <c r="D146" s="5" t="n">
        <v>1921</v>
      </c>
      <c r="E146" s="5" t="n">
        <v>0</v>
      </c>
      <c r="F146" s="5" t="n">
        <v>0</v>
      </c>
      <c r="G146" s="5" t="n">
        <v>0</v>
      </c>
      <c r="H146" s="5" t="n">
        <v>1921</v>
      </c>
      <c r="I146" s="6" t="n">
        <v>42</v>
      </c>
      <c r="J146" s="6" t="n">
        <v>39.3</v>
      </c>
      <c r="K146" s="6" t="n">
        <v>43</v>
      </c>
      <c r="L146" s="6" t="n">
        <v>43</v>
      </c>
      <c r="M146" s="4" t="str">
        <f aca="false">IF(AND(K146="",L146=""),"No closed tickets",IF(K146="","MISSING in catalog",IF(L146="","No valid closed tickets",IF(AND(ABS(K146-L146)&gt;=$S$3,ABS(K146-L146)&gt;=$S$4*MAX(L146,1)),"FAR OFF","OK"))))</f>
        <v>OK</v>
      </c>
      <c r="N146" s="7" t="n">
        <f aca="false">D146/SUMIFS($D$2:$D$741,$B$2:$B$741,B146)</f>
        <v>0.00537407296541962</v>
      </c>
      <c r="O146" s="7" t="n">
        <f aca="false">SUMIFS($D$2:D146,$B$2:B146,B146)/SUMIFS($D$2:$D$741,$B$2:$B$741,B146)</f>
        <v>0.939777371823744</v>
      </c>
      <c r="P146" s="8" t="b">
        <f aca="false">O146-N146&lt;$S$2</f>
        <v>1</v>
      </c>
      <c r="Q146" s="2"/>
      <c r="R146" s="2"/>
      <c r="S146" s="2"/>
    </row>
    <row r="147" customFormat="false" ht="14.25" hidden="false" customHeight="false" outlineLevel="0" collapsed="false">
      <c r="A147" s="4" t="s">
        <v>190</v>
      </c>
      <c r="B147" s="4" t="s">
        <v>166</v>
      </c>
      <c r="C147" s="5" t="n">
        <v>2</v>
      </c>
      <c r="D147" s="5" t="n">
        <v>1834</v>
      </c>
      <c r="E147" s="5" t="n">
        <v>369</v>
      </c>
      <c r="F147" s="5" t="n">
        <v>13</v>
      </c>
      <c r="G147" s="5" t="n">
        <v>10</v>
      </c>
      <c r="H147" s="5" t="n">
        <v>1821</v>
      </c>
      <c r="I147" s="6" t="n">
        <v>2</v>
      </c>
      <c r="J147" s="6" t="n">
        <v>5.4</v>
      </c>
      <c r="K147" s="6" t="n">
        <v>9</v>
      </c>
      <c r="L147" s="6" t="n">
        <v>9</v>
      </c>
      <c r="M147" s="4" t="str">
        <f aca="false">IF(AND(K147="",L147=""),"No closed tickets",IF(K147="","MISSING in catalog",IF(L147="","No valid closed tickets",IF(AND(ABS(K147-L147)&gt;=$S$3,ABS(K147-L147)&gt;=$S$4*MAX(L147,1)),"FAR OFF","OK"))))</f>
        <v>OK</v>
      </c>
      <c r="N147" s="7" t="n">
        <f aca="false">D147/SUMIFS($D$2:$D$741,$B$2:$B$741,B147)</f>
        <v>0.00513068704767287</v>
      </c>
      <c r="O147" s="7" t="n">
        <f aca="false">SUMIFS($D$2:D147,$B$2:B147,B147)/SUMIFS($D$2:$D$741,$B$2:$B$741,B147)</f>
        <v>0.944908058871417</v>
      </c>
      <c r="P147" s="8" t="b">
        <f aca="false">O147-N147&lt;$S$2</f>
        <v>1</v>
      </c>
      <c r="Q147" s="2"/>
      <c r="R147" s="2"/>
      <c r="S147" s="2"/>
    </row>
    <row r="148" customFormat="false" ht="14.25" hidden="false" customHeight="false" outlineLevel="0" collapsed="false">
      <c r="A148" s="4" t="s">
        <v>191</v>
      </c>
      <c r="B148" s="4" t="s">
        <v>166</v>
      </c>
      <c r="C148" s="5" t="n">
        <v>2</v>
      </c>
      <c r="D148" s="5" t="n">
        <v>1588</v>
      </c>
      <c r="E148" s="5" t="n">
        <v>315</v>
      </c>
      <c r="F148" s="5" t="n">
        <v>6</v>
      </c>
      <c r="G148" s="5" t="n">
        <v>3</v>
      </c>
      <c r="H148" s="5" t="n">
        <v>1582</v>
      </c>
      <c r="I148" s="6" t="n">
        <v>1</v>
      </c>
      <c r="J148" s="6" t="n">
        <v>4.7</v>
      </c>
      <c r="K148" s="6" t="n">
        <v>9</v>
      </c>
      <c r="L148" s="6" t="n">
        <v>9</v>
      </c>
      <c r="M148" s="4" t="str">
        <f aca="false">IF(AND(K148="",L148=""),"No closed tickets",IF(K148="","MISSING in catalog",IF(L148="","No valid closed tickets",IF(AND(ABS(K148-L148)&gt;=$S$3,ABS(K148-L148)&gt;=$S$4*MAX(L148,1)),"FAR OFF","OK"))))</f>
        <v>OK</v>
      </c>
      <c r="N148" s="7" t="n">
        <f aca="false">D148/SUMIFS($D$2:$D$741,$B$2:$B$741,B148)</f>
        <v>0.0044424923836993</v>
      </c>
      <c r="O148" s="7" t="n">
        <f aca="false">SUMIFS($D$2:D148,$B$2:B148,B148)/SUMIFS($D$2:$D$741,$B$2:$B$741,B148)</f>
        <v>0.949350551255116</v>
      </c>
      <c r="P148" s="8" t="b">
        <f aca="false">O148-N148&lt;$S$2</f>
        <v>1</v>
      </c>
      <c r="Q148" s="2"/>
      <c r="R148" s="2"/>
      <c r="S148" s="2"/>
    </row>
    <row r="149" customFormat="false" ht="14.25" hidden="false" customHeight="false" outlineLevel="0" collapsed="false">
      <c r="A149" s="4" t="s">
        <v>192</v>
      </c>
      <c r="B149" s="4" t="s">
        <v>166</v>
      </c>
      <c r="C149" s="5" t="n">
        <v>2</v>
      </c>
      <c r="D149" s="5" t="n">
        <v>1493</v>
      </c>
      <c r="E149" s="5" t="n">
        <v>429</v>
      </c>
      <c r="F149" s="5" t="n">
        <v>9</v>
      </c>
      <c r="G149" s="5" t="n">
        <v>5</v>
      </c>
      <c r="H149" s="5" t="n">
        <v>1484</v>
      </c>
      <c r="I149" s="6" t="n">
        <v>3</v>
      </c>
      <c r="J149" s="6" t="n">
        <v>6.1</v>
      </c>
      <c r="K149" s="6" t="n">
        <v>14</v>
      </c>
      <c r="L149" s="6" t="n">
        <v>14</v>
      </c>
      <c r="M149" s="4" t="str">
        <f aca="false">IF(AND(K149="",L149=""),"No closed tickets",IF(K149="","MISSING in catalog",IF(L149="","No valid closed tickets",IF(AND(ABS(K149-L149)&gt;=$S$3,ABS(K149-L149)&gt;=$S$4*MAX(L149,1)),"FAR OFF","OK"))))</f>
        <v>OK</v>
      </c>
      <c r="N149" s="7" t="n">
        <f aca="false">D149/SUMIFS($D$2:$D$741,$B$2:$B$741,B149)</f>
        <v>0.00417672615167699</v>
      </c>
      <c r="O149" s="7" t="n">
        <f aca="false">SUMIFS($D$2:D149,$B$2:B149,B149)/SUMIFS($D$2:$D$741,$B$2:$B$741,B149)</f>
        <v>0.953527277406793</v>
      </c>
      <c r="P149" s="8" t="b">
        <f aca="false">O149-N149&lt;$S$2</f>
        <v>1</v>
      </c>
      <c r="Q149" s="2"/>
      <c r="R149" s="2"/>
      <c r="S149" s="2"/>
    </row>
    <row r="150" customFormat="false" ht="14.25" hidden="false" customHeight="false" outlineLevel="0" collapsed="false">
      <c r="A150" s="4" t="s">
        <v>193</v>
      </c>
      <c r="B150" s="4" t="s">
        <v>166</v>
      </c>
      <c r="C150" s="5" t="n">
        <v>2</v>
      </c>
      <c r="D150" s="5" t="n">
        <v>1426</v>
      </c>
      <c r="E150" s="5" t="n">
        <v>299</v>
      </c>
      <c r="F150" s="5" t="n">
        <v>13</v>
      </c>
      <c r="G150" s="5" t="n">
        <v>13</v>
      </c>
      <c r="H150" s="5" t="n">
        <v>1413</v>
      </c>
      <c r="I150" s="6" t="n">
        <v>2</v>
      </c>
      <c r="J150" s="6" t="n">
        <v>7.3</v>
      </c>
      <c r="K150" s="6" t="n">
        <v>13</v>
      </c>
      <c r="L150" s="6" t="n">
        <v>13</v>
      </c>
      <c r="M150" s="4" t="str">
        <f aca="false">IF(AND(K150="",L150=""),"No closed tickets",IF(K150="","MISSING in catalog",IF(L150="","No valid closed tickets",IF(AND(ABS(K150-L150)&gt;=$S$3,ABS(K150-L150)&gt;=$S$4*MAX(L150,1)),"FAR OFF","OK"))))</f>
        <v>OK</v>
      </c>
      <c r="N150" s="7" t="n">
        <f aca="false">D150/SUMIFS($D$2:$D$741,$B$2:$B$741,B150)</f>
        <v>0.00398929101961914</v>
      </c>
      <c r="O150" s="7" t="n">
        <f aca="false">SUMIFS($D$2:D150,$B$2:B150,B150)/SUMIFS($D$2:$D$741,$B$2:$B$741,B150)</f>
        <v>0.957516568426412</v>
      </c>
      <c r="P150" s="8" t="b">
        <f aca="false">O150-N150&lt;$S$2</f>
        <v>0</v>
      </c>
      <c r="Q150" s="2"/>
      <c r="R150" s="2"/>
      <c r="S150" s="2"/>
    </row>
    <row r="151" customFormat="false" ht="14.25" hidden="false" customHeight="false" outlineLevel="0" collapsed="false">
      <c r="A151" s="4" t="s">
        <v>194</v>
      </c>
      <c r="B151" s="4" t="s">
        <v>166</v>
      </c>
      <c r="C151" s="5" t="n">
        <v>1</v>
      </c>
      <c r="D151" s="5" t="n">
        <v>1292</v>
      </c>
      <c r="E151" s="5" t="n">
        <v>407</v>
      </c>
      <c r="F151" s="5" t="n">
        <v>8</v>
      </c>
      <c r="G151" s="5" t="n">
        <v>1</v>
      </c>
      <c r="H151" s="5" t="n">
        <v>1284</v>
      </c>
      <c r="I151" s="6" t="n">
        <v>4</v>
      </c>
      <c r="J151" s="6" t="n">
        <v>6.3</v>
      </c>
      <c r="K151" s="6" t="n">
        <v>15</v>
      </c>
      <c r="L151" s="6" t="n">
        <v>15</v>
      </c>
      <c r="M151" s="4" t="str">
        <f aca="false">IF(AND(K151="",L151=""),"No closed tickets",IF(K151="","MISSING in catalog",IF(L151="","No valid closed tickets",IF(AND(ABS(K151-L151)&gt;=$S$3,ABS(K151-L151)&gt;=$S$4*MAX(L151,1)),"FAR OFF","OK"))))</f>
        <v>OK</v>
      </c>
      <c r="N151" s="7" t="n">
        <f aca="false">D151/SUMIFS($D$2:$D$741,$B$2:$B$741,B151)</f>
        <v>0.00361442075550346</v>
      </c>
      <c r="O151" s="7" t="n">
        <f aca="false">SUMIFS($D$2:D151,$B$2:B151,B151)/SUMIFS($D$2:$D$741,$B$2:$B$741,B151)</f>
        <v>0.961130989181916</v>
      </c>
      <c r="P151" s="8" t="b">
        <f aca="false">O151-N151&lt;$S$2</f>
        <v>0</v>
      </c>
      <c r="Q151" s="2"/>
      <c r="R151" s="2"/>
      <c r="S151" s="2"/>
    </row>
    <row r="152" customFormat="false" ht="14.25" hidden="false" customHeight="false" outlineLevel="0" collapsed="false">
      <c r="A152" s="4" t="s">
        <v>195</v>
      </c>
      <c r="B152" s="4" t="s">
        <v>166</v>
      </c>
      <c r="C152" s="5" t="n">
        <v>2</v>
      </c>
      <c r="D152" s="5" t="n">
        <v>1172</v>
      </c>
      <c r="E152" s="5" t="n">
        <v>0</v>
      </c>
      <c r="F152" s="5" t="n">
        <v>0</v>
      </c>
      <c r="G152" s="5" t="n">
        <v>0</v>
      </c>
      <c r="H152" s="5" t="n">
        <v>1172</v>
      </c>
      <c r="I152" s="6" t="n">
        <v>3</v>
      </c>
      <c r="J152" s="6" t="n">
        <v>5.1</v>
      </c>
      <c r="K152" s="6" t="n">
        <v>13</v>
      </c>
      <c r="L152" s="6" t="n">
        <v>13</v>
      </c>
      <c r="M152" s="4" t="str">
        <f aca="false">IF(AND(K152="",L152=""),"No closed tickets",IF(K152="","MISSING in catalog",IF(L152="","No valid closed tickets",IF(AND(ABS(K152-L152)&gt;=$S$3,ABS(K152-L152)&gt;=$S$4*MAX(L152,1)),"FAR OFF","OK"))))</f>
        <v>OK</v>
      </c>
      <c r="N152" s="7" t="n">
        <f aca="false">D152/SUMIFS($D$2:$D$741,$B$2:$B$741,B152)</f>
        <v>0.00327871604137001</v>
      </c>
      <c r="O152" s="7" t="n">
        <f aca="false">SUMIFS($D$2:D152,$B$2:B152,B152)/SUMIFS($D$2:$D$741,$B$2:$B$741,B152)</f>
        <v>0.964409705223286</v>
      </c>
      <c r="P152" s="8" t="b">
        <f aca="false">O152-N152&lt;$S$2</f>
        <v>0</v>
      </c>
      <c r="Q152" s="2"/>
      <c r="R152" s="2"/>
      <c r="S152" s="2"/>
    </row>
    <row r="153" customFormat="false" ht="14.25" hidden="false" customHeight="false" outlineLevel="0" collapsed="false">
      <c r="A153" s="4" t="s">
        <v>196</v>
      </c>
      <c r="B153" s="4" t="s">
        <v>166</v>
      </c>
      <c r="C153" s="5" t="n">
        <v>1</v>
      </c>
      <c r="D153" s="5" t="n">
        <v>1170</v>
      </c>
      <c r="E153" s="5" t="n">
        <v>0</v>
      </c>
      <c r="F153" s="5" t="n">
        <v>0</v>
      </c>
      <c r="G153" s="5" t="n">
        <v>0</v>
      </c>
      <c r="H153" s="5" t="n">
        <v>1170</v>
      </c>
      <c r="I153" s="6" t="n">
        <v>3</v>
      </c>
      <c r="J153" s="6" t="n">
        <v>6.4</v>
      </c>
      <c r="K153" s="6" t="n">
        <v>13</v>
      </c>
      <c r="L153" s="6" t="n">
        <v>13</v>
      </c>
      <c r="M153" s="4" t="str">
        <f aca="false">IF(AND(K153="",L153=""),"No closed tickets",IF(K153="","MISSING in catalog",IF(L153="","No valid closed tickets",IF(AND(ABS(K153-L153)&gt;=$S$3,ABS(K153-L153)&gt;=$S$4*MAX(L153,1)),"FAR OFF","OK"))))</f>
        <v>OK</v>
      </c>
      <c r="N153" s="7" t="n">
        <f aca="false">D153/SUMIFS($D$2:$D$741,$B$2:$B$741,B153)</f>
        <v>0.00327312096280112</v>
      </c>
      <c r="O153" s="7" t="n">
        <f aca="false">SUMIFS($D$2:D153,$B$2:B153,B153)/SUMIFS($D$2:$D$741,$B$2:$B$741,B153)</f>
        <v>0.967682826186087</v>
      </c>
      <c r="P153" s="8" t="b">
        <f aca="false">O153-N153&lt;$S$2</f>
        <v>0</v>
      </c>
      <c r="Q153" s="2"/>
      <c r="R153" s="2"/>
      <c r="S153" s="2"/>
    </row>
    <row r="154" customFormat="false" ht="14.25" hidden="false" customHeight="false" outlineLevel="0" collapsed="false">
      <c r="A154" s="4" t="s">
        <v>197</v>
      </c>
      <c r="B154" s="4" t="s">
        <v>166</v>
      </c>
      <c r="C154" s="5" t="n">
        <v>2</v>
      </c>
      <c r="D154" s="5" t="n">
        <v>1166</v>
      </c>
      <c r="E154" s="5" t="n">
        <v>0</v>
      </c>
      <c r="F154" s="5" t="n">
        <v>1</v>
      </c>
      <c r="G154" s="5" t="n">
        <v>1</v>
      </c>
      <c r="H154" s="5" t="n">
        <v>1165</v>
      </c>
      <c r="I154" s="6" t="n">
        <v>4</v>
      </c>
      <c r="J154" s="6" t="n">
        <v>11.8</v>
      </c>
      <c r="K154" s="6" t="n">
        <v>35</v>
      </c>
      <c r="L154" s="6" t="n">
        <v>35</v>
      </c>
      <c r="M154" s="4" t="str">
        <f aca="false">IF(AND(K154="",L154=""),"No closed tickets",IF(K154="","MISSING in catalog",IF(L154="","No valid closed tickets",IF(AND(ABS(K154-L154)&gt;=$S$3,ABS(K154-L154)&gt;=$S$4*MAX(L154,1)),"FAR OFF","OK"))))</f>
        <v>OK</v>
      </c>
      <c r="N154" s="7" t="n">
        <f aca="false">D154/SUMIFS($D$2:$D$741,$B$2:$B$741,B154)</f>
        <v>0.00326193080566334</v>
      </c>
      <c r="O154" s="7" t="n">
        <f aca="false">SUMIFS($D$2:D154,$B$2:B154,B154)/SUMIFS($D$2:$D$741,$B$2:$B$741,B154)</f>
        <v>0.97094475699175</v>
      </c>
      <c r="P154" s="8" t="b">
        <f aca="false">O154-N154&lt;$S$2</f>
        <v>0</v>
      </c>
      <c r="Q154" s="2"/>
      <c r="R154" s="2"/>
      <c r="S154" s="2"/>
    </row>
    <row r="155" customFormat="false" ht="14.25" hidden="false" customHeight="false" outlineLevel="0" collapsed="false">
      <c r="A155" s="4" t="s">
        <v>198</v>
      </c>
      <c r="B155" s="4" t="s">
        <v>166</v>
      </c>
      <c r="C155" s="5" t="n">
        <v>2</v>
      </c>
      <c r="D155" s="5" t="n">
        <v>983</v>
      </c>
      <c r="E155" s="5" t="n">
        <v>279</v>
      </c>
      <c r="F155" s="5" t="n">
        <v>51</v>
      </c>
      <c r="G155" s="5" t="n">
        <v>6</v>
      </c>
      <c r="H155" s="5" t="n">
        <v>932</v>
      </c>
      <c r="I155" s="6" t="n">
        <v>10</v>
      </c>
      <c r="J155" s="6" t="n">
        <v>28.5</v>
      </c>
      <c r="K155" s="6" t="n">
        <v>79</v>
      </c>
      <c r="L155" s="6" t="n">
        <v>78.9</v>
      </c>
      <c r="M155" s="4" t="str">
        <f aca="false">IF(AND(K155="",L155=""),"No closed tickets",IF(K155="","MISSING in catalog",IF(L155="","No valid closed tickets",IF(AND(ABS(K155-L155)&gt;=$S$3,ABS(K155-L155)&gt;=$S$4*MAX(L155,1)),"FAR OFF","OK"))))</f>
        <v>OK</v>
      </c>
      <c r="N155" s="7" t="n">
        <f aca="false">D155/SUMIFS($D$2:$D$741,$B$2:$B$741,B155)</f>
        <v>0.00274998111660983</v>
      </c>
      <c r="O155" s="7" t="n">
        <f aca="false">SUMIFS($D$2:D155,$B$2:B155,B155)/SUMIFS($D$2:$D$741,$B$2:$B$741,B155)</f>
        <v>0.97369473810836</v>
      </c>
      <c r="P155" s="8" t="b">
        <f aca="false">O155-N155&lt;$S$2</f>
        <v>0</v>
      </c>
      <c r="Q155" s="2"/>
      <c r="R155" s="2"/>
      <c r="S155" s="2"/>
    </row>
    <row r="156" customFormat="false" ht="14.25" hidden="false" customHeight="false" outlineLevel="0" collapsed="false">
      <c r="A156" s="4" t="s">
        <v>199</v>
      </c>
      <c r="B156" s="4" t="s">
        <v>166</v>
      </c>
      <c r="C156" s="5" t="n">
        <v>2</v>
      </c>
      <c r="D156" s="5" t="n">
        <v>968</v>
      </c>
      <c r="E156" s="5" t="n">
        <v>0</v>
      </c>
      <c r="F156" s="5" t="n">
        <v>1</v>
      </c>
      <c r="G156" s="5" t="n">
        <v>1</v>
      </c>
      <c r="H156" s="5" t="n">
        <v>967</v>
      </c>
      <c r="I156" s="6" t="n">
        <v>1</v>
      </c>
      <c r="J156" s="6" t="n">
        <v>1.1</v>
      </c>
      <c r="K156" s="6" t="n">
        <v>2</v>
      </c>
      <c r="L156" s="6" t="n">
        <v>2</v>
      </c>
      <c r="M156" s="4" t="str">
        <f aca="false">IF(AND(K156="",L156=""),"No closed tickets",IF(K156="","MISSING in catalog",IF(L156="","No valid closed tickets",IF(AND(ABS(K156-L156)&gt;=$S$3,ABS(K156-L156)&gt;=$S$4*MAX(L156,1)),"FAR OFF","OK"))))</f>
        <v>OK</v>
      </c>
      <c r="N156" s="7" t="n">
        <f aca="false">D156/SUMIFS($D$2:$D$741,$B$2:$B$741,B156)</f>
        <v>0.00270801802734315</v>
      </c>
      <c r="O156" s="7" t="n">
        <f aca="false">SUMIFS($D$2:D156,$B$2:B156,B156)/SUMIFS($D$2:$D$741,$B$2:$B$741,B156)</f>
        <v>0.976402756135703</v>
      </c>
      <c r="P156" s="8" t="b">
        <f aca="false">O156-N156&lt;$S$2</f>
        <v>0</v>
      </c>
      <c r="Q156" s="2"/>
      <c r="R156" s="2"/>
      <c r="S156" s="2"/>
    </row>
    <row r="157" customFormat="false" ht="14.25" hidden="false" customHeight="false" outlineLevel="0" collapsed="false">
      <c r="A157" s="4" t="s">
        <v>200</v>
      </c>
      <c r="B157" s="4" t="s">
        <v>166</v>
      </c>
      <c r="C157" s="5" t="n">
        <v>2</v>
      </c>
      <c r="D157" s="5" t="n">
        <v>811</v>
      </c>
      <c r="E157" s="5" t="n">
        <v>221</v>
      </c>
      <c r="F157" s="5" t="n">
        <v>22</v>
      </c>
      <c r="G157" s="5" t="n">
        <v>6</v>
      </c>
      <c r="H157" s="5" t="n">
        <v>789</v>
      </c>
      <c r="I157" s="6" t="n">
        <v>5</v>
      </c>
      <c r="J157" s="6" t="n">
        <v>17.9</v>
      </c>
      <c r="K157" s="6" t="n">
        <v>41</v>
      </c>
      <c r="L157" s="6" t="n">
        <v>41</v>
      </c>
      <c r="M157" s="4" t="str">
        <f aca="false">IF(AND(K157="",L157=""),"No closed tickets",IF(K157="","MISSING in catalog",IF(L157="","No valid closed tickets",IF(AND(ABS(K157-L157)&gt;=$S$3,ABS(K157-L157)&gt;=$S$4*MAX(L157,1)),"FAR OFF","OK"))))</f>
        <v>OK</v>
      </c>
      <c r="N157" s="7" t="n">
        <f aca="false">D157/SUMIFS($D$2:$D$741,$B$2:$B$741,B157)</f>
        <v>0.00226880435968522</v>
      </c>
      <c r="O157" s="7" t="n">
        <f aca="false">SUMIFS($D$2:D157,$B$2:B157,B157)/SUMIFS($D$2:$D$741,$B$2:$B$741,B157)</f>
        <v>0.978671560495388</v>
      </c>
      <c r="P157" s="8" t="b">
        <f aca="false">O157-N157&lt;$S$2</f>
        <v>0</v>
      </c>
      <c r="Q157" s="2"/>
      <c r="R157" s="2"/>
      <c r="S157" s="2"/>
    </row>
    <row r="158" customFormat="false" ht="14.25" hidden="false" customHeight="false" outlineLevel="0" collapsed="false">
      <c r="A158" s="4" t="s">
        <v>201</v>
      </c>
      <c r="B158" s="4" t="s">
        <v>166</v>
      </c>
      <c r="C158" s="5" t="n">
        <v>1</v>
      </c>
      <c r="D158" s="5" t="n">
        <v>728</v>
      </c>
      <c r="E158" s="5" t="n">
        <v>182</v>
      </c>
      <c r="F158" s="5" t="n">
        <v>10</v>
      </c>
      <c r="G158" s="5" t="n">
        <v>7</v>
      </c>
      <c r="H158" s="5" t="n">
        <v>718</v>
      </c>
      <c r="I158" s="6" t="n">
        <v>1</v>
      </c>
      <c r="J158" s="6" t="n">
        <v>1.6</v>
      </c>
      <c r="K158" s="6" t="n">
        <v>2</v>
      </c>
      <c r="L158" s="6" t="n">
        <v>2</v>
      </c>
      <c r="M158" s="4" t="str">
        <f aca="false">IF(AND(K158="",L158=""),"No closed tickets",IF(K158="","MISSING in catalog",IF(L158="","No valid closed tickets",IF(AND(ABS(K158-L158)&gt;=$S$3,ABS(K158-L158)&gt;=$S$4*MAX(L158,1)),"FAR OFF","OK"))))</f>
        <v>OK</v>
      </c>
      <c r="N158" s="7" t="n">
        <f aca="false">D158/SUMIFS($D$2:$D$741,$B$2:$B$741,B158)</f>
        <v>0.00203660859907625</v>
      </c>
      <c r="O158" s="7" t="n">
        <f aca="false">SUMIFS($D$2:D158,$B$2:B158,B158)/SUMIFS($D$2:$D$741,$B$2:$B$741,B158)</f>
        <v>0.980708169094465</v>
      </c>
      <c r="P158" s="8" t="b">
        <f aca="false">O158-N158&lt;$S$2</f>
        <v>0</v>
      </c>
      <c r="Q158" s="2"/>
      <c r="R158" s="2"/>
      <c r="S158" s="2"/>
    </row>
    <row r="159" customFormat="false" ht="14.25" hidden="false" customHeight="false" outlineLevel="0" collapsed="false">
      <c r="A159" s="4" t="s">
        <v>202</v>
      </c>
      <c r="B159" s="4" t="s">
        <v>166</v>
      </c>
      <c r="C159" s="5" t="n">
        <v>2</v>
      </c>
      <c r="D159" s="5" t="n">
        <v>651</v>
      </c>
      <c r="E159" s="5" t="n">
        <v>116</v>
      </c>
      <c r="F159" s="5" t="n">
        <v>9</v>
      </c>
      <c r="G159" s="5" t="n">
        <v>5</v>
      </c>
      <c r="H159" s="5" t="n">
        <v>642</v>
      </c>
      <c r="I159" s="6" t="n">
        <v>12</v>
      </c>
      <c r="J159" s="6" t="n">
        <v>28.9</v>
      </c>
      <c r="K159" s="6" t="n">
        <v>48</v>
      </c>
      <c r="L159" s="6" t="n">
        <v>48</v>
      </c>
      <c r="M159" s="4" t="str">
        <f aca="false">IF(AND(K159="",L159=""),"No closed tickets",IF(K159="","MISSING in catalog",IF(L159="","No valid closed tickets",IF(AND(ABS(K159-L159)&gt;=$S$3,ABS(K159-L159)&gt;=$S$4*MAX(L159,1)),"FAR OFF","OK"))))</f>
        <v>OK</v>
      </c>
      <c r="N159" s="7" t="n">
        <f aca="false">D159/SUMIFS($D$2:$D$741,$B$2:$B$741,B159)</f>
        <v>0.00182119807417396</v>
      </c>
      <c r="O159" s="7" t="n">
        <f aca="false">SUMIFS($D$2:D159,$B$2:B159,B159)/SUMIFS($D$2:$D$741,$B$2:$B$741,B159)</f>
        <v>0.982529367168639</v>
      </c>
      <c r="P159" s="8" t="b">
        <f aca="false">O159-N159&lt;$S$2</f>
        <v>0</v>
      </c>
      <c r="Q159" s="2"/>
      <c r="R159" s="2"/>
      <c r="S159" s="2"/>
    </row>
    <row r="160" customFormat="false" ht="14.25" hidden="false" customHeight="false" outlineLevel="0" collapsed="false">
      <c r="A160" s="4" t="s">
        <v>203</v>
      </c>
      <c r="B160" s="4" t="s">
        <v>166</v>
      </c>
      <c r="C160" s="5" t="n">
        <v>2</v>
      </c>
      <c r="D160" s="5" t="n">
        <v>619</v>
      </c>
      <c r="E160" s="5" t="n">
        <v>121</v>
      </c>
      <c r="F160" s="5" t="n">
        <v>0</v>
      </c>
      <c r="G160" s="5" t="n">
        <v>0</v>
      </c>
      <c r="H160" s="5" t="n">
        <v>619</v>
      </c>
      <c r="I160" s="6" t="n">
        <v>2</v>
      </c>
      <c r="J160" s="6" t="n">
        <v>5.3</v>
      </c>
      <c r="K160" s="6" t="n">
        <v>12</v>
      </c>
      <c r="L160" s="6" t="n">
        <v>12</v>
      </c>
      <c r="M160" s="4" t="str">
        <f aca="false">IF(AND(K160="",L160=""),"No closed tickets",IF(K160="","MISSING in catalog",IF(L160="","No valid closed tickets",IF(AND(ABS(K160-L160)&gt;=$S$3,ABS(K160-L160)&gt;=$S$4*MAX(L160,1)),"FAR OFF","OK"))))</f>
        <v>OK</v>
      </c>
      <c r="N160" s="7" t="n">
        <f aca="false">D160/SUMIFS($D$2:$D$741,$B$2:$B$741,B160)</f>
        <v>0.0017316768170717</v>
      </c>
      <c r="O160" s="7" t="n">
        <f aca="false">SUMIFS($D$2:D160,$B$2:B160,B160)/SUMIFS($D$2:$D$741,$B$2:$B$741,B160)</f>
        <v>0.98426104398571</v>
      </c>
      <c r="P160" s="8" t="b">
        <f aca="false">O160-N160&lt;$S$2</f>
        <v>0</v>
      </c>
      <c r="Q160" s="2"/>
      <c r="R160" s="2"/>
      <c r="S160" s="2"/>
    </row>
    <row r="161" customFormat="false" ht="14.25" hidden="false" customHeight="false" outlineLevel="0" collapsed="false">
      <c r="A161" s="4" t="s">
        <v>204</v>
      </c>
      <c r="B161" s="4" t="s">
        <v>166</v>
      </c>
      <c r="C161" s="5" t="n">
        <v>2</v>
      </c>
      <c r="D161" s="5" t="n">
        <v>474</v>
      </c>
      <c r="E161" s="5" t="n">
        <v>0</v>
      </c>
      <c r="F161" s="5" t="n">
        <v>13</v>
      </c>
      <c r="G161" s="5" t="n">
        <v>13</v>
      </c>
      <c r="H161" s="5" t="n">
        <v>461</v>
      </c>
      <c r="I161" s="6" t="n">
        <v>36</v>
      </c>
      <c r="J161" s="6" t="n">
        <v>46.1</v>
      </c>
      <c r="K161" s="6" t="n">
        <v>99</v>
      </c>
      <c r="L161" s="6" t="n">
        <v>99</v>
      </c>
      <c r="M161" s="4" t="str">
        <f aca="false">IF(AND(K161="",L161=""),"No closed tickets",IF(K161="","MISSING in catalog",IF(L161="","No valid closed tickets",IF(AND(ABS(K161-L161)&gt;=$S$3,ABS(K161-L161)&gt;=$S$4*MAX(L161,1)),"FAR OFF","OK"))))</f>
        <v>OK</v>
      </c>
      <c r="N161" s="7" t="n">
        <f aca="false">D161/SUMIFS($D$2:$D$741,$B$2:$B$741,B161)</f>
        <v>0.00132603362082712</v>
      </c>
      <c r="O161" s="7" t="n">
        <f aca="false">SUMIFS($D$2:D161,$B$2:B161,B161)/SUMIFS($D$2:$D$741,$B$2:$B$741,B161)</f>
        <v>0.985587077606537</v>
      </c>
      <c r="P161" s="8" t="b">
        <f aca="false">O161-N161&lt;$S$2</f>
        <v>0</v>
      </c>
      <c r="Q161" s="2"/>
      <c r="R161" s="2"/>
      <c r="S161" s="2"/>
    </row>
    <row r="162" customFormat="false" ht="14.25" hidden="false" customHeight="false" outlineLevel="0" collapsed="false">
      <c r="A162" s="4" t="s">
        <v>205</v>
      </c>
      <c r="B162" s="4" t="s">
        <v>166</v>
      </c>
      <c r="C162" s="5" t="n">
        <v>1</v>
      </c>
      <c r="D162" s="5" t="n">
        <v>416</v>
      </c>
      <c r="E162" s="5" t="n">
        <v>0</v>
      </c>
      <c r="F162" s="5" t="n">
        <v>0</v>
      </c>
      <c r="G162" s="5" t="n">
        <v>0</v>
      </c>
      <c r="H162" s="5" t="n">
        <v>416</v>
      </c>
      <c r="I162" s="6" t="n">
        <v>1</v>
      </c>
      <c r="J162" s="6" t="n">
        <v>1</v>
      </c>
      <c r="K162" s="6" t="n">
        <v>2</v>
      </c>
      <c r="L162" s="6" t="n">
        <v>2</v>
      </c>
      <c r="M162" s="4" t="str">
        <f aca="false">IF(AND(K162="",L162=""),"No closed tickets",IF(K162="","MISSING in catalog",IF(L162="","No valid closed tickets",IF(AND(ABS(K162-L162)&gt;=$S$3,ABS(K162-L162)&gt;=$S$4*MAX(L162,1)),"FAR OFF","OK"))))</f>
        <v>OK</v>
      </c>
      <c r="N162" s="7" t="n">
        <f aca="false">D162/SUMIFS($D$2:$D$741,$B$2:$B$741,B162)</f>
        <v>0.00116377634232929</v>
      </c>
      <c r="O162" s="7" t="n">
        <f aca="false">SUMIFS($D$2:D162,$B$2:B162,B162)/SUMIFS($D$2:$D$741,$B$2:$B$741,B162)</f>
        <v>0.986750853948867</v>
      </c>
      <c r="P162" s="8" t="b">
        <f aca="false">O162-N162&lt;$S$2</f>
        <v>0</v>
      </c>
      <c r="Q162" s="2"/>
      <c r="R162" s="2"/>
      <c r="S162" s="2"/>
    </row>
    <row r="163" customFormat="false" ht="14.25" hidden="false" customHeight="false" outlineLevel="0" collapsed="false">
      <c r="A163" s="4" t="s">
        <v>206</v>
      </c>
      <c r="B163" s="4" t="s">
        <v>166</v>
      </c>
      <c r="C163" s="5" t="n">
        <v>2</v>
      </c>
      <c r="D163" s="5" t="n">
        <v>403</v>
      </c>
      <c r="E163" s="5" t="n">
        <v>87</v>
      </c>
      <c r="F163" s="5" t="n">
        <v>19</v>
      </c>
      <c r="G163" s="5" t="n">
        <v>10</v>
      </c>
      <c r="H163" s="5" t="n">
        <v>384</v>
      </c>
      <c r="I163" s="6" t="n">
        <v>29</v>
      </c>
      <c r="J163" s="6" t="n">
        <v>58.5</v>
      </c>
      <c r="K163" s="6" t="n">
        <v>174</v>
      </c>
      <c r="L163" s="6" t="n">
        <v>174</v>
      </c>
      <c r="M163" s="4" t="str">
        <f aca="false">IF(AND(K163="",L163=""),"No closed tickets",IF(K163="","MISSING in catalog",IF(L163="","No valid closed tickets",IF(AND(ABS(K163-L163)&gt;=$S$3,ABS(K163-L163)&gt;=$S$4*MAX(L163,1)),"FAR OFF","OK"))))</f>
        <v>OK</v>
      </c>
      <c r="N163" s="7" t="n">
        <f aca="false">D163/SUMIFS($D$2:$D$741,$B$2:$B$741,B163)</f>
        <v>0.0011274083316315</v>
      </c>
      <c r="O163" s="7" t="n">
        <f aca="false">SUMIFS($D$2:D163,$B$2:B163,B163)/SUMIFS($D$2:$D$741,$B$2:$B$741,B163)</f>
        <v>0.987878262280498</v>
      </c>
      <c r="P163" s="8" t="b">
        <f aca="false">O163-N163&lt;$S$2</f>
        <v>0</v>
      </c>
      <c r="Q163" s="2"/>
      <c r="R163" s="2"/>
      <c r="S163" s="2"/>
    </row>
    <row r="164" customFormat="false" ht="14.25" hidden="false" customHeight="false" outlineLevel="0" collapsed="false">
      <c r="A164" s="4" t="s">
        <v>207</v>
      </c>
      <c r="B164" s="4" t="s">
        <v>166</v>
      </c>
      <c r="C164" s="5" t="n">
        <v>1</v>
      </c>
      <c r="D164" s="5" t="n">
        <v>393</v>
      </c>
      <c r="E164" s="5" t="n">
        <v>0</v>
      </c>
      <c r="F164" s="5" t="n">
        <v>23</v>
      </c>
      <c r="G164" s="5" t="n">
        <v>23</v>
      </c>
      <c r="H164" s="5" t="n">
        <v>370</v>
      </c>
      <c r="I164" s="6" t="n">
        <v>33</v>
      </c>
      <c r="J164" s="6" t="n">
        <v>49.5</v>
      </c>
      <c r="K164" s="6" t="n">
        <v>98</v>
      </c>
      <c r="L164" s="6" t="n">
        <v>98.1</v>
      </c>
      <c r="M164" s="4" t="str">
        <f aca="false">IF(AND(K164="",L164=""),"No closed tickets",IF(K164="","MISSING in catalog",IF(L164="","No valid closed tickets",IF(AND(ABS(K164-L164)&gt;=$S$3,ABS(K164-L164)&gt;=$S$4*MAX(L164,1)),"FAR OFF","OK"))))</f>
        <v>OK</v>
      </c>
      <c r="N164" s="7" t="n">
        <f aca="false">D164/SUMIFS($D$2:$D$741,$B$2:$B$741,B164)</f>
        <v>0.00109943293878704</v>
      </c>
      <c r="O164" s="7" t="n">
        <f aca="false">SUMIFS($D$2:D164,$B$2:B164,B164)/SUMIFS($D$2:$D$741,$B$2:$B$741,B164)</f>
        <v>0.988977695219285</v>
      </c>
      <c r="P164" s="8" t="b">
        <f aca="false">O164-N164&lt;$S$2</f>
        <v>0</v>
      </c>
      <c r="Q164" s="2"/>
      <c r="R164" s="2"/>
      <c r="S164" s="2"/>
    </row>
    <row r="165" customFormat="false" ht="14.25" hidden="false" customHeight="false" outlineLevel="0" collapsed="false">
      <c r="A165" s="4" t="s">
        <v>208</v>
      </c>
      <c r="B165" s="4" t="s">
        <v>166</v>
      </c>
      <c r="C165" s="5" t="n">
        <v>1</v>
      </c>
      <c r="D165" s="5" t="n">
        <v>308</v>
      </c>
      <c r="E165" s="5" t="n">
        <v>76</v>
      </c>
      <c r="F165" s="5" t="n">
        <v>5</v>
      </c>
      <c r="G165" s="5" t="n">
        <v>2</v>
      </c>
      <c r="H165" s="5" t="n">
        <v>303</v>
      </c>
      <c r="I165" s="6" t="n">
        <v>4</v>
      </c>
      <c r="J165" s="6" t="n">
        <v>22.5</v>
      </c>
      <c r="K165" s="6" t="n">
        <v>37</v>
      </c>
      <c r="L165" s="6" t="n">
        <v>37.4</v>
      </c>
      <c r="M165" s="4" t="str">
        <f aca="false">IF(AND(K165="",L165=""),"No closed tickets",IF(K165="","MISSING in catalog",IF(L165="","No valid closed tickets",IF(AND(ABS(K165-L165)&gt;=$S$3,ABS(K165-L165)&gt;=$S$4*MAX(L165,1)),"FAR OFF","OK"))))</f>
        <v>OK</v>
      </c>
      <c r="N165" s="7" t="n">
        <f aca="false">D165/SUMIFS($D$2:$D$741,$B$2:$B$741,B165)</f>
        <v>0.000861642099609184</v>
      </c>
      <c r="O165" s="7" t="n">
        <f aca="false">SUMIFS($D$2:D165,$B$2:B165,B165)/SUMIFS($D$2:$D$741,$B$2:$B$741,B165)</f>
        <v>0.989839337318894</v>
      </c>
      <c r="P165" s="8" t="b">
        <f aca="false">O165-N165&lt;$S$2</f>
        <v>0</v>
      </c>
      <c r="Q165" s="2"/>
      <c r="R165" s="2"/>
      <c r="S165" s="2"/>
    </row>
    <row r="166" customFormat="false" ht="14.25" hidden="false" customHeight="false" outlineLevel="0" collapsed="false">
      <c r="A166" s="4" t="s">
        <v>209</v>
      </c>
      <c r="B166" s="4" t="s">
        <v>166</v>
      </c>
      <c r="C166" s="5" t="n">
        <v>1</v>
      </c>
      <c r="D166" s="5" t="n">
        <v>284</v>
      </c>
      <c r="E166" s="5" t="n">
        <v>48</v>
      </c>
      <c r="F166" s="5" t="n">
        <v>0</v>
      </c>
      <c r="G166" s="5" t="n">
        <v>0</v>
      </c>
      <c r="H166" s="5" t="n">
        <v>284</v>
      </c>
      <c r="I166" s="6" t="n">
        <v>4</v>
      </c>
      <c r="J166" s="6" t="n">
        <v>35.6</v>
      </c>
      <c r="K166" s="6" t="n">
        <v>115</v>
      </c>
      <c r="L166" s="6" t="n">
        <v>114.7</v>
      </c>
      <c r="M166" s="4" t="str">
        <f aca="false">IF(AND(K166="",L166=""),"No closed tickets",IF(K166="","MISSING in catalog",IF(L166="","No valid closed tickets",IF(AND(ABS(K166-L166)&gt;=$S$3,ABS(K166-L166)&gt;=$S$4*MAX(L166,1)),"FAR OFF","OK"))))</f>
        <v>OK</v>
      </c>
      <c r="N166" s="7" t="n">
        <f aca="false">D166/SUMIFS($D$2:$D$741,$B$2:$B$741,B166)</f>
        <v>0.000794501156782494</v>
      </c>
      <c r="O166" s="7" t="n">
        <f aca="false">SUMIFS($D$2:D166,$B$2:B166,B166)/SUMIFS($D$2:$D$741,$B$2:$B$741,B166)</f>
        <v>0.990633838475677</v>
      </c>
      <c r="P166" s="8" t="b">
        <f aca="false">O166-N166&lt;$S$2</f>
        <v>0</v>
      </c>
      <c r="Q166" s="2"/>
      <c r="R166" s="2"/>
      <c r="S166" s="2"/>
    </row>
    <row r="167" customFormat="false" ht="14.25" hidden="false" customHeight="false" outlineLevel="0" collapsed="false">
      <c r="A167" s="4" t="s">
        <v>210</v>
      </c>
      <c r="B167" s="4" t="s">
        <v>166</v>
      </c>
      <c r="C167" s="5" t="n">
        <v>1</v>
      </c>
      <c r="D167" s="5" t="n">
        <v>273</v>
      </c>
      <c r="E167" s="5" t="n">
        <v>0</v>
      </c>
      <c r="F167" s="5" t="n">
        <v>1</v>
      </c>
      <c r="G167" s="5" t="n">
        <v>1</v>
      </c>
      <c r="H167" s="5" t="n">
        <v>272</v>
      </c>
      <c r="I167" s="6" t="n">
        <v>24</v>
      </c>
      <c r="J167" s="6" t="n">
        <v>30</v>
      </c>
      <c r="K167" s="6" t="n">
        <v>48</v>
      </c>
      <c r="L167" s="6" t="n">
        <v>48</v>
      </c>
      <c r="M167" s="4" t="str">
        <f aca="false">IF(AND(K167="",L167=""),"No closed tickets",IF(K167="","MISSING in catalog",IF(L167="","No valid closed tickets",IF(AND(ABS(K167-L167)&gt;=$S$3,ABS(K167-L167)&gt;=$S$4*MAX(L167,1)),"FAR OFF","OK"))))</f>
        <v>OK</v>
      </c>
      <c r="N167" s="7" t="n">
        <f aca="false">D167/SUMIFS($D$2:$D$741,$B$2:$B$741,B167)</f>
        <v>0.000763728224653595</v>
      </c>
      <c r="O167" s="7" t="n">
        <f aca="false">SUMIFS($D$2:D167,$B$2:B167,B167)/SUMIFS($D$2:$D$741,$B$2:$B$741,B167)</f>
        <v>0.99139756670033</v>
      </c>
      <c r="P167" s="8" t="b">
        <f aca="false">O167-N167&lt;$S$2</f>
        <v>0</v>
      </c>
      <c r="Q167" s="2"/>
      <c r="R167" s="2"/>
      <c r="S167" s="2"/>
    </row>
    <row r="168" customFormat="false" ht="14.25" hidden="false" customHeight="false" outlineLevel="0" collapsed="false">
      <c r="A168" s="4" t="s">
        <v>211</v>
      </c>
      <c r="B168" s="4" t="s">
        <v>166</v>
      </c>
      <c r="C168" s="5" t="n">
        <v>2</v>
      </c>
      <c r="D168" s="5" t="n">
        <v>259</v>
      </c>
      <c r="E168" s="5" t="n">
        <v>52</v>
      </c>
      <c r="F168" s="5" t="n">
        <v>0</v>
      </c>
      <c r="G168" s="5" t="n">
        <v>0</v>
      </c>
      <c r="H168" s="5" t="n">
        <v>259</v>
      </c>
      <c r="I168" s="6" t="n">
        <v>2</v>
      </c>
      <c r="J168" s="6" t="n">
        <v>6.3</v>
      </c>
      <c r="K168" s="6" t="n">
        <v>12</v>
      </c>
      <c r="L168" s="6" t="n">
        <v>12</v>
      </c>
      <c r="M168" s="4" t="str">
        <f aca="false">IF(AND(K168="",L168=""),"No closed tickets",IF(K168="","MISSING in catalog",IF(L168="","No valid closed tickets",IF(AND(ABS(K168-L168)&gt;=$S$3,ABS(K168-L168)&gt;=$S$4*MAX(L168,1)),"FAR OFF","OK"))))</f>
        <v>OK</v>
      </c>
      <c r="N168" s="7" t="n">
        <f aca="false">D168/SUMIFS($D$2:$D$741,$B$2:$B$741,B168)</f>
        <v>0.000724562674671359</v>
      </c>
      <c r="O168" s="7" t="n">
        <f aca="false">SUMIFS($D$2:D168,$B$2:B168,B168)/SUMIFS($D$2:$D$741,$B$2:$B$741,B168)</f>
        <v>0.992122129375002</v>
      </c>
      <c r="P168" s="8" t="b">
        <f aca="false">O168-N168&lt;$S$2</f>
        <v>0</v>
      </c>
      <c r="Q168" s="2"/>
      <c r="R168" s="2"/>
      <c r="S168" s="2"/>
    </row>
    <row r="169" customFormat="false" ht="14.25" hidden="false" customHeight="false" outlineLevel="0" collapsed="false">
      <c r="A169" s="4" t="s">
        <v>212</v>
      </c>
      <c r="B169" s="4" t="s">
        <v>166</v>
      </c>
      <c r="C169" s="5" t="n">
        <v>2</v>
      </c>
      <c r="D169" s="5" t="n">
        <v>254</v>
      </c>
      <c r="E169" s="5" t="n">
        <v>34</v>
      </c>
      <c r="F169" s="5" t="n">
        <v>2</v>
      </c>
      <c r="G169" s="5" t="n">
        <v>2</v>
      </c>
      <c r="H169" s="5" t="n">
        <v>252</v>
      </c>
      <c r="I169" s="6" t="n">
        <v>0</v>
      </c>
      <c r="J169" s="6" t="n">
        <v>2.1</v>
      </c>
      <c r="K169" s="6" t="n">
        <v>1</v>
      </c>
      <c r="L169" s="6" t="n">
        <v>1</v>
      </c>
      <c r="M169" s="4" t="str">
        <f aca="false">IF(AND(K169="",L169=""),"No closed tickets",IF(K169="","MISSING in catalog",IF(L169="","No valid closed tickets",IF(AND(ABS(K169-L169)&gt;=$S$3,ABS(K169-L169)&gt;=$S$4*MAX(L169,1)),"FAR OFF","OK"))))</f>
        <v>OK</v>
      </c>
      <c r="N169" s="7" t="n">
        <f aca="false">D169/SUMIFS($D$2:$D$741,$B$2:$B$741,B169)</f>
        <v>0.000710574978249132</v>
      </c>
      <c r="O169" s="7" t="n">
        <f aca="false">SUMIFS($D$2:D169,$B$2:B169,B169)/SUMIFS($D$2:$D$741,$B$2:$B$741,B169)</f>
        <v>0.992832704353251</v>
      </c>
      <c r="P169" s="8" t="b">
        <f aca="false">O169-N169&lt;$S$2</f>
        <v>0</v>
      </c>
      <c r="Q169" s="2"/>
      <c r="R169" s="2"/>
      <c r="S169" s="2"/>
    </row>
    <row r="170" customFormat="false" ht="14.25" hidden="false" customHeight="false" outlineLevel="0" collapsed="false">
      <c r="A170" s="4" t="s">
        <v>213</v>
      </c>
      <c r="B170" s="4" t="s">
        <v>166</v>
      </c>
      <c r="C170" s="5" t="n">
        <v>2</v>
      </c>
      <c r="D170" s="5" t="n">
        <v>244</v>
      </c>
      <c r="E170" s="5" t="n">
        <v>53</v>
      </c>
      <c r="F170" s="5" t="n">
        <v>1</v>
      </c>
      <c r="G170" s="5" t="n">
        <v>1</v>
      </c>
      <c r="H170" s="5" t="n">
        <v>243</v>
      </c>
      <c r="I170" s="6" t="n">
        <v>0</v>
      </c>
      <c r="J170" s="6" t="n">
        <v>2.6</v>
      </c>
      <c r="K170" s="6" t="n">
        <v>8</v>
      </c>
      <c r="L170" s="6" t="n">
        <v>8</v>
      </c>
      <c r="M170" s="4" t="str">
        <f aca="false">IF(AND(K170="",L170=""),"No closed tickets",IF(K170="","MISSING in catalog",IF(L170="","No valid closed tickets",IF(AND(ABS(K170-L170)&gt;=$S$3,ABS(K170-L170)&gt;=$S$4*MAX(L170,1)),"FAR OFF","OK"))))</f>
        <v>OK</v>
      </c>
      <c r="N170" s="7" t="n">
        <f aca="false">D170/SUMIFS($D$2:$D$741,$B$2:$B$741,B170)</f>
        <v>0.000682599585404678</v>
      </c>
      <c r="O170" s="7" t="n">
        <f aca="false">SUMIFS($D$2:D170,$B$2:B170,B170)/SUMIFS($D$2:$D$741,$B$2:$B$741,B170)</f>
        <v>0.993515303938656</v>
      </c>
      <c r="P170" s="8" t="b">
        <f aca="false">O170-N170&lt;$S$2</f>
        <v>0</v>
      </c>
      <c r="Q170" s="2"/>
      <c r="R170" s="2"/>
      <c r="S170" s="2"/>
    </row>
    <row r="171" customFormat="false" ht="14.25" hidden="false" customHeight="false" outlineLevel="0" collapsed="false">
      <c r="A171" s="4" t="s">
        <v>214</v>
      </c>
      <c r="B171" s="4" t="s">
        <v>166</v>
      </c>
      <c r="C171" s="5" t="n">
        <v>1</v>
      </c>
      <c r="D171" s="5" t="n">
        <v>231</v>
      </c>
      <c r="E171" s="5" t="n">
        <v>0</v>
      </c>
      <c r="F171" s="5" t="n">
        <v>0</v>
      </c>
      <c r="G171" s="5" t="n">
        <v>0</v>
      </c>
      <c r="H171" s="5" t="n">
        <v>231</v>
      </c>
      <c r="I171" s="6" t="n">
        <v>2</v>
      </c>
      <c r="J171" s="6" t="n">
        <v>5.8</v>
      </c>
      <c r="K171" s="6" t="n">
        <v>11</v>
      </c>
      <c r="L171" s="6" t="n">
        <v>11</v>
      </c>
      <c r="M171" s="4" t="str">
        <f aca="false">IF(AND(K171="",L171=""),"No closed tickets",IF(K171="","MISSING in catalog",IF(L171="","No valid closed tickets",IF(AND(ABS(K171-L171)&gt;=$S$3,ABS(K171-L171)&gt;=$S$4*MAX(L171,1)),"FAR OFF","OK"))))</f>
        <v>OK</v>
      </c>
      <c r="N171" s="7" t="n">
        <f aca="false">D171/SUMIFS($D$2:$D$741,$B$2:$B$741,B171)</f>
        <v>0.000646231574706888</v>
      </c>
      <c r="O171" s="7" t="n">
        <f aca="false">SUMIFS($D$2:D171,$B$2:B171,B171)/SUMIFS($D$2:$D$741,$B$2:$B$741,B171)</f>
        <v>0.994161535513362</v>
      </c>
      <c r="P171" s="8" t="b">
        <f aca="false">O171-N171&lt;$S$2</f>
        <v>0</v>
      </c>
      <c r="Q171" s="2"/>
      <c r="R171" s="2"/>
      <c r="S171" s="2"/>
    </row>
    <row r="172" customFormat="false" ht="14.25" hidden="false" customHeight="false" outlineLevel="0" collapsed="false">
      <c r="A172" s="4" t="s">
        <v>215</v>
      </c>
      <c r="B172" s="4" t="s">
        <v>166</v>
      </c>
      <c r="C172" s="5" t="n">
        <v>2</v>
      </c>
      <c r="D172" s="5" t="n">
        <v>209</v>
      </c>
      <c r="E172" s="5" t="n">
        <v>60</v>
      </c>
      <c r="F172" s="5" t="n">
        <v>2</v>
      </c>
      <c r="G172" s="5" t="n">
        <v>1</v>
      </c>
      <c r="H172" s="5" t="n">
        <v>207</v>
      </c>
      <c r="I172" s="6" t="n">
        <v>1</v>
      </c>
      <c r="J172" s="6" t="n">
        <v>2.4</v>
      </c>
      <c r="K172" s="6" t="n">
        <v>8</v>
      </c>
      <c r="L172" s="6" t="n">
        <v>8</v>
      </c>
      <c r="M172" s="4" t="str">
        <f aca="false">IF(AND(K172="",L172=""),"No closed tickets",IF(K172="","MISSING in catalog",IF(L172="","No valid closed tickets",IF(AND(ABS(K172-L172)&gt;=$S$3,ABS(K172-L172)&gt;=$S$4*MAX(L172,1)),"FAR OFF","OK"))))</f>
        <v>OK</v>
      </c>
      <c r="N172" s="7" t="n">
        <f aca="false">D172/SUMIFS($D$2:$D$741,$B$2:$B$741,B172)</f>
        <v>0.000584685710449089</v>
      </c>
      <c r="O172" s="7" t="n">
        <f aca="false">SUMIFS($D$2:D172,$B$2:B172,B172)/SUMIFS($D$2:$D$741,$B$2:$B$741,B172)</f>
        <v>0.994746221223812</v>
      </c>
      <c r="P172" s="8" t="b">
        <f aca="false">O172-N172&lt;$S$2</f>
        <v>0</v>
      </c>
      <c r="Q172" s="2"/>
      <c r="R172" s="2"/>
      <c r="S172" s="2"/>
    </row>
    <row r="173" customFormat="false" ht="14.25" hidden="false" customHeight="false" outlineLevel="0" collapsed="false">
      <c r="A173" s="4" t="s">
        <v>216</v>
      </c>
      <c r="B173" s="4" t="s">
        <v>166</v>
      </c>
      <c r="C173" s="5" t="n">
        <v>2</v>
      </c>
      <c r="D173" s="5" t="n">
        <v>201</v>
      </c>
      <c r="E173" s="5" t="n">
        <v>59</v>
      </c>
      <c r="F173" s="5" t="n">
        <v>5</v>
      </c>
      <c r="G173" s="5" t="n">
        <v>5</v>
      </c>
      <c r="H173" s="5" t="n">
        <v>196</v>
      </c>
      <c r="I173" s="6" t="n">
        <v>1</v>
      </c>
      <c r="J173" s="6" t="n">
        <v>3.1</v>
      </c>
      <c r="K173" s="6" t="n">
        <v>8</v>
      </c>
      <c r="L173" s="6" t="n">
        <v>8</v>
      </c>
      <c r="M173" s="4" t="str">
        <f aca="false">IF(AND(K173="",L173=""),"No closed tickets",IF(K173="","MISSING in catalog",IF(L173="","No valid closed tickets",IF(AND(ABS(K173-L173)&gt;=$S$3,ABS(K173-L173)&gt;=$S$4*MAX(L173,1)),"FAR OFF","OK"))))</f>
        <v>OK</v>
      </c>
      <c r="N173" s="7" t="n">
        <f aca="false">D173/SUMIFS($D$2:$D$741,$B$2:$B$741,B173)</f>
        <v>0.000562305396173526</v>
      </c>
      <c r="O173" s="7" t="n">
        <f aca="false">SUMIFS($D$2:D173,$B$2:B173,B173)/SUMIFS($D$2:$D$741,$B$2:$B$741,B173)</f>
        <v>0.995308526619985</v>
      </c>
      <c r="P173" s="8" t="b">
        <f aca="false">O173-N173&lt;$S$2</f>
        <v>0</v>
      </c>
      <c r="Q173" s="2"/>
      <c r="R173" s="2"/>
      <c r="S173" s="2"/>
    </row>
    <row r="174" customFormat="false" ht="14.25" hidden="false" customHeight="false" outlineLevel="0" collapsed="false">
      <c r="A174" s="4" t="s">
        <v>217</v>
      </c>
      <c r="B174" s="4" t="s">
        <v>166</v>
      </c>
      <c r="C174" s="5" t="n">
        <v>1</v>
      </c>
      <c r="D174" s="5" t="n">
        <v>187</v>
      </c>
      <c r="E174" s="5" t="n">
        <v>51</v>
      </c>
      <c r="F174" s="5" t="n">
        <v>25</v>
      </c>
      <c r="G174" s="5" t="n">
        <v>14</v>
      </c>
      <c r="H174" s="5" t="n">
        <v>162</v>
      </c>
      <c r="I174" s="6" t="n">
        <v>119.5</v>
      </c>
      <c r="J174" s="6" t="n">
        <v>116.2</v>
      </c>
      <c r="K174" s="6" t="n">
        <v>238</v>
      </c>
      <c r="L174" s="6" t="n">
        <v>237.8</v>
      </c>
      <c r="M174" s="4" t="str">
        <f aca="false">IF(AND(K174="",L174=""),"No closed tickets",IF(K174="","MISSING in catalog",IF(L174="","No valid closed tickets",IF(AND(ABS(K174-L174)&gt;=$S$3,ABS(K174-L174)&gt;=$S$4*MAX(L174,1)),"FAR OFF","OK"))))</f>
        <v>OK</v>
      </c>
      <c r="N174" s="7" t="n">
        <f aca="false">D174/SUMIFS($D$2:$D$741,$B$2:$B$741,B174)</f>
        <v>0.00052313984619129</v>
      </c>
      <c r="O174" s="7" t="n">
        <f aca="false">SUMIFS($D$2:D174,$B$2:B174,B174)/SUMIFS($D$2:$D$741,$B$2:$B$741,B174)</f>
        <v>0.995831666466176</v>
      </c>
      <c r="P174" s="8" t="b">
        <f aca="false">O174-N174&lt;$S$2</f>
        <v>0</v>
      </c>
      <c r="Q174" s="2"/>
      <c r="R174" s="2"/>
      <c r="S174" s="2"/>
    </row>
    <row r="175" customFormat="false" ht="14.25" hidden="false" customHeight="false" outlineLevel="0" collapsed="false">
      <c r="A175" s="4" t="s">
        <v>218</v>
      </c>
      <c r="B175" s="4" t="s">
        <v>166</v>
      </c>
      <c r="C175" s="5" t="n">
        <v>2</v>
      </c>
      <c r="D175" s="5" t="n">
        <v>165</v>
      </c>
      <c r="E175" s="5" t="n">
        <v>32</v>
      </c>
      <c r="F175" s="5" t="n">
        <v>1</v>
      </c>
      <c r="G175" s="5" t="n">
        <v>0</v>
      </c>
      <c r="H175" s="5" t="n">
        <v>164</v>
      </c>
      <c r="I175" s="6" t="n">
        <v>0</v>
      </c>
      <c r="J175" s="6" t="n">
        <v>4.5</v>
      </c>
      <c r="K175" s="6" t="n">
        <v>6</v>
      </c>
      <c r="L175" s="6" t="n">
        <v>5.7</v>
      </c>
      <c r="M175" s="4" t="str">
        <f aca="false">IF(AND(K175="",L175=""),"No closed tickets",IF(K175="","MISSING in catalog",IF(L175="","No valid closed tickets",IF(AND(ABS(K175-L175)&gt;=$S$3,ABS(K175-L175)&gt;=$S$4*MAX(L175,1)),"FAR OFF","OK"))))</f>
        <v>OK</v>
      </c>
      <c r="N175" s="7" t="n">
        <f aca="false">D175/SUMIFS($D$2:$D$741,$B$2:$B$741,B175)</f>
        <v>0.000461593981933491</v>
      </c>
      <c r="O175" s="7" t="n">
        <f aca="false">SUMIFS($D$2:D175,$B$2:B175,B175)/SUMIFS($D$2:$D$741,$B$2:$B$741,B175)</f>
        <v>0.99629326044811</v>
      </c>
      <c r="P175" s="8" t="b">
        <f aca="false">O175-N175&lt;$S$2</f>
        <v>0</v>
      </c>
      <c r="Q175" s="2"/>
      <c r="R175" s="2"/>
      <c r="S175" s="2"/>
    </row>
    <row r="176" customFormat="false" ht="14.25" hidden="false" customHeight="false" outlineLevel="0" collapsed="false">
      <c r="A176" s="4" t="s">
        <v>219</v>
      </c>
      <c r="B176" s="4" t="s">
        <v>166</v>
      </c>
      <c r="C176" s="5" t="n">
        <v>2</v>
      </c>
      <c r="D176" s="5" t="n">
        <v>123</v>
      </c>
      <c r="E176" s="5" t="n">
        <v>22</v>
      </c>
      <c r="F176" s="5" t="n">
        <v>0</v>
      </c>
      <c r="G176" s="5" t="n">
        <v>0</v>
      </c>
      <c r="H176" s="5" t="n">
        <v>123</v>
      </c>
      <c r="I176" s="6" t="n">
        <v>2</v>
      </c>
      <c r="J176" s="6" t="n">
        <v>5.8</v>
      </c>
      <c r="K176" s="6" t="n">
        <v>12</v>
      </c>
      <c r="L176" s="6" t="n">
        <v>12</v>
      </c>
      <c r="M176" s="4" t="str">
        <f aca="false">IF(AND(K176="",L176=""),"No closed tickets",IF(K176="","MISSING in catalog",IF(L176="","No valid closed tickets",IF(AND(ABS(K176-L176)&gt;=$S$3,ABS(K176-L176)&gt;=$S$4*MAX(L176,1)),"FAR OFF","OK"))))</f>
        <v>OK</v>
      </c>
      <c r="N176" s="7" t="n">
        <f aca="false">D176/SUMIFS($D$2:$D$741,$B$2:$B$741,B176)</f>
        <v>0.000344097331986784</v>
      </c>
      <c r="O176" s="7" t="n">
        <f aca="false">SUMIFS($D$2:D176,$B$2:B176,B176)/SUMIFS($D$2:$D$741,$B$2:$B$741,B176)</f>
        <v>0.996637357780097</v>
      </c>
      <c r="P176" s="8" t="b">
        <f aca="false">O176-N176&lt;$S$2</f>
        <v>0</v>
      </c>
      <c r="Q176" s="2"/>
      <c r="R176" s="2"/>
      <c r="S176" s="2"/>
    </row>
    <row r="177" customFormat="false" ht="14.25" hidden="false" customHeight="false" outlineLevel="0" collapsed="false">
      <c r="A177" s="4" t="s">
        <v>220</v>
      </c>
      <c r="B177" s="4" t="s">
        <v>166</v>
      </c>
      <c r="C177" s="5" t="n">
        <v>2</v>
      </c>
      <c r="D177" s="5" t="n">
        <v>120</v>
      </c>
      <c r="E177" s="5" t="n">
        <v>16</v>
      </c>
      <c r="F177" s="5" t="n">
        <v>0</v>
      </c>
      <c r="G177" s="5" t="n">
        <v>0</v>
      </c>
      <c r="H177" s="5" t="n">
        <v>120</v>
      </c>
      <c r="I177" s="6" t="n">
        <v>3</v>
      </c>
      <c r="J177" s="6" t="n">
        <v>7.8</v>
      </c>
      <c r="K177" s="6" t="n">
        <v>15</v>
      </c>
      <c r="L177" s="6" t="n">
        <v>15.4</v>
      </c>
      <c r="M177" s="4" t="str">
        <f aca="false">IF(AND(K177="",L177=""),"No closed tickets",IF(K177="","MISSING in catalog",IF(L177="","No valid closed tickets",IF(AND(ABS(K177-L177)&gt;=$S$3,ABS(K177-L177)&gt;=$S$4*MAX(L177,1)),"FAR OFF","OK"))))</f>
        <v>OK</v>
      </c>
      <c r="N177" s="7" t="n">
        <f aca="false">D177/SUMIFS($D$2:$D$741,$B$2:$B$741,B177)</f>
        <v>0.000335704714133448</v>
      </c>
      <c r="O177" s="7" t="n">
        <f aca="false">SUMIFS($D$2:D177,$B$2:B177,B177)/SUMIFS($D$2:$D$741,$B$2:$B$741,B177)</f>
        <v>0.99697306249423</v>
      </c>
      <c r="P177" s="8" t="b">
        <f aca="false">O177-N177&lt;$S$2</f>
        <v>0</v>
      </c>
      <c r="Q177" s="2"/>
      <c r="R177" s="2"/>
      <c r="S177" s="2"/>
    </row>
    <row r="178" customFormat="false" ht="14.25" hidden="false" customHeight="false" outlineLevel="0" collapsed="false">
      <c r="A178" s="4" t="s">
        <v>221</v>
      </c>
      <c r="B178" s="4" t="s">
        <v>166</v>
      </c>
      <c r="C178" s="5" t="n">
        <v>1</v>
      </c>
      <c r="D178" s="5" t="n">
        <v>116</v>
      </c>
      <c r="E178" s="5" t="n">
        <v>20</v>
      </c>
      <c r="F178" s="5" t="n">
        <v>1</v>
      </c>
      <c r="G178" s="5" t="n">
        <v>1</v>
      </c>
      <c r="H178" s="5" t="n">
        <v>115</v>
      </c>
      <c r="I178" s="6" t="n">
        <v>1</v>
      </c>
      <c r="J178" s="6" t="n">
        <v>6.7</v>
      </c>
      <c r="K178" s="6" t="n">
        <v>8</v>
      </c>
      <c r="L178" s="6" t="n">
        <v>7.6</v>
      </c>
      <c r="M178" s="4" t="str">
        <f aca="false">IF(AND(K178="",L178=""),"No closed tickets",IF(K178="","MISSING in catalog",IF(L178="","No valid closed tickets",IF(AND(ABS(K178-L178)&gt;=$S$3,ABS(K178-L178)&gt;=$S$4*MAX(L178,1)),"FAR OFF","OK"))))</f>
        <v>OK</v>
      </c>
      <c r="N178" s="7" t="n">
        <f aca="false">D178/SUMIFS($D$2:$D$741,$B$2:$B$741,B178)</f>
        <v>0.000324514556995667</v>
      </c>
      <c r="O178" s="7" t="n">
        <f aca="false">SUMIFS($D$2:D178,$B$2:B178,B178)/SUMIFS($D$2:$D$741,$B$2:$B$741,B178)</f>
        <v>0.997297577051226</v>
      </c>
      <c r="P178" s="8" t="b">
        <f aca="false">O178-N178&lt;$S$2</f>
        <v>0</v>
      </c>
      <c r="Q178" s="2"/>
      <c r="R178" s="2"/>
      <c r="S178" s="2"/>
    </row>
    <row r="179" customFormat="false" ht="14.25" hidden="false" customHeight="false" outlineLevel="0" collapsed="false">
      <c r="A179" s="4" t="s">
        <v>222</v>
      </c>
      <c r="B179" s="4" t="s">
        <v>166</v>
      </c>
      <c r="C179" s="5" t="n">
        <v>2</v>
      </c>
      <c r="D179" s="5" t="n">
        <v>101</v>
      </c>
      <c r="E179" s="5" t="n">
        <v>27</v>
      </c>
      <c r="F179" s="5" t="n">
        <v>0</v>
      </c>
      <c r="G179" s="5" t="n">
        <v>0</v>
      </c>
      <c r="H179" s="5" t="n">
        <v>101</v>
      </c>
      <c r="I179" s="6" t="n">
        <v>3</v>
      </c>
      <c r="J179" s="6" t="n">
        <v>3.7</v>
      </c>
      <c r="K179" s="6" t="n">
        <v>7</v>
      </c>
      <c r="L179" s="6" t="n">
        <v>7</v>
      </c>
      <c r="M179" s="4" t="str">
        <f aca="false">IF(AND(K179="",L179=""),"No closed tickets",IF(K179="","MISSING in catalog",IF(L179="","No valid closed tickets",IF(AND(ABS(K179-L179)&gt;=$S$3,ABS(K179-L179)&gt;=$S$4*MAX(L179,1)),"FAR OFF","OK"))))</f>
        <v>OK</v>
      </c>
      <c r="N179" s="7" t="n">
        <f aca="false">D179/SUMIFS($D$2:$D$741,$B$2:$B$741,B179)</f>
        <v>0.000282551467728986</v>
      </c>
      <c r="O179" s="7" t="n">
        <f aca="false">SUMIFS($D$2:D179,$B$2:B179,B179)/SUMIFS($D$2:$D$741,$B$2:$B$741,B179)</f>
        <v>0.997580128518955</v>
      </c>
      <c r="P179" s="8" t="b">
        <f aca="false">O179-N179&lt;$S$2</f>
        <v>0</v>
      </c>
      <c r="Q179" s="2"/>
      <c r="R179" s="2"/>
      <c r="S179" s="2"/>
    </row>
    <row r="180" customFormat="false" ht="14.25" hidden="false" customHeight="false" outlineLevel="0" collapsed="false">
      <c r="A180" s="4" t="s">
        <v>223</v>
      </c>
      <c r="B180" s="4" t="s">
        <v>166</v>
      </c>
      <c r="C180" s="5" t="n">
        <v>2</v>
      </c>
      <c r="D180" s="5" t="n">
        <v>97</v>
      </c>
      <c r="E180" s="5" t="n">
        <v>24</v>
      </c>
      <c r="F180" s="5" t="n">
        <v>0</v>
      </c>
      <c r="G180" s="5" t="n">
        <v>0</v>
      </c>
      <c r="H180" s="5" t="n">
        <v>97</v>
      </c>
      <c r="I180" s="6" t="n">
        <v>0</v>
      </c>
      <c r="J180" s="6" t="n">
        <v>10.5</v>
      </c>
      <c r="K180" s="6" t="n">
        <v>28</v>
      </c>
      <c r="L180" s="6" t="n">
        <v>28.2</v>
      </c>
      <c r="M180" s="4" t="str">
        <f aca="false">IF(AND(K180="",L180=""),"No closed tickets",IF(K180="","MISSING in catalog",IF(L180="","No valid closed tickets",IF(AND(ABS(K180-L180)&gt;=$S$3,ABS(K180-L180)&gt;=$S$4*MAX(L180,1)),"FAR OFF","OK"))))</f>
        <v>OK</v>
      </c>
      <c r="N180" s="7" t="n">
        <f aca="false">D180/SUMIFS($D$2:$D$741,$B$2:$B$741,B180)</f>
        <v>0.000271361310591204</v>
      </c>
      <c r="O180" s="7" t="n">
        <f aca="false">SUMIFS($D$2:D180,$B$2:B180,B180)/SUMIFS($D$2:$D$741,$B$2:$B$741,B180)</f>
        <v>0.997851489829546</v>
      </c>
      <c r="P180" s="8" t="b">
        <f aca="false">O180-N180&lt;$S$2</f>
        <v>0</v>
      </c>
      <c r="Q180" s="2"/>
      <c r="R180" s="2"/>
      <c r="S180" s="2"/>
    </row>
    <row r="181" customFormat="false" ht="14.25" hidden="false" customHeight="false" outlineLevel="0" collapsed="false">
      <c r="A181" s="4" t="s">
        <v>224</v>
      </c>
      <c r="B181" s="4" t="s">
        <v>166</v>
      </c>
      <c r="C181" s="5" t="n">
        <v>2</v>
      </c>
      <c r="D181" s="5" t="n">
        <v>83</v>
      </c>
      <c r="E181" s="5" t="n">
        <v>0</v>
      </c>
      <c r="F181" s="5" t="n">
        <v>1</v>
      </c>
      <c r="G181" s="5" t="n">
        <v>1</v>
      </c>
      <c r="H181" s="5" t="n">
        <v>82</v>
      </c>
      <c r="I181" s="6" t="n">
        <v>28.5</v>
      </c>
      <c r="J181" s="6" t="n">
        <v>37</v>
      </c>
      <c r="K181" s="6" t="n">
        <v>81</v>
      </c>
      <c r="L181" s="6" t="n">
        <v>80.8</v>
      </c>
      <c r="M181" s="4" t="str">
        <f aca="false">IF(AND(K181="",L181=""),"No closed tickets",IF(K181="","MISSING in catalog",IF(L181="","No valid closed tickets",IF(AND(ABS(K181-L181)&gt;=$S$3,ABS(K181-L181)&gt;=$S$4*MAX(L181,1)),"FAR OFF","OK"))))</f>
        <v>OK</v>
      </c>
      <c r="N181" s="7" t="n">
        <f aca="false">D181/SUMIFS($D$2:$D$741,$B$2:$B$741,B181)</f>
        <v>0.000232195760608968</v>
      </c>
      <c r="O181" s="7" t="n">
        <f aca="false">SUMIFS($D$2:D181,$B$2:B181,B181)/SUMIFS($D$2:$D$741,$B$2:$B$741,B181)</f>
        <v>0.998083685590155</v>
      </c>
      <c r="P181" s="8" t="b">
        <f aca="false">O181-N181&lt;$S$2</f>
        <v>0</v>
      </c>
      <c r="Q181" s="2"/>
      <c r="R181" s="2"/>
      <c r="S181" s="2"/>
    </row>
    <row r="182" customFormat="false" ht="14.25" hidden="false" customHeight="false" outlineLevel="0" collapsed="false">
      <c r="A182" s="4" t="s">
        <v>225</v>
      </c>
      <c r="B182" s="4" t="s">
        <v>166</v>
      </c>
      <c r="C182" s="5" t="n">
        <v>2</v>
      </c>
      <c r="D182" s="5" t="n">
        <v>78</v>
      </c>
      <c r="E182" s="5" t="n">
        <v>30</v>
      </c>
      <c r="F182" s="5" t="n">
        <v>20</v>
      </c>
      <c r="G182" s="5" t="n">
        <v>10</v>
      </c>
      <c r="H182" s="5" t="n">
        <v>58</v>
      </c>
      <c r="I182" s="6" t="n">
        <v>3</v>
      </c>
      <c r="J182" s="6" t="n">
        <v>7.8</v>
      </c>
      <c r="K182" s="6" t="n">
        <v>26</v>
      </c>
      <c r="L182" s="6" t="n">
        <v>26.3</v>
      </c>
      <c r="M182" s="4" t="str">
        <f aca="false">IF(AND(K182="",L182=""),"No closed tickets",IF(K182="","MISSING in catalog",IF(L182="","No valid closed tickets",IF(AND(ABS(K182-L182)&gt;=$S$3,ABS(K182-L182)&gt;=$S$4*MAX(L182,1)),"FAR OFF","OK"))))</f>
        <v>OK</v>
      </c>
      <c r="N182" s="7" t="n">
        <f aca="false">D182/SUMIFS($D$2:$D$741,$B$2:$B$741,B182)</f>
        <v>0.000218208064186741</v>
      </c>
      <c r="O182" s="7" t="n">
        <f aca="false">SUMIFS($D$2:D182,$B$2:B182,B182)/SUMIFS($D$2:$D$741,$B$2:$B$741,B182)</f>
        <v>0.998301893654342</v>
      </c>
      <c r="P182" s="8" t="b">
        <f aca="false">O182-N182&lt;$S$2</f>
        <v>0</v>
      </c>
      <c r="Q182" s="2"/>
      <c r="R182" s="2"/>
      <c r="S182" s="2"/>
    </row>
    <row r="183" customFormat="false" ht="14.25" hidden="false" customHeight="false" outlineLevel="0" collapsed="false">
      <c r="A183" s="4" t="s">
        <v>226</v>
      </c>
      <c r="B183" s="4" t="s">
        <v>166</v>
      </c>
      <c r="C183" s="5" t="n">
        <v>2</v>
      </c>
      <c r="D183" s="5" t="n">
        <v>73</v>
      </c>
      <c r="E183" s="5" t="n">
        <v>11</v>
      </c>
      <c r="F183" s="5" t="n">
        <v>0</v>
      </c>
      <c r="G183" s="5" t="n">
        <v>0</v>
      </c>
      <c r="H183" s="5" t="n">
        <v>73</v>
      </c>
      <c r="I183" s="6" t="n">
        <v>4</v>
      </c>
      <c r="J183" s="6" t="n">
        <v>7.4</v>
      </c>
      <c r="K183" s="6" t="n">
        <v>15</v>
      </c>
      <c r="L183" s="6" t="n">
        <v>14.8</v>
      </c>
      <c r="M183" s="4" t="str">
        <f aca="false">IF(AND(K183="",L183=""),"No closed tickets",IF(K183="","MISSING in catalog",IF(L183="","No valid closed tickets",IF(AND(ABS(K183-L183)&gt;=$S$3,ABS(K183-L183)&gt;=$S$4*MAX(L183,1)),"FAR OFF","OK"))))</f>
        <v>OK</v>
      </c>
      <c r="N183" s="7" t="n">
        <f aca="false">D183/SUMIFS($D$2:$D$741,$B$2:$B$741,B183)</f>
        <v>0.000204220367764514</v>
      </c>
      <c r="O183" s="7" t="n">
        <f aca="false">SUMIFS($D$2:D183,$B$2:B183,B183)/SUMIFS($D$2:$D$741,$B$2:$B$741,B183)</f>
        <v>0.998506114022106</v>
      </c>
      <c r="P183" s="8" t="b">
        <f aca="false">O183-N183&lt;$S$2</f>
        <v>0</v>
      </c>
      <c r="Q183" s="2"/>
      <c r="R183" s="2"/>
      <c r="S183" s="2"/>
    </row>
    <row r="184" customFormat="false" ht="14.25" hidden="false" customHeight="false" outlineLevel="0" collapsed="false">
      <c r="A184" s="4" t="s">
        <v>227</v>
      </c>
      <c r="B184" s="4" t="s">
        <v>166</v>
      </c>
      <c r="C184" s="5" t="n">
        <v>2</v>
      </c>
      <c r="D184" s="5" t="n">
        <v>70</v>
      </c>
      <c r="E184" s="5" t="n">
        <v>8</v>
      </c>
      <c r="F184" s="5" t="n">
        <v>0</v>
      </c>
      <c r="G184" s="5" t="n">
        <v>0</v>
      </c>
      <c r="H184" s="5" t="n">
        <v>70</v>
      </c>
      <c r="I184" s="6" t="n">
        <v>1</v>
      </c>
      <c r="J184" s="6" t="n">
        <v>5.4</v>
      </c>
      <c r="K184" s="6" t="n">
        <v>13</v>
      </c>
      <c r="L184" s="6" t="n">
        <v>13.3</v>
      </c>
      <c r="M184" s="4" t="str">
        <f aca="false">IF(AND(K184="",L184=""),"No closed tickets",IF(K184="","MISSING in catalog",IF(L184="","No valid closed tickets",IF(AND(ABS(K184-L184)&gt;=$S$3,ABS(K184-L184)&gt;=$S$4*MAX(L184,1)),"FAR OFF","OK"))))</f>
        <v>OK</v>
      </c>
      <c r="N184" s="7" t="n">
        <f aca="false">D184/SUMIFS($D$2:$D$741,$B$2:$B$741,B184)</f>
        <v>0.000195827749911178</v>
      </c>
      <c r="O184" s="7" t="n">
        <f aca="false">SUMIFS($D$2:D184,$B$2:B184,B184)/SUMIFS($D$2:$D$741,$B$2:$B$741,B184)</f>
        <v>0.998701941772017</v>
      </c>
      <c r="P184" s="8" t="b">
        <f aca="false">O184-N184&lt;$S$2</f>
        <v>0</v>
      </c>
      <c r="Q184" s="2"/>
      <c r="R184" s="2"/>
      <c r="S184" s="2"/>
    </row>
    <row r="185" customFormat="false" ht="14.25" hidden="false" customHeight="false" outlineLevel="0" collapsed="false">
      <c r="A185" s="4" t="s">
        <v>228</v>
      </c>
      <c r="B185" s="4" t="s">
        <v>166</v>
      </c>
      <c r="C185" s="5" t="n">
        <v>1</v>
      </c>
      <c r="D185" s="5" t="n">
        <v>53</v>
      </c>
      <c r="E185" s="5" t="n">
        <v>0</v>
      </c>
      <c r="F185" s="5" t="n">
        <v>0</v>
      </c>
      <c r="G185" s="5" t="n">
        <v>0</v>
      </c>
      <c r="H185" s="5" t="n">
        <v>53</v>
      </c>
      <c r="I185" s="6" t="n">
        <v>0</v>
      </c>
      <c r="J185" s="6" t="n">
        <v>44.8</v>
      </c>
      <c r="K185" s="6" t="n">
        <v>130</v>
      </c>
      <c r="L185" s="6" t="n">
        <v>130</v>
      </c>
      <c r="M185" s="4" t="str">
        <f aca="false">IF(AND(K185="",L185=""),"No closed tickets",IF(K185="","MISSING in catalog",IF(L185="","No valid closed tickets",IF(AND(ABS(K185-L185)&gt;=$S$3,ABS(K185-L185)&gt;=$S$4*MAX(L185,1)),"FAR OFF","OK"))))</f>
        <v>OK</v>
      </c>
      <c r="N185" s="7" t="n">
        <f aca="false">D185/SUMIFS($D$2:$D$741,$B$2:$B$741,B185)</f>
        <v>0.000148269582075606</v>
      </c>
      <c r="O185" s="7" t="n">
        <f aca="false">SUMIFS($D$2:D185,$B$2:B185,B185)/SUMIFS($D$2:$D$741,$B$2:$B$741,B185)</f>
        <v>0.998850211354093</v>
      </c>
      <c r="P185" s="8" t="b">
        <f aca="false">O185-N185&lt;$S$2</f>
        <v>0</v>
      </c>
      <c r="Q185" s="2"/>
      <c r="R185" s="2"/>
      <c r="S185" s="2"/>
    </row>
    <row r="186" customFormat="false" ht="14.25" hidden="false" customHeight="false" outlineLevel="0" collapsed="false">
      <c r="A186" s="4" t="s">
        <v>229</v>
      </c>
      <c r="B186" s="4" t="s">
        <v>166</v>
      </c>
      <c r="C186" s="5" t="n">
        <v>1</v>
      </c>
      <c r="D186" s="5" t="n">
        <v>50</v>
      </c>
      <c r="E186" s="5" t="n">
        <v>0</v>
      </c>
      <c r="F186" s="5" t="n">
        <v>0</v>
      </c>
      <c r="G186" s="5" t="n">
        <v>0</v>
      </c>
      <c r="H186" s="5" t="n">
        <v>50</v>
      </c>
      <c r="I186" s="6" t="n">
        <v>0</v>
      </c>
      <c r="J186" s="6" t="n">
        <v>0.1</v>
      </c>
      <c r="K186" s="6" t="n">
        <v>0</v>
      </c>
      <c r="L186" s="6" t="n">
        <v>0</v>
      </c>
      <c r="M186" s="4" t="str">
        <f aca="false">IF(AND(K186="",L186=""),"No closed tickets",IF(K186="","MISSING in catalog",IF(L186="","No valid closed tickets",IF(AND(ABS(K186-L186)&gt;=$S$3,ABS(K186-L186)&gt;=$S$4*MAX(L186,1)),"FAR OFF","OK"))))</f>
        <v>OK</v>
      </c>
      <c r="N186" s="7" t="n">
        <f aca="false">D186/SUMIFS($D$2:$D$741,$B$2:$B$741,B186)</f>
        <v>0.00013987696422227</v>
      </c>
      <c r="O186" s="7" t="n">
        <f aca="false">SUMIFS($D$2:D186,$B$2:B186,B186)/SUMIFS($D$2:$D$741,$B$2:$B$741,B186)</f>
        <v>0.998990088318315</v>
      </c>
      <c r="P186" s="8" t="b">
        <f aca="false">O186-N186&lt;$S$2</f>
        <v>0</v>
      </c>
      <c r="Q186" s="2"/>
      <c r="R186" s="2"/>
      <c r="S186" s="2"/>
    </row>
    <row r="187" customFormat="false" ht="14.25" hidden="false" customHeight="false" outlineLevel="0" collapsed="false">
      <c r="A187" s="4" t="s">
        <v>230</v>
      </c>
      <c r="B187" s="4" t="s">
        <v>166</v>
      </c>
      <c r="C187" s="5" t="n">
        <v>1</v>
      </c>
      <c r="D187" s="5" t="n">
        <v>46</v>
      </c>
      <c r="E187" s="5" t="n">
        <v>22</v>
      </c>
      <c r="F187" s="5" t="n">
        <v>1</v>
      </c>
      <c r="G187" s="5" t="n">
        <v>0</v>
      </c>
      <c r="H187" s="5" t="n">
        <v>45</v>
      </c>
      <c r="I187" s="6" t="n">
        <v>3</v>
      </c>
      <c r="J187" s="6" t="n">
        <v>4.3</v>
      </c>
      <c r="K187" s="6" t="n">
        <v>8</v>
      </c>
      <c r="L187" s="6" t="n">
        <v>8</v>
      </c>
      <c r="M187" s="4" t="str">
        <f aca="false">IF(AND(K187="",L187=""),"No closed tickets",IF(K187="","MISSING in catalog",IF(L187="","No valid closed tickets",IF(AND(ABS(K187-L187)&gt;=$S$3,ABS(K187-L187)&gt;=$S$4*MAX(L187,1)),"FAR OFF","OK"))))</f>
        <v>OK</v>
      </c>
      <c r="N187" s="7" t="n">
        <f aca="false">D187/SUMIFS($D$2:$D$741,$B$2:$B$741,B187)</f>
        <v>0.000128686807084489</v>
      </c>
      <c r="O187" s="7" t="n">
        <f aca="false">SUMIFS($D$2:D187,$B$2:B187,B187)/SUMIFS($D$2:$D$741,$B$2:$B$741,B187)</f>
        <v>0.9991187751254</v>
      </c>
      <c r="P187" s="8" t="b">
        <f aca="false">O187-N187&lt;$S$2</f>
        <v>0</v>
      </c>
      <c r="Q187" s="2"/>
      <c r="R187" s="2"/>
      <c r="S187" s="2"/>
    </row>
    <row r="188" customFormat="false" ht="14.25" hidden="false" customHeight="false" outlineLevel="0" collapsed="false">
      <c r="A188" s="4" t="s">
        <v>231</v>
      </c>
      <c r="B188" s="4" t="s">
        <v>166</v>
      </c>
      <c r="C188" s="5" t="n">
        <v>2</v>
      </c>
      <c r="D188" s="5" t="n">
        <v>38</v>
      </c>
      <c r="E188" s="5" t="n">
        <v>7</v>
      </c>
      <c r="F188" s="5" t="n">
        <v>0</v>
      </c>
      <c r="G188" s="5" t="n">
        <v>0</v>
      </c>
      <c r="H188" s="5" t="n">
        <v>38</v>
      </c>
      <c r="I188" s="6" t="n">
        <v>2</v>
      </c>
      <c r="J188" s="6" t="n">
        <v>6.7</v>
      </c>
      <c r="K188" s="6" t="n">
        <v>18</v>
      </c>
      <c r="L188" s="6" t="n">
        <v>17.8</v>
      </c>
      <c r="M188" s="4" t="str">
        <f aca="false">IF(AND(K188="",L188=""),"No closed tickets",IF(K188="","MISSING in catalog",IF(L188="","No valid closed tickets",IF(AND(ABS(K188-L188)&gt;=$S$3,ABS(K188-L188)&gt;=$S$4*MAX(L188,1)),"FAR OFF","OK"))))</f>
        <v>OK</v>
      </c>
      <c r="N188" s="7" t="n">
        <f aca="false">D188/SUMIFS($D$2:$D$741,$B$2:$B$741,B188)</f>
        <v>0.000106306492808925</v>
      </c>
      <c r="O188" s="7" t="n">
        <f aca="false">SUMIFS($D$2:D188,$B$2:B188,B188)/SUMIFS($D$2:$D$741,$B$2:$B$741,B188)</f>
        <v>0.999225081618209</v>
      </c>
      <c r="P188" s="8" t="b">
        <f aca="false">O188-N188&lt;$S$2</f>
        <v>0</v>
      </c>
      <c r="Q188" s="2"/>
      <c r="R188" s="2"/>
      <c r="S188" s="2"/>
    </row>
    <row r="189" customFormat="false" ht="14.25" hidden="false" customHeight="false" outlineLevel="0" collapsed="false">
      <c r="A189" s="4" t="s">
        <v>232</v>
      </c>
      <c r="B189" s="4" t="s">
        <v>166</v>
      </c>
      <c r="C189" s="5" t="n">
        <v>2</v>
      </c>
      <c r="D189" s="5" t="n">
        <v>35</v>
      </c>
      <c r="E189" s="5" t="n">
        <v>0</v>
      </c>
      <c r="F189" s="5" t="n">
        <v>0</v>
      </c>
      <c r="G189" s="5" t="n">
        <v>0</v>
      </c>
      <c r="H189" s="5" t="n">
        <v>35</v>
      </c>
      <c r="I189" s="6" t="n">
        <v>1</v>
      </c>
      <c r="J189" s="6" t="n">
        <v>2.1</v>
      </c>
      <c r="K189" s="6" t="n">
        <v>4</v>
      </c>
      <c r="L189" s="6" t="n">
        <v>3.6</v>
      </c>
      <c r="M189" s="4" t="str">
        <f aca="false">IF(AND(K189="",L189=""),"No closed tickets",IF(K189="","MISSING in catalog",IF(L189="","No valid closed tickets",IF(AND(ABS(K189-L189)&gt;=$S$3,ABS(K189-L189)&gt;=$S$4*MAX(L189,1)),"FAR OFF","OK"))))</f>
        <v>OK</v>
      </c>
      <c r="N189" s="7" t="n">
        <f aca="false">D189/SUMIFS($D$2:$D$741,$B$2:$B$741,B189)</f>
        <v>9.79138749555891E-005</v>
      </c>
      <c r="O189" s="7" t="n">
        <f aca="false">SUMIFS($D$2:D189,$B$2:B189,B189)/SUMIFS($D$2:$D$741,$B$2:$B$741,B189)</f>
        <v>0.999322995493164</v>
      </c>
      <c r="P189" s="8" t="b">
        <f aca="false">O189-N189&lt;$S$2</f>
        <v>0</v>
      </c>
      <c r="Q189" s="2"/>
      <c r="R189" s="2"/>
      <c r="S189" s="2"/>
    </row>
    <row r="190" customFormat="false" ht="14.25" hidden="false" customHeight="false" outlineLevel="0" collapsed="false">
      <c r="A190" s="4" t="s">
        <v>233</v>
      </c>
      <c r="B190" s="4" t="s">
        <v>166</v>
      </c>
      <c r="C190" s="5" t="n">
        <v>2</v>
      </c>
      <c r="D190" s="5" t="n">
        <v>34</v>
      </c>
      <c r="E190" s="5" t="n">
        <v>8</v>
      </c>
      <c r="F190" s="5" t="n">
        <v>0</v>
      </c>
      <c r="G190" s="5" t="n">
        <v>0</v>
      </c>
      <c r="H190" s="5" t="n">
        <v>34</v>
      </c>
      <c r="I190" s="6" t="n">
        <v>29.5</v>
      </c>
      <c r="J190" s="6" t="n">
        <v>39.3</v>
      </c>
      <c r="K190" s="6" t="n">
        <v>82</v>
      </c>
      <c r="L190" s="6" t="n">
        <v>82</v>
      </c>
      <c r="M190" s="4" t="str">
        <f aca="false">IF(AND(K190="",L190=""),"No closed tickets",IF(K190="","MISSING in catalog",IF(L190="","No valid closed tickets",IF(AND(ABS(K190-L190)&gt;=$S$3,ABS(K190-L190)&gt;=$S$4*MAX(L190,1)),"FAR OFF","OK"))))</f>
        <v>OK</v>
      </c>
      <c r="N190" s="7" t="n">
        <f aca="false">D190/SUMIFS($D$2:$D$741,$B$2:$B$741,B190)</f>
        <v>9.51163356711437E-005</v>
      </c>
      <c r="O190" s="7" t="n">
        <f aca="false">SUMIFS($D$2:D190,$B$2:B190,B190)/SUMIFS($D$2:$D$741,$B$2:$B$741,B190)</f>
        <v>0.999418111828835</v>
      </c>
      <c r="P190" s="8" t="b">
        <f aca="false">O190-N190&lt;$S$2</f>
        <v>0</v>
      </c>
      <c r="Q190" s="2"/>
      <c r="R190" s="2"/>
      <c r="S190" s="2"/>
    </row>
    <row r="191" customFormat="false" ht="14.25" hidden="false" customHeight="false" outlineLevel="0" collapsed="false">
      <c r="A191" s="4" t="s">
        <v>234</v>
      </c>
      <c r="B191" s="4" t="s">
        <v>166</v>
      </c>
      <c r="C191" s="5" t="n">
        <v>2</v>
      </c>
      <c r="D191" s="5" t="n">
        <v>33</v>
      </c>
      <c r="E191" s="5" t="n">
        <v>3</v>
      </c>
      <c r="F191" s="5" t="n">
        <v>2</v>
      </c>
      <c r="G191" s="5" t="n">
        <v>2</v>
      </c>
      <c r="H191" s="5" t="n">
        <v>31</v>
      </c>
      <c r="I191" s="6" t="n">
        <v>33</v>
      </c>
      <c r="J191" s="6" t="n">
        <v>42.8</v>
      </c>
      <c r="K191" s="6" t="n">
        <v>99</v>
      </c>
      <c r="L191" s="6" t="n">
        <v>99</v>
      </c>
      <c r="M191" s="4" t="str">
        <f aca="false">IF(AND(K191="",L191=""),"No closed tickets",IF(K191="","MISSING in catalog",IF(L191="","No valid closed tickets",IF(AND(ABS(K191-L191)&gt;=$S$3,ABS(K191-L191)&gt;=$S$4*MAX(L191,1)),"FAR OFF","OK"))))</f>
        <v>OK</v>
      </c>
      <c r="N191" s="7" t="n">
        <f aca="false">D191/SUMIFS($D$2:$D$741,$B$2:$B$741,B191)</f>
        <v>9.23187963866983E-005</v>
      </c>
      <c r="O191" s="7" t="n">
        <f aca="false">SUMIFS($D$2:D191,$B$2:B191,B191)/SUMIFS($D$2:$D$741,$B$2:$B$741,B191)</f>
        <v>0.999510430625222</v>
      </c>
      <c r="P191" s="8" t="b">
        <f aca="false">O191-N191&lt;$S$2</f>
        <v>0</v>
      </c>
      <c r="Q191" s="2"/>
      <c r="R191" s="2"/>
      <c r="S191" s="2"/>
    </row>
    <row r="192" customFormat="false" ht="14.25" hidden="false" customHeight="false" outlineLevel="0" collapsed="false">
      <c r="A192" s="4" t="s">
        <v>235</v>
      </c>
      <c r="B192" s="4" t="s">
        <v>166</v>
      </c>
      <c r="C192" s="5" t="n">
        <v>2</v>
      </c>
      <c r="D192" s="5" t="n">
        <v>30</v>
      </c>
      <c r="E192" s="5" t="n">
        <v>0</v>
      </c>
      <c r="F192" s="5" t="n">
        <v>0</v>
      </c>
      <c r="G192" s="5" t="n">
        <v>0</v>
      </c>
      <c r="H192" s="5" t="n">
        <v>30</v>
      </c>
      <c r="I192" s="6" t="n">
        <v>0</v>
      </c>
      <c r="J192" s="6" t="n">
        <v>0</v>
      </c>
      <c r="K192" s="6" t="n">
        <v>0</v>
      </c>
      <c r="L192" s="6" t="n">
        <v>0</v>
      </c>
      <c r="M192" s="4" t="str">
        <f aca="false">IF(AND(K192="",L192=""),"No closed tickets",IF(K192="","MISSING in catalog",IF(L192="","No valid closed tickets",IF(AND(ABS(K192-L192)&gt;=$S$3,ABS(K192-L192)&gt;=$S$4*MAX(L192,1)),"FAR OFF","OK"))))</f>
        <v>OK</v>
      </c>
      <c r="N192" s="7" t="n">
        <f aca="false">D192/SUMIFS($D$2:$D$741,$B$2:$B$741,B192)</f>
        <v>8.39261785333621E-005</v>
      </c>
      <c r="O192" s="7" t="n">
        <f aca="false">SUMIFS($D$2:D192,$B$2:B192,B192)/SUMIFS($D$2:$D$741,$B$2:$B$741,B192)</f>
        <v>0.999594356803755</v>
      </c>
      <c r="P192" s="8" t="b">
        <f aca="false">O192-N192&lt;$S$2</f>
        <v>0</v>
      </c>
      <c r="Q192" s="2"/>
      <c r="R192" s="2"/>
      <c r="S192" s="2"/>
    </row>
    <row r="193" customFormat="false" ht="14.25" hidden="false" customHeight="false" outlineLevel="0" collapsed="false">
      <c r="A193" s="4" t="s">
        <v>236</v>
      </c>
      <c r="B193" s="4" t="s">
        <v>166</v>
      </c>
      <c r="C193" s="5" t="n">
        <v>2</v>
      </c>
      <c r="D193" s="5" t="n">
        <v>27</v>
      </c>
      <c r="E193" s="5" t="n">
        <v>0</v>
      </c>
      <c r="F193" s="5" t="n">
        <v>0</v>
      </c>
      <c r="G193" s="5" t="n">
        <v>0</v>
      </c>
      <c r="H193" s="5" t="n">
        <v>27</v>
      </c>
      <c r="I193" s="6" t="n">
        <v>39</v>
      </c>
      <c r="J193" s="6" t="n">
        <v>48.6</v>
      </c>
      <c r="K193" s="6" t="n">
        <v>99</v>
      </c>
      <c r="L193" s="6" t="n">
        <v>99.4</v>
      </c>
      <c r="M193" s="4" t="str">
        <f aca="false">IF(AND(K193="",L193=""),"No closed tickets",IF(K193="","MISSING in catalog",IF(L193="","No valid closed tickets",IF(AND(ABS(K193-L193)&gt;=$S$3,ABS(K193-L193)&gt;=$S$4*MAX(L193,1)),"FAR OFF","OK"))))</f>
        <v>OK</v>
      </c>
      <c r="N193" s="7" t="n">
        <f aca="false">D193/SUMIFS($D$2:$D$741,$B$2:$B$741,B193)</f>
        <v>7.55335606800259E-005</v>
      </c>
      <c r="O193" s="7" t="n">
        <f aca="false">SUMIFS($D$2:D193,$B$2:B193,B193)/SUMIFS($D$2:$D$741,$B$2:$B$741,B193)</f>
        <v>0.999669890364435</v>
      </c>
      <c r="P193" s="8" t="b">
        <f aca="false">O193-N193&lt;$S$2</f>
        <v>0</v>
      </c>
      <c r="Q193" s="2"/>
      <c r="R193" s="2"/>
      <c r="S193" s="2"/>
    </row>
    <row r="194" customFormat="false" ht="14.25" hidden="false" customHeight="false" outlineLevel="0" collapsed="false">
      <c r="A194" s="4" t="s">
        <v>237</v>
      </c>
      <c r="B194" s="4" t="s">
        <v>166</v>
      </c>
      <c r="C194" s="5" t="n">
        <v>2</v>
      </c>
      <c r="D194" s="5" t="n">
        <v>26</v>
      </c>
      <c r="E194" s="5" t="n">
        <v>0</v>
      </c>
      <c r="F194" s="5" t="n">
        <v>0</v>
      </c>
      <c r="G194" s="5" t="n">
        <v>0</v>
      </c>
      <c r="H194" s="5" t="n">
        <v>26</v>
      </c>
      <c r="I194" s="6" t="n">
        <v>1.5</v>
      </c>
      <c r="J194" s="6" t="n">
        <v>2.8</v>
      </c>
      <c r="K194" s="6" t="n">
        <v>6</v>
      </c>
      <c r="L194" s="6" t="n">
        <v>6</v>
      </c>
      <c r="M194" s="4" t="str">
        <f aca="false">IF(AND(K194="",L194=""),"No closed tickets",IF(K194="","MISSING in catalog",IF(L194="","No valid closed tickets",IF(AND(ABS(K194-L194)&gt;=$S$3,ABS(K194-L194)&gt;=$S$4*MAX(L194,1)),"FAR OFF","OK"))))</f>
        <v>OK</v>
      </c>
      <c r="N194" s="7" t="n">
        <f aca="false">D194/SUMIFS($D$2:$D$741,$B$2:$B$741,B194)</f>
        <v>7.27360213955805E-005</v>
      </c>
      <c r="O194" s="7" t="n">
        <f aca="false">SUMIFS($D$2:D194,$B$2:B194,B194)/SUMIFS($D$2:$D$741,$B$2:$B$741,B194)</f>
        <v>0.999742626385831</v>
      </c>
      <c r="P194" s="8" t="b">
        <f aca="false">O194-N194&lt;$S$2</f>
        <v>0</v>
      </c>
      <c r="Q194" s="2"/>
      <c r="R194" s="2"/>
      <c r="S194" s="2"/>
    </row>
    <row r="195" customFormat="false" ht="14.25" hidden="false" customHeight="false" outlineLevel="0" collapsed="false">
      <c r="A195" s="4" t="s">
        <v>238</v>
      </c>
      <c r="B195" s="4" t="s">
        <v>166</v>
      </c>
      <c r="C195" s="5" t="n">
        <v>1</v>
      </c>
      <c r="D195" s="5" t="n">
        <v>22</v>
      </c>
      <c r="E195" s="5" t="n">
        <v>0</v>
      </c>
      <c r="F195" s="5" t="n">
        <v>0</v>
      </c>
      <c r="G195" s="5" t="n">
        <v>0</v>
      </c>
      <c r="H195" s="5" t="n">
        <v>22</v>
      </c>
      <c r="I195" s="6" t="n">
        <v>7.5</v>
      </c>
      <c r="J195" s="6" t="n">
        <v>38.7</v>
      </c>
      <c r="K195" s="6" t="n">
        <v>72</v>
      </c>
      <c r="L195" s="6" t="n">
        <v>72.4</v>
      </c>
      <c r="M195" s="4" t="str">
        <f aca="false">IF(AND(K195="",L195=""),"No closed tickets",IF(K195="","MISSING in catalog",IF(L195="","No valid closed tickets",IF(AND(ABS(K195-L195)&gt;=$S$3,ABS(K195-L195)&gt;=$S$4*MAX(L195,1)),"FAR OFF","OK"))))</f>
        <v>OK</v>
      </c>
      <c r="N195" s="7" t="n">
        <f aca="false">D195/SUMIFS($D$2:$D$741,$B$2:$B$741,B195)</f>
        <v>6.15458642577988E-005</v>
      </c>
      <c r="O195" s="7" t="n">
        <f aca="false">SUMIFS($D$2:D195,$B$2:B195,B195)/SUMIFS($D$2:$D$741,$B$2:$B$741,B195)</f>
        <v>0.999804172250089</v>
      </c>
      <c r="P195" s="8" t="b">
        <f aca="false">O195-N195&lt;$S$2</f>
        <v>0</v>
      </c>
      <c r="Q195" s="2"/>
      <c r="R195" s="2"/>
      <c r="S195" s="2"/>
    </row>
    <row r="196" customFormat="false" ht="14.25" hidden="false" customHeight="false" outlineLevel="0" collapsed="false">
      <c r="A196" s="4" t="s">
        <v>239</v>
      </c>
      <c r="B196" s="4" t="s">
        <v>166</v>
      </c>
      <c r="C196" s="5" t="n">
        <v>1</v>
      </c>
      <c r="D196" s="5" t="n">
        <v>22</v>
      </c>
      <c r="E196" s="5" t="n">
        <v>0</v>
      </c>
      <c r="F196" s="5" t="n">
        <v>0</v>
      </c>
      <c r="G196" s="5" t="n">
        <v>0</v>
      </c>
      <c r="H196" s="5" t="n">
        <v>22</v>
      </c>
      <c r="I196" s="6" t="n">
        <v>2.5</v>
      </c>
      <c r="J196" s="6" t="n">
        <v>3.5</v>
      </c>
      <c r="K196" s="6" t="n">
        <v>8</v>
      </c>
      <c r="L196" s="6" t="n">
        <v>7.9</v>
      </c>
      <c r="M196" s="4" t="str">
        <f aca="false">IF(AND(K196="",L196=""),"No closed tickets",IF(K196="","MISSING in catalog",IF(L196="","No valid closed tickets",IF(AND(ABS(K196-L196)&gt;=$S$3,ABS(K196-L196)&gt;=$S$4*MAX(L196,1)),"FAR OFF","OK"))))</f>
        <v>OK</v>
      </c>
      <c r="N196" s="7" t="n">
        <f aca="false">D196/SUMIFS($D$2:$D$741,$B$2:$B$741,B196)</f>
        <v>6.15458642577988E-005</v>
      </c>
      <c r="O196" s="7" t="n">
        <f aca="false">SUMIFS($D$2:D196,$B$2:B196,B196)/SUMIFS($D$2:$D$741,$B$2:$B$741,B196)</f>
        <v>0.999865718114347</v>
      </c>
      <c r="P196" s="8" t="b">
        <f aca="false">O196-N196&lt;$S$2</f>
        <v>0</v>
      </c>
      <c r="Q196" s="2"/>
      <c r="R196" s="2"/>
      <c r="S196" s="2"/>
    </row>
    <row r="197" customFormat="false" ht="14.25" hidden="false" customHeight="false" outlineLevel="0" collapsed="false">
      <c r="A197" s="4" t="s">
        <v>240</v>
      </c>
      <c r="B197" s="4" t="s">
        <v>166</v>
      </c>
      <c r="C197" s="5" t="n">
        <v>1</v>
      </c>
      <c r="D197" s="5" t="n">
        <v>17</v>
      </c>
      <c r="E197" s="5" t="n">
        <v>17</v>
      </c>
      <c r="F197" s="5" t="n">
        <v>7</v>
      </c>
      <c r="G197" s="5" t="n">
        <v>0</v>
      </c>
      <c r="H197" s="5" t="n">
        <v>10</v>
      </c>
      <c r="I197" s="6" t="n">
        <v>11</v>
      </c>
      <c r="J197" s="6" t="n">
        <v>13.7</v>
      </c>
      <c r="K197" s="6" t="n">
        <v>35</v>
      </c>
      <c r="L197" s="6" t="n">
        <v>35</v>
      </c>
      <c r="M197" s="4" t="str">
        <f aca="false">IF(AND(K197="",L197=""),"No closed tickets",IF(K197="","MISSING in catalog",IF(L197="","No valid closed tickets",IF(AND(ABS(K197-L197)&gt;=$S$3,ABS(K197-L197)&gt;=$S$4*MAX(L197,1)),"FAR OFF","OK"))))</f>
        <v>OK</v>
      </c>
      <c r="N197" s="7" t="n">
        <f aca="false">D197/SUMIFS($D$2:$D$741,$B$2:$B$741,B197)</f>
        <v>4.75581678355718E-005</v>
      </c>
      <c r="O197" s="7" t="n">
        <f aca="false">SUMIFS($D$2:D197,$B$2:B197,B197)/SUMIFS($D$2:$D$741,$B$2:$B$741,B197)</f>
        <v>0.999913276282182</v>
      </c>
      <c r="P197" s="8" t="b">
        <f aca="false">O197-N197&lt;$S$2</f>
        <v>0</v>
      </c>
      <c r="Q197" s="2"/>
      <c r="R197" s="2"/>
      <c r="S197" s="2"/>
    </row>
    <row r="198" customFormat="false" ht="14.25" hidden="false" customHeight="false" outlineLevel="0" collapsed="false">
      <c r="A198" s="4" t="s">
        <v>241</v>
      </c>
      <c r="B198" s="4" t="s">
        <v>166</v>
      </c>
      <c r="C198" s="5" t="n">
        <v>1</v>
      </c>
      <c r="D198" s="5" t="n">
        <v>14</v>
      </c>
      <c r="E198" s="5" t="n">
        <v>0</v>
      </c>
      <c r="F198" s="5" t="n">
        <v>0</v>
      </c>
      <c r="G198" s="5" t="n">
        <v>0</v>
      </c>
      <c r="H198" s="5" t="n">
        <v>14</v>
      </c>
      <c r="I198" s="6" t="n">
        <v>2</v>
      </c>
      <c r="J198" s="6" t="n">
        <v>2.1</v>
      </c>
      <c r="K198" s="6" t="n">
        <v>3</v>
      </c>
      <c r="L198" s="6" t="n">
        <v>3</v>
      </c>
      <c r="M198" s="4" t="str">
        <f aca="false">IF(AND(K198="",L198=""),"No closed tickets",IF(K198="","MISSING in catalog",IF(L198="","No valid closed tickets",IF(AND(ABS(K198-L198)&gt;=$S$3,ABS(K198-L198)&gt;=$S$4*MAX(L198,1)),"FAR OFF","OK"))))</f>
        <v>OK</v>
      </c>
      <c r="N198" s="7" t="n">
        <f aca="false">D198/SUMIFS($D$2:$D$741,$B$2:$B$741,B198)</f>
        <v>3.91655499822356E-005</v>
      </c>
      <c r="O198" s="7" t="n">
        <f aca="false">SUMIFS($D$2:D198,$B$2:B198,B198)/SUMIFS($D$2:$D$741,$B$2:$B$741,B198)</f>
        <v>0.999952441832165</v>
      </c>
      <c r="P198" s="8" t="b">
        <f aca="false">O198-N198&lt;$S$2</f>
        <v>0</v>
      </c>
      <c r="Q198" s="2"/>
      <c r="R198" s="2"/>
      <c r="S198" s="2"/>
    </row>
    <row r="199" customFormat="false" ht="14.25" hidden="false" customHeight="false" outlineLevel="0" collapsed="false">
      <c r="A199" s="4" t="s">
        <v>242</v>
      </c>
      <c r="B199" s="4" t="s">
        <v>166</v>
      </c>
      <c r="C199" s="5" t="n">
        <v>1</v>
      </c>
      <c r="D199" s="5" t="n">
        <v>5</v>
      </c>
      <c r="E199" s="5" t="n">
        <v>0</v>
      </c>
      <c r="F199" s="5" t="n">
        <v>0</v>
      </c>
      <c r="G199" s="5" t="n">
        <v>0</v>
      </c>
      <c r="H199" s="5" t="n">
        <v>5</v>
      </c>
      <c r="I199" s="6" t="n">
        <v>2</v>
      </c>
      <c r="J199" s="6" t="n">
        <v>3.2</v>
      </c>
      <c r="K199" s="6" t="n">
        <v>7</v>
      </c>
      <c r="L199" s="6" t="n">
        <v>7</v>
      </c>
      <c r="M199" s="4" t="str">
        <f aca="false">IF(AND(K199="",L199=""),"No closed tickets",IF(K199="","MISSING in catalog",IF(L199="","No valid closed tickets",IF(AND(ABS(K199-L199)&gt;=$S$3,ABS(K199-L199)&gt;=$S$4*MAX(L199,1)),"FAR OFF","OK"))))</f>
        <v>OK</v>
      </c>
      <c r="N199" s="7" t="n">
        <f aca="false">D199/SUMIFS($D$2:$D$741,$B$2:$B$741,B199)</f>
        <v>1.3987696422227E-005</v>
      </c>
      <c r="O199" s="7" t="n">
        <f aca="false">SUMIFS($D$2:D199,$B$2:B199,B199)/SUMIFS($D$2:$D$741,$B$2:$B$741,B199)</f>
        <v>0.999966429528587</v>
      </c>
      <c r="P199" s="8" t="b">
        <f aca="false">O199-N199&lt;$S$2</f>
        <v>0</v>
      </c>
      <c r="Q199" s="2"/>
      <c r="R199" s="2"/>
      <c r="S199" s="2"/>
    </row>
    <row r="200" customFormat="false" ht="14.25" hidden="false" customHeight="false" outlineLevel="0" collapsed="false">
      <c r="A200" s="4" t="s">
        <v>243</v>
      </c>
      <c r="B200" s="4" t="s">
        <v>166</v>
      </c>
      <c r="C200" s="5" t="n">
        <v>1</v>
      </c>
      <c r="D200" s="5" t="n">
        <v>3</v>
      </c>
      <c r="E200" s="5" t="n">
        <v>0</v>
      </c>
      <c r="F200" s="5" t="n">
        <v>0</v>
      </c>
      <c r="G200" s="5" t="n">
        <v>0</v>
      </c>
      <c r="H200" s="5" t="n">
        <v>3</v>
      </c>
      <c r="I200" s="6" t="n">
        <v>4</v>
      </c>
      <c r="J200" s="6" t="n">
        <v>84</v>
      </c>
      <c r="K200" s="6" t="n">
        <v>196</v>
      </c>
      <c r="L200" s="6" t="n">
        <v>196</v>
      </c>
      <c r="M200" s="4" t="str">
        <f aca="false">IF(AND(K200="",L200=""),"No closed tickets",IF(K200="","MISSING in catalog",IF(L200="","No valid closed tickets",IF(AND(ABS(K200-L200)&gt;=$S$3,ABS(K200-L200)&gt;=$S$4*MAX(L200,1)),"FAR OFF","OK"))))</f>
        <v>OK</v>
      </c>
      <c r="N200" s="7" t="n">
        <f aca="false">D200/SUMIFS($D$2:$D$741,$B$2:$B$741,B200)</f>
        <v>8.39261785333621E-006</v>
      </c>
      <c r="O200" s="7" t="n">
        <f aca="false">SUMIFS($D$2:D200,$B$2:B200,B200)/SUMIFS($D$2:$D$741,$B$2:$B$741,B200)</f>
        <v>0.99997482214644</v>
      </c>
      <c r="P200" s="8" t="b">
        <f aca="false">O200-N200&lt;$S$2</f>
        <v>0</v>
      </c>
      <c r="Q200" s="2"/>
      <c r="R200" s="2"/>
      <c r="S200" s="2"/>
    </row>
    <row r="201" customFormat="false" ht="14.25" hidden="false" customHeight="false" outlineLevel="0" collapsed="false">
      <c r="A201" s="4" t="s">
        <v>244</v>
      </c>
      <c r="B201" s="4" t="s">
        <v>166</v>
      </c>
      <c r="C201" s="5" t="n">
        <v>2</v>
      </c>
      <c r="D201" s="5" t="n">
        <v>3</v>
      </c>
      <c r="E201" s="5" t="n">
        <v>0</v>
      </c>
      <c r="F201" s="5" t="n">
        <v>0</v>
      </c>
      <c r="G201" s="5" t="n">
        <v>0</v>
      </c>
      <c r="H201" s="5" t="n">
        <v>3</v>
      </c>
      <c r="I201" s="6" t="n">
        <v>1</v>
      </c>
      <c r="J201" s="6" t="n">
        <v>22.3</v>
      </c>
      <c r="K201" s="6" t="n">
        <v>53</v>
      </c>
      <c r="L201" s="6" t="n">
        <v>53</v>
      </c>
      <c r="M201" s="4" t="str">
        <f aca="false">IF(AND(K201="",L201=""),"No closed tickets",IF(K201="","MISSING in catalog",IF(L201="","No valid closed tickets",IF(AND(ABS(K201-L201)&gt;=$S$3,ABS(K201-L201)&gt;=$S$4*MAX(L201,1)),"FAR OFF","OK"))))</f>
        <v>OK</v>
      </c>
      <c r="N201" s="7" t="n">
        <f aca="false">D201/SUMIFS($D$2:$D$741,$B$2:$B$741,B201)</f>
        <v>8.39261785333621E-006</v>
      </c>
      <c r="O201" s="7" t="n">
        <f aca="false">SUMIFS($D$2:D201,$B$2:B201,B201)/SUMIFS($D$2:$D$741,$B$2:$B$741,B201)</f>
        <v>0.999983214764293</v>
      </c>
      <c r="P201" s="8" t="b">
        <f aca="false">O201-N201&lt;$S$2</f>
        <v>0</v>
      </c>
      <c r="Q201" s="2"/>
      <c r="R201" s="2"/>
      <c r="S201" s="2"/>
    </row>
    <row r="202" customFormat="false" ht="14.25" hidden="false" customHeight="false" outlineLevel="0" collapsed="false">
      <c r="A202" s="4" t="s">
        <v>245</v>
      </c>
      <c r="B202" s="4" t="s">
        <v>166</v>
      </c>
      <c r="C202" s="5" t="n">
        <v>1</v>
      </c>
      <c r="D202" s="5" t="n">
        <v>2</v>
      </c>
      <c r="E202" s="5" t="n">
        <v>2</v>
      </c>
      <c r="F202" s="5" t="n">
        <v>2</v>
      </c>
      <c r="G202" s="5" t="n">
        <v>0</v>
      </c>
      <c r="H202" s="5" t="n">
        <v>0</v>
      </c>
      <c r="I202" s="6"/>
      <c r="J202" s="6"/>
      <c r="K202" s="6"/>
      <c r="L202" s="6"/>
      <c r="M202" s="4" t="str">
        <f aca="false">IF(AND(K202="",L202=""),"No closed tickets",IF(K202="","MISSING in catalog",IF(L202="","No valid closed tickets",IF(AND(ABS(K202-L202)&gt;=$S$3,ABS(K202-L202)&gt;=$S$4*MAX(L202,1)),"FAR OFF","OK"))))</f>
        <v>No closed tickets</v>
      </c>
      <c r="N202" s="7" t="n">
        <f aca="false">D202/SUMIFS($D$2:$D$741,$B$2:$B$741,B202)</f>
        <v>5.5950785688908E-006</v>
      </c>
      <c r="O202" s="7" t="n">
        <f aca="false">SUMIFS($D$2:D202,$B$2:B202,B202)/SUMIFS($D$2:$D$741,$B$2:$B$741,B202)</f>
        <v>0.999988809842862</v>
      </c>
      <c r="P202" s="8" t="b">
        <f aca="false">O202-N202&lt;$S$2</f>
        <v>0</v>
      </c>
      <c r="Q202" s="2"/>
      <c r="R202" s="2"/>
      <c r="S202" s="2"/>
    </row>
    <row r="203" customFormat="false" ht="14.25" hidden="false" customHeight="false" outlineLevel="0" collapsed="false">
      <c r="A203" s="4" t="s">
        <v>246</v>
      </c>
      <c r="B203" s="4" t="s">
        <v>166</v>
      </c>
      <c r="C203" s="5" t="n">
        <v>1</v>
      </c>
      <c r="D203" s="5" t="n">
        <v>2</v>
      </c>
      <c r="E203" s="5" t="n">
        <v>0</v>
      </c>
      <c r="F203" s="5" t="n">
        <v>0</v>
      </c>
      <c r="G203" s="5" t="n">
        <v>0</v>
      </c>
      <c r="H203" s="5" t="n">
        <v>2</v>
      </c>
      <c r="I203" s="6" t="n">
        <v>178</v>
      </c>
      <c r="J203" s="6" t="n">
        <v>178</v>
      </c>
      <c r="K203" s="6" t="n">
        <v>316</v>
      </c>
      <c r="L203" s="6" t="n">
        <v>315.6</v>
      </c>
      <c r="M203" s="4" t="str">
        <f aca="false">IF(AND(K203="",L203=""),"No closed tickets",IF(K203="","MISSING in catalog",IF(L203="","No valid closed tickets",IF(AND(ABS(K203-L203)&gt;=$S$3,ABS(K203-L203)&gt;=$S$4*MAX(L203,1)),"FAR OFF","OK"))))</f>
        <v>OK</v>
      </c>
      <c r="N203" s="7" t="n">
        <f aca="false">D203/SUMIFS($D$2:$D$741,$B$2:$B$741,B203)</f>
        <v>5.5950785688908E-006</v>
      </c>
      <c r="O203" s="7" t="n">
        <f aca="false">SUMIFS($D$2:D203,$B$2:B203,B203)/SUMIFS($D$2:$D$741,$B$2:$B$741,B203)</f>
        <v>0.999994404921431</v>
      </c>
      <c r="P203" s="8" t="b">
        <f aca="false">O203-N203&lt;$S$2</f>
        <v>0</v>
      </c>
      <c r="Q203" s="2"/>
      <c r="R203" s="2"/>
      <c r="S203" s="2"/>
    </row>
    <row r="204" customFormat="false" ht="14.25" hidden="false" customHeight="false" outlineLevel="0" collapsed="false">
      <c r="A204" s="4" t="s">
        <v>247</v>
      </c>
      <c r="B204" s="4" t="s">
        <v>166</v>
      </c>
      <c r="C204" s="5" t="n">
        <v>1</v>
      </c>
      <c r="D204" s="5" t="n">
        <v>2</v>
      </c>
      <c r="E204" s="5" t="n">
        <v>0</v>
      </c>
      <c r="F204" s="5" t="n">
        <v>0</v>
      </c>
      <c r="G204" s="5" t="n">
        <v>0</v>
      </c>
      <c r="H204" s="5" t="n">
        <v>2</v>
      </c>
      <c r="I204" s="6" t="n">
        <v>0</v>
      </c>
      <c r="J204" s="6" t="n">
        <v>0</v>
      </c>
      <c r="K204" s="6" t="n">
        <v>0</v>
      </c>
      <c r="L204" s="6" t="n">
        <v>0</v>
      </c>
      <c r="M204" s="4" t="str">
        <f aca="false">IF(AND(K204="",L204=""),"No closed tickets",IF(K204="","MISSING in catalog",IF(L204="","No valid closed tickets",IF(AND(ABS(K204-L204)&gt;=$S$3,ABS(K204-L204)&gt;=$S$4*MAX(L204,1)),"FAR OFF","OK"))))</f>
        <v>OK</v>
      </c>
      <c r="N204" s="7" t="n">
        <f aca="false">D204/SUMIFS($D$2:$D$741,$B$2:$B$741,B204)</f>
        <v>5.5950785688908E-006</v>
      </c>
      <c r="O204" s="7" t="n">
        <f aca="false">SUMIFS($D$2:D204,$B$2:B204,B204)/SUMIFS($D$2:$D$741,$B$2:$B$741,B204)</f>
        <v>1</v>
      </c>
      <c r="P204" s="8" t="b">
        <f aca="false">O204-N204&lt;$S$2</f>
        <v>0</v>
      </c>
      <c r="Q204" s="2"/>
      <c r="R204" s="2"/>
      <c r="S204" s="2"/>
    </row>
    <row r="205" customFormat="false" ht="14.25" hidden="false" customHeight="false" outlineLevel="0" collapsed="false">
      <c r="A205" s="10" t="s">
        <v>248</v>
      </c>
      <c r="B205" s="10" t="s">
        <v>249</v>
      </c>
      <c r="C205" s="11" t="n">
        <v>2</v>
      </c>
      <c r="D205" s="11" t="n">
        <v>453</v>
      </c>
      <c r="E205" s="11" t="n">
        <v>128</v>
      </c>
      <c r="F205" s="11" t="n">
        <v>2</v>
      </c>
      <c r="G205" s="11" t="n">
        <v>0</v>
      </c>
      <c r="H205" s="11" t="n">
        <v>451</v>
      </c>
      <c r="I205" s="12" t="n">
        <v>3</v>
      </c>
      <c r="J205" s="12" t="n">
        <v>4.8</v>
      </c>
      <c r="K205" s="12" t="n">
        <v>9</v>
      </c>
      <c r="L205" s="12" t="n">
        <v>9</v>
      </c>
      <c r="M205" s="10" t="str">
        <f aca="false">IF(AND(K205="",L205=""),"No closed tickets",IF(K205="","MISSING in catalog",IF(L205="","No valid closed tickets",IF(AND(ABS(K205-L205)&gt;=$S$3,ABS(K205-L205)&gt;=$S$4*MAX(L205,1)),"FAR OFF","OK"))))</f>
        <v>OK</v>
      </c>
      <c r="N205" s="13" t="n">
        <f aca="false">D205/SUMIFS($D$2:$D$741,$B$2:$B$741,B205)</f>
        <v>0.318789584799437</v>
      </c>
      <c r="O205" s="13" t="n">
        <f aca="false">SUMIFS($D$2:D205,$B$2:B205,B205)/SUMIFS($D$2:$D$741,$B$2:$B$741,B205)</f>
        <v>0.318789584799437</v>
      </c>
      <c r="P205" s="14" t="b">
        <f aca="false">O205-N205&lt;$S$2</f>
        <v>1</v>
      </c>
      <c r="Q205" s="2"/>
      <c r="R205" s="2"/>
      <c r="S205" s="2"/>
    </row>
    <row r="206" customFormat="false" ht="14.25" hidden="false" customHeight="false" outlineLevel="0" collapsed="false">
      <c r="A206" s="4" t="s">
        <v>250</v>
      </c>
      <c r="B206" s="4" t="s">
        <v>249</v>
      </c>
      <c r="C206" s="5" t="n">
        <v>3</v>
      </c>
      <c r="D206" s="5" t="n">
        <v>237</v>
      </c>
      <c r="E206" s="5" t="n">
        <v>144</v>
      </c>
      <c r="F206" s="5" t="n">
        <v>0</v>
      </c>
      <c r="G206" s="5" t="n">
        <v>0</v>
      </c>
      <c r="H206" s="5" t="n">
        <v>237</v>
      </c>
      <c r="I206" s="6" t="n">
        <v>0</v>
      </c>
      <c r="J206" s="6" t="n">
        <v>0.8</v>
      </c>
      <c r="K206" s="6" t="n">
        <v>2</v>
      </c>
      <c r="L206" s="6" t="n">
        <v>2</v>
      </c>
      <c r="M206" s="4" t="str">
        <f aca="false">IF(AND(K206="",L206=""),"No closed tickets",IF(K206="","MISSING in catalog",IF(L206="","No valid closed tickets",IF(AND(ABS(K206-L206)&gt;=$S$3,ABS(K206-L206)&gt;=$S$4*MAX(L206,1)),"FAR OFF","OK"))))</f>
        <v>OK</v>
      </c>
      <c r="N206" s="7" t="n">
        <f aca="false">D206/SUMIFS($D$2:$D$741,$B$2:$B$741,B206)</f>
        <v>0.166783954961295</v>
      </c>
      <c r="O206" s="7" t="n">
        <f aca="false">SUMIFS($D$2:D206,$B$2:B206,B206)/SUMIFS($D$2:$D$741,$B$2:$B$741,B206)</f>
        <v>0.485573539760732</v>
      </c>
      <c r="P206" s="8" t="b">
        <f aca="false">O206-N206&lt;$S$2</f>
        <v>1</v>
      </c>
      <c r="Q206" s="2"/>
      <c r="R206" s="2"/>
      <c r="S206" s="2"/>
    </row>
    <row r="207" customFormat="false" ht="14.25" hidden="false" customHeight="false" outlineLevel="0" collapsed="false">
      <c r="A207" s="4" t="s">
        <v>251</v>
      </c>
      <c r="B207" s="4" t="s">
        <v>249</v>
      </c>
      <c r="C207" s="5" t="n">
        <v>1</v>
      </c>
      <c r="D207" s="5" t="n">
        <v>230</v>
      </c>
      <c r="E207" s="5" t="n">
        <v>110</v>
      </c>
      <c r="F207" s="5" t="n">
        <v>3</v>
      </c>
      <c r="G207" s="5" t="n">
        <v>1</v>
      </c>
      <c r="H207" s="5" t="n">
        <v>227</v>
      </c>
      <c r="I207" s="6" t="n">
        <v>2</v>
      </c>
      <c r="J207" s="6" t="n">
        <v>5</v>
      </c>
      <c r="K207" s="6" t="n">
        <v>12</v>
      </c>
      <c r="L207" s="6" t="n">
        <v>12.4</v>
      </c>
      <c r="M207" s="4" t="str">
        <f aca="false">IF(AND(K207="",L207=""),"No closed tickets",IF(K207="","MISSING in catalog",IF(L207="","No valid closed tickets",IF(AND(ABS(K207-L207)&gt;=$S$3,ABS(K207-L207)&gt;=$S$4*MAX(L207,1)),"FAR OFF","OK"))))</f>
        <v>OK</v>
      </c>
      <c r="N207" s="7" t="n">
        <f aca="false">D207/SUMIFS($D$2:$D$741,$B$2:$B$741,B207)</f>
        <v>0.161857846586911</v>
      </c>
      <c r="O207" s="7" t="n">
        <f aca="false">SUMIFS($D$2:D207,$B$2:B207,B207)/SUMIFS($D$2:$D$741,$B$2:$B$741,B207)</f>
        <v>0.647431386347643</v>
      </c>
      <c r="P207" s="8" t="b">
        <f aca="false">O207-N207&lt;$S$2</f>
        <v>1</v>
      </c>
      <c r="Q207" s="2"/>
      <c r="R207" s="2"/>
      <c r="S207" s="2"/>
    </row>
    <row r="208" customFormat="false" ht="14.25" hidden="false" customHeight="false" outlineLevel="0" collapsed="false">
      <c r="A208" s="4" t="s">
        <v>252</v>
      </c>
      <c r="B208" s="4" t="s">
        <v>249</v>
      </c>
      <c r="C208" s="5" t="n">
        <v>2</v>
      </c>
      <c r="D208" s="5" t="n">
        <v>221</v>
      </c>
      <c r="E208" s="5" t="n">
        <v>0</v>
      </c>
      <c r="F208" s="5" t="n">
        <v>0</v>
      </c>
      <c r="G208" s="5" t="n">
        <v>0</v>
      </c>
      <c r="H208" s="5" t="n">
        <v>221</v>
      </c>
      <c r="I208" s="6" t="n">
        <v>3</v>
      </c>
      <c r="J208" s="6" t="n">
        <v>7</v>
      </c>
      <c r="K208" s="6" t="n">
        <v>18</v>
      </c>
      <c r="L208" s="6" t="n">
        <v>18</v>
      </c>
      <c r="M208" s="4" t="str">
        <f aca="false">IF(AND(K208="",L208=""),"No closed tickets",IF(K208="","MISSING in catalog",IF(L208="","No valid closed tickets",IF(AND(ABS(K208-L208)&gt;=$S$3,ABS(K208-L208)&gt;=$S$4*MAX(L208,1)),"FAR OFF","OK"))))</f>
        <v>OK</v>
      </c>
      <c r="N208" s="7" t="n">
        <f aca="false">D208/SUMIFS($D$2:$D$741,$B$2:$B$741,B208)</f>
        <v>0.155524278676988</v>
      </c>
      <c r="O208" s="7" t="n">
        <f aca="false">SUMIFS($D$2:D208,$B$2:B208,B208)/SUMIFS($D$2:$D$741,$B$2:$B$741,B208)</f>
        <v>0.802955665024631</v>
      </c>
      <c r="P208" s="8" t="b">
        <f aca="false">O208-N208&lt;$S$2</f>
        <v>1</v>
      </c>
      <c r="Q208" s="2"/>
      <c r="R208" s="2"/>
      <c r="S208" s="2"/>
    </row>
    <row r="209" customFormat="false" ht="14.25" hidden="false" customHeight="false" outlineLevel="0" collapsed="false">
      <c r="A209" s="4" t="s">
        <v>253</v>
      </c>
      <c r="B209" s="4" t="s">
        <v>249</v>
      </c>
      <c r="C209" s="5" t="n">
        <v>2</v>
      </c>
      <c r="D209" s="5" t="n">
        <v>137</v>
      </c>
      <c r="E209" s="5" t="n">
        <v>19</v>
      </c>
      <c r="F209" s="5" t="n">
        <v>0</v>
      </c>
      <c r="G209" s="5" t="n">
        <v>0</v>
      </c>
      <c r="H209" s="5" t="n">
        <v>137</v>
      </c>
      <c r="I209" s="6" t="n">
        <v>2</v>
      </c>
      <c r="J209" s="6" t="n">
        <v>5.9</v>
      </c>
      <c r="K209" s="6" t="n">
        <v>15</v>
      </c>
      <c r="L209" s="6" t="n">
        <v>15</v>
      </c>
      <c r="M209" s="4" t="str">
        <f aca="false">IF(AND(K209="",L209=""),"No closed tickets",IF(K209="","MISSING in catalog",IF(L209="","No valid closed tickets",IF(AND(ABS(K209-L209)&gt;=$S$3,ABS(K209-L209)&gt;=$S$4*MAX(L209,1)),"FAR OFF","OK"))))</f>
        <v>OK</v>
      </c>
      <c r="N209" s="7" t="n">
        <f aca="false">D209/SUMIFS($D$2:$D$741,$B$2:$B$741,B209)</f>
        <v>0.0964109781843772</v>
      </c>
      <c r="O209" s="7" t="n">
        <f aca="false">SUMIFS($D$2:D209,$B$2:B209,B209)/SUMIFS($D$2:$D$741,$B$2:$B$741,B209)</f>
        <v>0.899366643209008</v>
      </c>
      <c r="P209" s="8" t="b">
        <f aca="false">O209-N209&lt;$S$2</f>
        <v>1</v>
      </c>
      <c r="Q209" s="2"/>
      <c r="R209" s="2"/>
      <c r="S209" s="2"/>
    </row>
    <row r="210" customFormat="false" ht="14.25" hidden="false" customHeight="false" outlineLevel="0" collapsed="false">
      <c r="A210" s="4" t="s">
        <v>254</v>
      </c>
      <c r="B210" s="4" t="s">
        <v>249</v>
      </c>
      <c r="C210" s="5" t="n">
        <v>1</v>
      </c>
      <c r="D210" s="5" t="n">
        <v>79</v>
      </c>
      <c r="E210" s="5" t="n">
        <v>30</v>
      </c>
      <c r="F210" s="5" t="n">
        <v>1</v>
      </c>
      <c r="G210" s="5" t="n">
        <v>1</v>
      </c>
      <c r="H210" s="5" t="n">
        <v>78</v>
      </c>
      <c r="I210" s="6" t="n">
        <v>2</v>
      </c>
      <c r="J210" s="6" t="n">
        <v>5.6</v>
      </c>
      <c r="K210" s="6" t="n">
        <v>15</v>
      </c>
      <c r="L210" s="6" t="n">
        <v>14.6</v>
      </c>
      <c r="M210" s="4" t="str">
        <f aca="false">IF(AND(K210="",L210=""),"No closed tickets",IF(K210="","MISSING in catalog",IF(L210="","No valid closed tickets",IF(AND(ABS(K210-L210)&gt;=$S$3,ABS(K210-L210)&gt;=$S$4*MAX(L210,1)),"FAR OFF","OK"))))</f>
        <v>OK</v>
      </c>
      <c r="N210" s="7" t="n">
        <f aca="false">D210/SUMIFS($D$2:$D$741,$B$2:$B$741,B210)</f>
        <v>0.055594651653765</v>
      </c>
      <c r="O210" s="7" t="n">
        <f aca="false">SUMIFS($D$2:D210,$B$2:B210,B210)/SUMIFS($D$2:$D$741,$B$2:$B$741,B210)</f>
        <v>0.954961294862773</v>
      </c>
      <c r="P210" s="8" t="b">
        <f aca="false">O210-N210&lt;$S$2</f>
        <v>1</v>
      </c>
      <c r="Q210" s="2"/>
      <c r="R210" s="2"/>
      <c r="S210" s="2"/>
    </row>
    <row r="211" customFormat="false" ht="14.25" hidden="false" customHeight="false" outlineLevel="0" collapsed="false">
      <c r="A211" s="4" t="s">
        <v>255</v>
      </c>
      <c r="B211" s="4" t="s">
        <v>249</v>
      </c>
      <c r="C211" s="5" t="n">
        <v>1</v>
      </c>
      <c r="D211" s="5" t="n">
        <v>52</v>
      </c>
      <c r="E211" s="5" t="n">
        <v>1</v>
      </c>
      <c r="F211" s="5" t="n">
        <v>0</v>
      </c>
      <c r="G211" s="5" t="n">
        <v>0</v>
      </c>
      <c r="H211" s="5" t="n">
        <v>52</v>
      </c>
      <c r="I211" s="6" t="n">
        <v>5</v>
      </c>
      <c r="J211" s="6" t="n">
        <v>8.6</v>
      </c>
      <c r="K211" s="6" t="n">
        <v>20</v>
      </c>
      <c r="L211" s="6" t="n">
        <v>20</v>
      </c>
      <c r="M211" s="4" t="str">
        <f aca="false">IF(AND(K211="",L211=""),"No closed tickets",IF(K211="","MISSING in catalog",IF(L211="","No valid closed tickets",IF(AND(ABS(K211-L211)&gt;=$S$3,ABS(K211-L211)&gt;=$S$4*MAX(L211,1)),"FAR OFF","OK"))))</f>
        <v>OK</v>
      </c>
      <c r="N211" s="7" t="n">
        <f aca="false">D211/SUMIFS($D$2:$D$741,$B$2:$B$741,B211)</f>
        <v>0.0365939479239972</v>
      </c>
      <c r="O211" s="7" t="n">
        <f aca="false">SUMIFS($D$2:D211,$B$2:B211,B211)/SUMIFS($D$2:$D$741,$B$2:$B$741,B211)</f>
        <v>0.99155524278677</v>
      </c>
      <c r="P211" s="8" t="b">
        <f aca="false">O211-N211&lt;$S$2</f>
        <v>0</v>
      </c>
      <c r="Q211" s="2"/>
      <c r="R211" s="2"/>
      <c r="S211" s="2"/>
    </row>
    <row r="212" customFormat="false" ht="14.25" hidden="false" customHeight="false" outlineLevel="0" collapsed="false">
      <c r="A212" s="4" t="s">
        <v>256</v>
      </c>
      <c r="B212" s="4" t="s">
        <v>249</v>
      </c>
      <c r="C212" s="5" t="n">
        <v>1</v>
      </c>
      <c r="D212" s="5" t="n">
        <v>12</v>
      </c>
      <c r="E212" s="5" t="n">
        <v>0</v>
      </c>
      <c r="F212" s="5" t="n">
        <v>0</v>
      </c>
      <c r="G212" s="5" t="n">
        <v>0</v>
      </c>
      <c r="H212" s="5" t="n">
        <v>12</v>
      </c>
      <c r="I212" s="6" t="n">
        <v>1</v>
      </c>
      <c r="J212" s="6" t="n">
        <v>3.2</v>
      </c>
      <c r="K212" s="6" t="n">
        <v>8</v>
      </c>
      <c r="L212" s="6" t="n">
        <v>7.7</v>
      </c>
      <c r="M212" s="4" t="str">
        <f aca="false">IF(AND(K212="",L212=""),"No closed tickets",IF(K212="","MISSING in catalog",IF(L212="","No valid closed tickets",IF(AND(ABS(K212-L212)&gt;=$S$3,ABS(K212-L212)&gt;=$S$4*MAX(L212,1)),"FAR OFF","OK"))))</f>
        <v>OK</v>
      </c>
      <c r="N212" s="7" t="n">
        <f aca="false">D212/SUMIFS($D$2:$D$741,$B$2:$B$741,B212)</f>
        <v>0.00844475721323012</v>
      </c>
      <c r="O212" s="7" t="n">
        <f aca="false">SUMIFS($D$2:D212,$B$2:B212,B212)/SUMIFS($D$2:$D$741,$B$2:$B$741,B212)</f>
        <v>1</v>
      </c>
      <c r="P212" s="8" t="b">
        <f aca="false">O212-N212&lt;$S$2</f>
        <v>0</v>
      </c>
      <c r="Q212" s="2"/>
      <c r="R212" s="2"/>
      <c r="S212" s="2"/>
    </row>
    <row r="213" customFormat="false" ht="14.25" hidden="false" customHeight="false" outlineLevel="0" collapsed="false">
      <c r="A213" s="10" t="s">
        <v>257</v>
      </c>
      <c r="B213" s="10" t="s">
        <v>258</v>
      </c>
      <c r="C213" s="11" t="n">
        <v>3</v>
      </c>
      <c r="D213" s="11" t="n">
        <v>23846</v>
      </c>
      <c r="E213" s="11" t="n">
        <v>5364</v>
      </c>
      <c r="F213" s="11" t="n">
        <v>134</v>
      </c>
      <c r="G213" s="11" t="n">
        <v>3</v>
      </c>
      <c r="H213" s="11" t="n">
        <v>23712</v>
      </c>
      <c r="I213" s="12" t="n">
        <v>11</v>
      </c>
      <c r="J213" s="12" t="n">
        <v>18.5</v>
      </c>
      <c r="K213" s="12" t="n">
        <v>45</v>
      </c>
      <c r="L213" s="12" t="n">
        <v>45</v>
      </c>
      <c r="M213" s="10" t="str">
        <f aca="false">IF(AND(K213="",L213=""),"No closed tickets",IF(K213="","MISSING in catalog",IF(L213="","No valid closed tickets",IF(AND(ABS(K213-L213)&gt;=$S$3,ABS(K213-L213)&gt;=$S$4*MAX(L213,1)),"FAR OFF","OK"))))</f>
        <v>OK</v>
      </c>
      <c r="N213" s="13" t="n">
        <f aca="false">D213/SUMIFS($D$2:$D$741,$B$2:$B$741,B213)</f>
        <v>0.303693326541009</v>
      </c>
      <c r="O213" s="13" t="n">
        <f aca="false">SUMIFS($D$2:D213,$B$2:B213,B213)/SUMIFS($D$2:$D$741,$B$2:$B$741,B213)</f>
        <v>0.303693326541009</v>
      </c>
      <c r="P213" s="14" t="b">
        <f aca="false">O213-N213&lt;$S$2</f>
        <v>1</v>
      </c>
      <c r="Q213" s="2"/>
      <c r="R213" s="2"/>
      <c r="S213" s="2"/>
    </row>
    <row r="214" customFormat="false" ht="14.25" hidden="false" customHeight="false" outlineLevel="0" collapsed="false">
      <c r="A214" s="4" t="s">
        <v>259</v>
      </c>
      <c r="B214" s="4" t="s">
        <v>258</v>
      </c>
      <c r="C214" s="5" t="n">
        <v>3</v>
      </c>
      <c r="D214" s="5" t="n">
        <v>7596</v>
      </c>
      <c r="E214" s="5" t="n">
        <v>1752</v>
      </c>
      <c r="F214" s="5" t="n">
        <v>108</v>
      </c>
      <c r="G214" s="5" t="n">
        <v>49</v>
      </c>
      <c r="H214" s="5" t="n">
        <v>7488</v>
      </c>
      <c r="I214" s="6" t="n">
        <v>9</v>
      </c>
      <c r="J214" s="6" t="n">
        <v>21.1</v>
      </c>
      <c r="K214" s="6" t="n">
        <v>49</v>
      </c>
      <c r="L214" s="6" t="n">
        <v>49</v>
      </c>
      <c r="M214" s="4" t="str">
        <f aca="false">IF(AND(K214="",L214=""),"No closed tickets",IF(K214="","MISSING in catalog",IF(L214="","No valid closed tickets",IF(AND(ABS(K214-L214)&gt;=$S$3,ABS(K214-L214)&gt;=$S$4*MAX(L214,1)),"FAR OFF","OK"))))</f>
        <v>OK</v>
      </c>
      <c r="N214" s="7" t="n">
        <f aca="false">D214/SUMIFS($D$2:$D$741,$B$2:$B$741,B214)</f>
        <v>0.0967396841569027</v>
      </c>
      <c r="O214" s="7" t="n">
        <f aca="false">SUMIFS($D$2:D214,$B$2:B214,B214)/SUMIFS($D$2:$D$741,$B$2:$B$741,B214)</f>
        <v>0.400433010697911</v>
      </c>
      <c r="P214" s="8" t="b">
        <f aca="false">O214-N214&lt;$S$2</f>
        <v>1</v>
      </c>
      <c r="Q214" s="2"/>
      <c r="R214" s="2"/>
      <c r="S214" s="2"/>
    </row>
    <row r="215" customFormat="false" ht="14.25" hidden="false" customHeight="false" outlineLevel="0" collapsed="false">
      <c r="A215" s="4" t="s">
        <v>260</v>
      </c>
      <c r="B215" s="4" t="s">
        <v>258</v>
      </c>
      <c r="C215" s="5" t="n">
        <v>3</v>
      </c>
      <c r="D215" s="5" t="n">
        <v>6657</v>
      </c>
      <c r="E215" s="5" t="n">
        <v>1388</v>
      </c>
      <c r="F215" s="5" t="n">
        <v>25</v>
      </c>
      <c r="G215" s="5" t="n">
        <v>17</v>
      </c>
      <c r="H215" s="5" t="n">
        <v>6632</v>
      </c>
      <c r="I215" s="6" t="n">
        <v>2</v>
      </c>
      <c r="J215" s="6" t="n">
        <v>12.7</v>
      </c>
      <c r="K215" s="6" t="n">
        <v>23</v>
      </c>
      <c r="L215" s="6" t="n">
        <v>23</v>
      </c>
      <c r="M215" s="4" t="str">
        <f aca="false">IF(AND(K215="",L215=""),"No closed tickets",IF(K215="","MISSING in catalog",IF(L215="","No valid closed tickets",IF(AND(ABS(K215-L215)&gt;=$S$3,ABS(K215-L215)&gt;=$S$4*MAX(L215,1)),"FAR OFF","OK"))))</f>
        <v>OK</v>
      </c>
      <c r="N215" s="7" t="n">
        <f aca="false">D215/SUMIFS($D$2:$D$741,$B$2:$B$741,B215)</f>
        <v>0.0847809475292919</v>
      </c>
      <c r="O215" s="7" t="n">
        <f aca="false">SUMIFS($D$2:D215,$B$2:B215,B215)/SUMIFS($D$2:$D$741,$B$2:$B$741,B215)</f>
        <v>0.485213958227203</v>
      </c>
      <c r="P215" s="8" t="b">
        <f aca="false">O215-N215&lt;$S$2</f>
        <v>1</v>
      </c>
      <c r="Q215" s="2"/>
      <c r="R215" s="2"/>
      <c r="S215" s="2"/>
    </row>
    <row r="216" customFormat="false" ht="14.25" hidden="false" customHeight="false" outlineLevel="0" collapsed="false">
      <c r="A216" s="4" t="s">
        <v>261</v>
      </c>
      <c r="B216" s="4" t="s">
        <v>258</v>
      </c>
      <c r="C216" s="5" t="n">
        <v>2</v>
      </c>
      <c r="D216" s="5" t="n">
        <v>5707</v>
      </c>
      <c r="E216" s="5" t="n">
        <v>1248</v>
      </c>
      <c r="F216" s="5" t="n">
        <v>89</v>
      </c>
      <c r="G216" s="5" t="n">
        <v>63</v>
      </c>
      <c r="H216" s="5" t="n">
        <v>5618</v>
      </c>
      <c r="I216" s="6" t="n">
        <v>3</v>
      </c>
      <c r="J216" s="6" t="n">
        <v>16.7</v>
      </c>
      <c r="K216" s="6" t="n">
        <v>35</v>
      </c>
      <c r="L216" s="6" t="n">
        <v>35</v>
      </c>
      <c r="M216" s="4" t="str">
        <f aca="false">IF(AND(K216="",L216=""),"No closed tickets",IF(K216="","MISSING in catalog",IF(L216="","No valid closed tickets",IF(AND(ABS(K216-L216)&gt;=$S$3,ABS(K216-L216)&gt;=$S$4*MAX(L216,1)),"FAR OFF","OK"))))</f>
        <v>OK</v>
      </c>
      <c r="N216" s="7" t="n">
        <f aca="false">D216/SUMIFS($D$2:$D$741,$B$2:$B$741,B216)</f>
        <v>0.072682119205298</v>
      </c>
      <c r="O216" s="7" t="n">
        <f aca="false">SUMIFS($D$2:D216,$B$2:B216,B216)/SUMIFS($D$2:$D$741,$B$2:$B$741,B216)</f>
        <v>0.557896077432501</v>
      </c>
      <c r="P216" s="8" t="b">
        <f aca="false">O216-N216&lt;$S$2</f>
        <v>1</v>
      </c>
      <c r="Q216" s="2"/>
      <c r="R216" s="2"/>
      <c r="S216" s="2"/>
    </row>
    <row r="217" customFormat="false" ht="14.25" hidden="false" customHeight="false" outlineLevel="0" collapsed="false">
      <c r="A217" s="4" t="s">
        <v>262</v>
      </c>
      <c r="B217" s="4" t="s">
        <v>258</v>
      </c>
      <c r="C217" s="5" t="n">
        <v>3</v>
      </c>
      <c r="D217" s="5" t="n">
        <v>5606</v>
      </c>
      <c r="E217" s="5" t="n">
        <v>342</v>
      </c>
      <c r="F217" s="5" t="n">
        <v>8</v>
      </c>
      <c r="G217" s="5" t="n">
        <v>0</v>
      </c>
      <c r="H217" s="5" t="n">
        <v>5598</v>
      </c>
      <c r="I217" s="6" t="n">
        <v>13</v>
      </c>
      <c r="J217" s="6" t="n">
        <v>12.6</v>
      </c>
      <c r="K217" s="6" t="n">
        <v>19</v>
      </c>
      <c r="L217" s="6" t="n">
        <v>19</v>
      </c>
      <c r="M217" s="4" t="str">
        <f aca="false">IF(AND(K217="",L217=""),"No closed tickets",IF(K217="","MISSING in catalog",IF(L217="","No valid closed tickets",IF(AND(ABS(K217-L217)&gt;=$S$3,ABS(K217-L217)&gt;=$S$4*MAX(L217,1)),"FAR OFF","OK"))))</f>
        <v>OK</v>
      </c>
      <c r="N217" s="7" t="n">
        <f aca="false">D217/SUMIFS($D$2:$D$741,$B$2:$B$741,B217)</f>
        <v>0.071395822720326</v>
      </c>
      <c r="O217" s="7" t="n">
        <f aca="false">SUMIFS($D$2:D217,$B$2:B217,B217)/SUMIFS($D$2:$D$741,$B$2:$B$741,B217)</f>
        <v>0.629291900152827</v>
      </c>
      <c r="P217" s="8" t="b">
        <f aca="false">O217-N217&lt;$S$2</f>
        <v>1</v>
      </c>
      <c r="Q217" s="2"/>
      <c r="R217" s="2"/>
      <c r="S217" s="2"/>
    </row>
    <row r="218" customFormat="false" ht="14.25" hidden="false" customHeight="false" outlineLevel="0" collapsed="false">
      <c r="A218" s="4" t="s">
        <v>263</v>
      </c>
      <c r="B218" s="4" t="s">
        <v>258</v>
      </c>
      <c r="C218" s="5" t="n">
        <v>2</v>
      </c>
      <c r="D218" s="5" t="n">
        <v>4346</v>
      </c>
      <c r="E218" s="5" t="n">
        <v>1150</v>
      </c>
      <c r="F218" s="5" t="n">
        <v>7</v>
      </c>
      <c r="G218" s="5" t="n">
        <v>6</v>
      </c>
      <c r="H218" s="5" t="n">
        <v>4339</v>
      </c>
      <c r="I218" s="6" t="n">
        <v>12</v>
      </c>
      <c r="J218" s="6" t="n">
        <v>24</v>
      </c>
      <c r="K218" s="6" t="n">
        <v>51</v>
      </c>
      <c r="L218" s="6" t="n">
        <v>51</v>
      </c>
      <c r="M218" s="4" t="str">
        <f aca="false">IF(AND(K218="",L218=""),"No closed tickets",IF(K218="","MISSING in catalog",IF(L218="","No valid closed tickets",IF(AND(ABS(K218-L218)&gt;=$S$3,ABS(K218-L218)&gt;=$S$4*MAX(L218,1)),"FAR OFF","OK"))))</f>
        <v>OK</v>
      </c>
      <c r="N218" s="7" t="n">
        <f aca="false">D218/SUMIFS($D$2:$D$741,$B$2:$B$741,B218)</f>
        <v>0.0553489556800815</v>
      </c>
      <c r="O218" s="7" t="n">
        <f aca="false">SUMIFS($D$2:D218,$B$2:B218,B218)/SUMIFS($D$2:$D$741,$B$2:$B$741,B218)</f>
        <v>0.684640855832909</v>
      </c>
      <c r="P218" s="8" t="b">
        <f aca="false">O218-N218&lt;$S$2</f>
        <v>1</v>
      </c>
      <c r="Q218" s="2"/>
      <c r="R218" s="2"/>
      <c r="S218" s="2"/>
    </row>
    <row r="219" customFormat="false" ht="14.25" hidden="false" customHeight="false" outlineLevel="0" collapsed="false">
      <c r="A219" s="4" t="s">
        <v>264</v>
      </c>
      <c r="B219" s="4" t="s">
        <v>258</v>
      </c>
      <c r="C219" s="5" t="n">
        <v>3</v>
      </c>
      <c r="D219" s="5" t="n">
        <v>3458</v>
      </c>
      <c r="E219" s="5" t="n">
        <v>0</v>
      </c>
      <c r="F219" s="5" t="n">
        <v>5</v>
      </c>
      <c r="G219" s="5" t="n">
        <v>5</v>
      </c>
      <c r="H219" s="5" t="n">
        <v>3453</v>
      </c>
      <c r="I219" s="6" t="n">
        <v>97</v>
      </c>
      <c r="J219" s="6" t="n">
        <v>168.1</v>
      </c>
      <c r="K219" s="6" t="n">
        <v>372</v>
      </c>
      <c r="L219" s="6" t="n">
        <v>372</v>
      </c>
      <c r="M219" s="4" t="str">
        <f aca="false">IF(AND(K219="",L219=""),"No closed tickets",IF(K219="","MISSING in catalog",IF(L219="","No valid closed tickets",IF(AND(ABS(K219-L219)&gt;=$S$3,ABS(K219-L219)&gt;=$S$4*MAX(L219,1)),"FAR OFF","OK"))))</f>
        <v>OK</v>
      </c>
      <c r="N219" s="7" t="n">
        <f aca="false">D219/SUMIFS($D$2:$D$741,$B$2:$B$741,B219)</f>
        <v>0.0440397350993378</v>
      </c>
      <c r="O219" s="7" t="n">
        <f aca="false">SUMIFS($D$2:D219,$B$2:B219,B219)/SUMIFS($D$2:$D$741,$B$2:$B$741,B219)</f>
        <v>0.728680590932247</v>
      </c>
      <c r="P219" s="8" t="b">
        <f aca="false">O219-N219&lt;$S$2</f>
        <v>1</v>
      </c>
      <c r="Q219" s="2"/>
      <c r="R219" s="2"/>
      <c r="S219" s="2"/>
    </row>
    <row r="220" customFormat="false" ht="14.25" hidden="false" customHeight="false" outlineLevel="0" collapsed="false">
      <c r="A220" s="4" t="s">
        <v>265</v>
      </c>
      <c r="B220" s="4" t="s">
        <v>258</v>
      </c>
      <c r="C220" s="5" t="n">
        <v>3</v>
      </c>
      <c r="D220" s="5" t="n">
        <v>2469</v>
      </c>
      <c r="E220" s="5" t="n">
        <v>593</v>
      </c>
      <c r="F220" s="5" t="n">
        <v>48</v>
      </c>
      <c r="G220" s="5" t="n">
        <v>13</v>
      </c>
      <c r="H220" s="5" t="n">
        <v>2421</v>
      </c>
      <c r="I220" s="6" t="n">
        <v>8</v>
      </c>
      <c r="J220" s="6" t="n">
        <v>15.4</v>
      </c>
      <c r="K220" s="6" t="n">
        <v>35</v>
      </c>
      <c r="L220" s="6" t="n">
        <v>35</v>
      </c>
      <c r="M220" s="4" t="str">
        <f aca="false">IF(AND(K220="",L220=""),"No closed tickets",IF(K220="","MISSING in catalog",IF(L220="","No valid closed tickets",IF(AND(ABS(K220-L220)&gt;=$S$3,ABS(K220-L220)&gt;=$S$4*MAX(L220,1)),"FAR OFF","OK"))))</f>
        <v>OK</v>
      </c>
      <c r="N220" s="7" t="n">
        <f aca="false">D220/SUMIFS($D$2:$D$741,$B$2:$B$741,B220)</f>
        <v>0.031444218033622</v>
      </c>
      <c r="O220" s="7" t="n">
        <f aca="false">SUMIFS($D$2:D220,$B$2:B220,B220)/SUMIFS($D$2:$D$741,$B$2:$B$741,B220)</f>
        <v>0.760124808965869</v>
      </c>
      <c r="P220" s="8" t="b">
        <f aca="false">O220-N220&lt;$S$2</f>
        <v>1</v>
      </c>
      <c r="Q220" s="2"/>
      <c r="R220" s="2"/>
      <c r="S220" s="2"/>
    </row>
    <row r="221" customFormat="false" ht="14.25" hidden="false" customHeight="false" outlineLevel="0" collapsed="false">
      <c r="A221" s="4" t="s">
        <v>266</v>
      </c>
      <c r="B221" s="4" t="s">
        <v>258</v>
      </c>
      <c r="C221" s="5" t="n">
        <v>3</v>
      </c>
      <c r="D221" s="5" t="n">
        <v>2109</v>
      </c>
      <c r="E221" s="5" t="n">
        <v>0</v>
      </c>
      <c r="F221" s="5" t="n">
        <v>0</v>
      </c>
      <c r="G221" s="5" t="n">
        <v>0</v>
      </c>
      <c r="H221" s="5" t="n">
        <v>2109</v>
      </c>
      <c r="I221" s="6" t="n">
        <v>2</v>
      </c>
      <c r="J221" s="6" t="n">
        <v>4.4</v>
      </c>
      <c r="K221" s="6" t="n">
        <v>7</v>
      </c>
      <c r="L221" s="6" t="n">
        <v>7</v>
      </c>
      <c r="M221" s="4" t="str">
        <f aca="false">IF(AND(K221="",L221=""),"No closed tickets",IF(K221="","MISSING in catalog",IF(L221="","No valid closed tickets",IF(AND(ABS(K221-L221)&gt;=$S$3,ABS(K221-L221)&gt;=$S$4*MAX(L221,1)),"FAR OFF","OK"))))</f>
        <v>OK</v>
      </c>
      <c r="N221" s="7" t="n">
        <f aca="false">D221/SUMIFS($D$2:$D$741,$B$2:$B$741,B221)</f>
        <v>0.0268593988792664</v>
      </c>
      <c r="O221" s="7" t="n">
        <f aca="false">SUMIFS($D$2:D221,$B$2:B221,B221)/SUMIFS($D$2:$D$741,$B$2:$B$741,B221)</f>
        <v>0.786984207845135</v>
      </c>
      <c r="P221" s="8" t="b">
        <f aca="false">O221-N221&lt;$S$2</f>
        <v>1</v>
      </c>
      <c r="Q221" s="2"/>
      <c r="R221" s="2"/>
      <c r="S221" s="2"/>
    </row>
    <row r="222" customFormat="false" ht="14.25" hidden="false" customHeight="false" outlineLevel="0" collapsed="false">
      <c r="A222" s="4" t="s">
        <v>267</v>
      </c>
      <c r="B222" s="4" t="s">
        <v>258</v>
      </c>
      <c r="C222" s="5" t="n">
        <v>3</v>
      </c>
      <c r="D222" s="5" t="n">
        <v>1726</v>
      </c>
      <c r="E222" s="5" t="n">
        <v>388</v>
      </c>
      <c r="F222" s="5" t="n">
        <v>4</v>
      </c>
      <c r="G222" s="5" t="n">
        <v>3</v>
      </c>
      <c r="H222" s="5" t="n">
        <v>1722</v>
      </c>
      <c r="I222" s="6" t="n">
        <v>3</v>
      </c>
      <c r="J222" s="6" t="n">
        <v>6.2</v>
      </c>
      <c r="K222" s="6" t="n">
        <v>9</v>
      </c>
      <c r="L222" s="6" t="n">
        <v>9</v>
      </c>
      <c r="M222" s="4" t="str">
        <f aca="false">IF(AND(K222="",L222=""),"No closed tickets",IF(K222="","MISSING in catalog",IF(L222="","No valid closed tickets",IF(AND(ABS(K222-L222)&gt;=$S$3,ABS(K222-L222)&gt;=$S$4*MAX(L222,1)),"FAR OFF","OK"))))</f>
        <v>OK</v>
      </c>
      <c r="N222" s="7" t="n">
        <f aca="false">D222/SUMIFS($D$2:$D$741,$B$2:$B$741,B222)</f>
        <v>0.0219816607233826</v>
      </c>
      <c r="O222" s="7" t="n">
        <f aca="false">SUMIFS($D$2:D222,$B$2:B222,B222)/SUMIFS($D$2:$D$741,$B$2:$B$741,B222)</f>
        <v>0.808965868568518</v>
      </c>
      <c r="P222" s="8" t="b">
        <f aca="false">O222-N222&lt;$S$2</f>
        <v>1</v>
      </c>
      <c r="Q222" s="2"/>
      <c r="R222" s="2"/>
      <c r="S222" s="2"/>
    </row>
    <row r="223" customFormat="false" ht="14.25" hidden="false" customHeight="false" outlineLevel="0" collapsed="false">
      <c r="A223" s="4" t="s">
        <v>268</v>
      </c>
      <c r="B223" s="4" t="s">
        <v>258</v>
      </c>
      <c r="C223" s="5" t="n">
        <v>3</v>
      </c>
      <c r="D223" s="5" t="n">
        <v>1586</v>
      </c>
      <c r="E223" s="5" t="n">
        <v>311</v>
      </c>
      <c r="F223" s="5" t="n">
        <v>8</v>
      </c>
      <c r="G223" s="5" t="n">
        <v>8</v>
      </c>
      <c r="H223" s="5" t="n">
        <v>1578</v>
      </c>
      <c r="I223" s="6" t="n">
        <v>3</v>
      </c>
      <c r="J223" s="6" t="n">
        <v>13.8</v>
      </c>
      <c r="K223" s="6" t="n">
        <v>50</v>
      </c>
      <c r="L223" s="6" t="n">
        <v>50</v>
      </c>
      <c r="M223" s="4" t="str">
        <f aca="false">IF(AND(K223="",L223=""),"No closed tickets",IF(K223="","MISSING in catalog",IF(L223="","No valid closed tickets",IF(AND(ABS(K223-L223)&gt;=$S$3,ABS(K223-L223)&gt;=$S$4*MAX(L223,1)),"FAR OFF","OK"))))</f>
        <v>OK</v>
      </c>
      <c r="N223" s="7" t="n">
        <f aca="false">D223/SUMIFS($D$2:$D$741,$B$2:$B$741,B223)</f>
        <v>0.0201986754966887</v>
      </c>
      <c r="O223" s="7" t="n">
        <f aca="false">SUMIFS($D$2:D223,$B$2:B223,B223)/SUMIFS($D$2:$D$741,$B$2:$B$741,B223)</f>
        <v>0.829164544065206</v>
      </c>
      <c r="P223" s="8" t="b">
        <f aca="false">O223-N223&lt;$S$2</f>
        <v>1</v>
      </c>
      <c r="Q223" s="2"/>
      <c r="R223" s="2"/>
      <c r="S223" s="2"/>
    </row>
    <row r="224" customFormat="false" ht="14.25" hidden="false" customHeight="false" outlineLevel="0" collapsed="false">
      <c r="A224" s="4" t="s">
        <v>269</v>
      </c>
      <c r="B224" s="4" t="s">
        <v>258</v>
      </c>
      <c r="C224" s="5" t="n">
        <v>1</v>
      </c>
      <c r="D224" s="5" t="n">
        <v>1229</v>
      </c>
      <c r="E224" s="5" t="n">
        <v>931</v>
      </c>
      <c r="F224" s="5" t="n">
        <v>0</v>
      </c>
      <c r="G224" s="5" t="n">
        <v>0</v>
      </c>
      <c r="H224" s="5" t="n">
        <v>1229</v>
      </c>
      <c r="I224" s="6" t="n">
        <v>2</v>
      </c>
      <c r="J224" s="6" t="n">
        <v>3.3</v>
      </c>
      <c r="K224" s="6" t="n">
        <v>6</v>
      </c>
      <c r="L224" s="6" t="n">
        <v>6</v>
      </c>
      <c r="M224" s="4" t="str">
        <f aca="false">IF(AND(K224="",L224=""),"No closed tickets",IF(K224="","MISSING in catalog",IF(L224="","No valid closed tickets",IF(AND(ABS(K224-L224)&gt;=$S$3,ABS(K224-L224)&gt;=$S$4*MAX(L224,1)),"FAR OFF","OK"))))</f>
        <v>OK</v>
      </c>
      <c r="N224" s="7" t="n">
        <f aca="false">D224/SUMIFS($D$2:$D$741,$B$2:$B$741,B224)</f>
        <v>0.0156520631686195</v>
      </c>
      <c r="O224" s="7" t="n">
        <f aca="false">SUMIFS($D$2:D224,$B$2:B224,B224)/SUMIFS($D$2:$D$741,$B$2:$B$741,B224)</f>
        <v>0.844816607233826</v>
      </c>
      <c r="P224" s="8" t="b">
        <f aca="false">O224-N224&lt;$S$2</f>
        <v>1</v>
      </c>
      <c r="Q224" s="2"/>
      <c r="R224" s="2"/>
      <c r="S224" s="2"/>
    </row>
    <row r="225" customFormat="false" ht="14.25" hidden="false" customHeight="false" outlineLevel="0" collapsed="false">
      <c r="A225" s="4" t="s">
        <v>270</v>
      </c>
      <c r="B225" s="4" t="s">
        <v>258</v>
      </c>
      <c r="C225" s="5" t="n">
        <v>2</v>
      </c>
      <c r="D225" s="5" t="n">
        <v>1136</v>
      </c>
      <c r="E225" s="5" t="n">
        <v>186</v>
      </c>
      <c r="F225" s="5" t="n">
        <v>6</v>
      </c>
      <c r="G225" s="5" t="n">
        <v>2</v>
      </c>
      <c r="H225" s="5" t="n">
        <v>1130</v>
      </c>
      <c r="I225" s="6" t="n">
        <v>5</v>
      </c>
      <c r="J225" s="6" t="n">
        <v>12.4</v>
      </c>
      <c r="K225" s="6" t="n">
        <v>30</v>
      </c>
      <c r="L225" s="6" t="n">
        <v>30</v>
      </c>
      <c r="M225" s="4" t="str">
        <f aca="false">IF(AND(K225="",L225=""),"No closed tickets",IF(K225="","MISSING in catalog",IF(L225="","No valid closed tickets",IF(AND(ABS(K225-L225)&gt;=$S$3,ABS(K225-L225)&gt;=$S$4*MAX(L225,1)),"FAR OFF","OK"))))</f>
        <v>OK</v>
      </c>
      <c r="N225" s="7" t="n">
        <f aca="false">D225/SUMIFS($D$2:$D$741,$B$2:$B$741,B225)</f>
        <v>0.0144676515537443</v>
      </c>
      <c r="O225" s="7" t="n">
        <f aca="false">SUMIFS($D$2:D225,$B$2:B225,B225)/SUMIFS($D$2:$D$741,$B$2:$B$741,B225)</f>
        <v>0.85928425878757</v>
      </c>
      <c r="P225" s="8" t="b">
        <f aca="false">O225-N225&lt;$S$2</f>
        <v>1</v>
      </c>
      <c r="Q225" s="2"/>
      <c r="R225" s="2"/>
      <c r="S225" s="2"/>
    </row>
    <row r="226" customFormat="false" ht="14.25" hidden="false" customHeight="false" outlineLevel="0" collapsed="false">
      <c r="A226" s="4" t="s">
        <v>271</v>
      </c>
      <c r="B226" s="4" t="s">
        <v>258</v>
      </c>
      <c r="C226" s="5" t="n">
        <v>3</v>
      </c>
      <c r="D226" s="5" t="n">
        <v>1035</v>
      </c>
      <c r="E226" s="5" t="n">
        <v>232</v>
      </c>
      <c r="F226" s="5" t="n">
        <v>17</v>
      </c>
      <c r="G226" s="5" t="n">
        <v>12</v>
      </c>
      <c r="H226" s="5" t="n">
        <v>1018</v>
      </c>
      <c r="I226" s="6" t="n">
        <v>2</v>
      </c>
      <c r="J226" s="6" t="n">
        <v>5.9</v>
      </c>
      <c r="K226" s="6" t="n">
        <v>6</v>
      </c>
      <c r="L226" s="6" t="n">
        <v>6</v>
      </c>
      <c r="M226" s="4" t="str">
        <f aca="false">IF(AND(K226="",L226=""),"No closed tickets",IF(K226="","MISSING in catalog",IF(L226="","No valid closed tickets",IF(AND(ABS(K226-L226)&gt;=$S$3,ABS(K226-L226)&gt;=$S$4*MAX(L226,1)),"FAR OFF","OK"))))</f>
        <v>OK</v>
      </c>
      <c r="N226" s="7" t="n">
        <f aca="false">D226/SUMIFS($D$2:$D$741,$B$2:$B$741,B226)</f>
        <v>0.0131813550687723</v>
      </c>
      <c r="O226" s="7" t="n">
        <f aca="false">SUMIFS($D$2:D226,$B$2:B226,B226)/SUMIFS($D$2:$D$741,$B$2:$B$741,B226)</f>
        <v>0.872465613856342</v>
      </c>
      <c r="P226" s="8" t="b">
        <f aca="false">O226-N226&lt;$S$2</f>
        <v>1</v>
      </c>
      <c r="Q226" s="2"/>
      <c r="R226" s="2"/>
      <c r="S226" s="2"/>
    </row>
    <row r="227" customFormat="false" ht="14.25" hidden="false" customHeight="false" outlineLevel="0" collapsed="false">
      <c r="A227" s="4" t="s">
        <v>272</v>
      </c>
      <c r="B227" s="4" t="s">
        <v>258</v>
      </c>
      <c r="C227" s="5" t="n">
        <v>2</v>
      </c>
      <c r="D227" s="5" t="n">
        <v>1033</v>
      </c>
      <c r="E227" s="5" t="n">
        <v>357</v>
      </c>
      <c r="F227" s="5" t="n">
        <v>0</v>
      </c>
      <c r="G227" s="5" t="n">
        <v>0</v>
      </c>
      <c r="H227" s="5" t="n">
        <v>1033</v>
      </c>
      <c r="I227" s="6" t="n">
        <v>5</v>
      </c>
      <c r="J227" s="6" t="n">
        <v>9</v>
      </c>
      <c r="K227" s="6" t="n">
        <v>14</v>
      </c>
      <c r="L227" s="6" t="n">
        <v>14</v>
      </c>
      <c r="M227" s="4" t="str">
        <f aca="false">IF(AND(K227="",L227=""),"No closed tickets",IF(K227="","MISSING in catalog",IF(L227="","No valid closed tickets",IF(AND(ABS(K227-L227)&gt;=$S$3,ABS(K227-L227)&gt;=$S$4*MAX(L227,1)),"FAR OFF","OK"))))</f>
        <v>OK</v>
      </c>
      <c r="N227" s="7" t="n">
        <f aca="false">D227/SUMIFS($D$2:$D$741,$B$2:$B$741,B227)</f>
        <v>0.0131558838512481</v>
      </c>
      <c r="O227" s="7" t="n">
        <f aca="false">SUMIFS($D$2:D227,$B$2:B227,B227)/SUMIFS($D$2:$D$741,$B$2:$B$741,B227)</f>
        <v>0.885621497707591</v>
      </c>
      <c r="P227" s="8" t="b">
        <f aca="false">O227-N227&lt;$S$2</f>
        <v>1</v>
      </c>
      <c r="Q227" s="2"/>
      <c r="R227" s="2"/>
      <c r="S227" s="2"/>
    </row>
    <row r="228" customFormat="false" ht="14.25" hidden="false" customHeight="false" outlineLevel="0" collapsed="false">
      <c r="A228" s="4" t="s">
        <v>273</v>
      </c>
      <c r="B228" s="4" t="s">
        <v>258</v>
      </c>
      <c r="C228" s="5" t="n">
        <v>2</v>
      </c>
      <c r="D228" s="5" t="n">
        <v>837</v>
      </c>
      <c r="E228" s="5" t="n">
        <v>192</v>
      </c>
      <c r="F228" s="5" t="n">
        <v>10</v>
      </c>
      <c r="G228" s="5" t="n">
        <v>3</v>
      </c>
      <c r="H228" s="5" t="n">
        <v>827</v>
      </c>
      <c r="I228" s="6" t="n">
        <v>6</v>
      </c>
      <c r="J228" s="6" t="n">
        <v>15.8</v>
      </c>
      <c r="K228" s="6" t="n">
        <v>41</v>
      </c>
      <c r="L228" s="6" t="n">
        <v>41</v>
      </c>
      <c r="M228" s="4" t="str">
        <f aca="false">IF(AND(K228="",L228=""),"No closed tickets",IF(K228="","MISSING in catalog",IF(L228="","No valid closed tickets",IF(AND(ABS(K228-L228)&gt;=$S$3,ABS(K228-L228)&gt;=$S$4*MAX(L228,1)),"FAR OFF","OK"))))</f>
        <v>OK</v>
      </c>
      <c r="N228" s="7" t="n">
        <f aca="false">D228/SUMIFS($D$2:$D$741,$B$2:$B$741,B228)</f>
        <v>0.0106597045338767</v>
      </c>
      <c r="O228" s="7" t="n">
        <f aca="false">SUMIFS($D$2:D228,$B$2:B228,B228)/SUMIFS($D$2:$D$741,$B$2:$B$741,B228)</f>
        <v>0.896281202241467</v>
      </c>
      <c r="P228" s="8" t="b">
        <f aca="false">O228-N228&lt;$S$2</f>
        <v>1</v>
      </c>
      <c r="Q228" s="2"/>
      <c r="R228" s="2"/>
      <c r="S228" s="2"/>
    </row>
    <row r="229" customFormat="false" ht="14.25" hidden="false" customHeight="false" outlineLevel="0" collapsed="false">
      <c r="A229" s="4" t="s">
        <v>274</v>
      </c>
      <c r="B229" s="4" t="s">
        <v>258</v>
      </c>
      <c r="C229" s="5" t="n">
        <v>1</v>
      </c>
      <c r="D229" s="5" t="n">
        <v>642</v>
      </c>
      <c r="E229" s="5" t="n">
        <v>139</v>
      </c>
      <c r="F229" s="5" t="n">
        <v>6</v>
      </c>
      <c r="G229" s="5" t="n">
        <v>2</v>
      </c>
      <c r="H229" s="5" t="n">
        <v>636</v>
      </c>
      <c r="I229" s="6" t="n">
        <v>2</v>
      </c>
      <c r="J229" s="6" t="n">
        <v>3.4</v>
      </c>
      <c r="K229" s="6" t="n">
        <v>8</v>
      </c>
      <c r="L229" s="6" t="n">
        <v>8</v>
      </c>
      <c r="M229" s="4" t="str">
        <f aca="false">IF(AND(K229="",L229=""),"No closed tickets",IF(K229="","MISSING in catalog",IF(L229="","No valid closed tickets",IF(AND(ABS(K229-L229)&gt;=$S$3,ABS(K229-L229)&gt;=$S$4*MAX(L229,1)),"FAR OFF","OK"))))</f>
        <v>OK</v>
      </c>
      <c r="N229" s="7" t="n">
        <f aca="false">D229/SUMIFS($D$2:$D$741,$B$2:$B$741,B229)</f>
        <v>0.00817626082526745</v>
      </c>
      <c r="O229" s="7" t="n">
        <f aca="false">SUMIFS($D$2:D229,$B$2:B229,B229)/SUMIFS($D$2:$D$741,$B$2:$B$741,B229)</f>
        <v>0.904457463066735</v>
      </c>
      <c r="P229" s="8" t="b">
        <f aca="false">O229-N229&lt;$S$2</f>
        <v>1</v>
      </c>
      <c r="Q229" s="2"/>
      <c r="R229" s="2"/>
      <c r="S229" s="2"/>
    </row>
    <row r="230" customFormat="false" ht="14.25" hidden="false" customHeight="false" outlineLevel="0" collapsed="false">
      <c r="A230" s="4" t="s">
        <v>275</v>
      </c>
      <c r="B230" s="4" t="s">
        <v>258</v>
      </c>
      <c r="C230" s="5" t="n">
        <v>3</v>
      </c>
      <c r="D230" s="5" t="n">
        <v>585</v>
      </c>
      <c r="E230" s="5" t="n">
        <v>0</v>
      </c>
      <c r="F230" s="5" t="n">
        <v>0</v>
      </c>
      <c r="G230" s="5" t="n">
        <v>0</v>
      </c>
      <c r="H230" s="5" t="n">
        <v>585</v>
      </c>
      <c r="I230" s="6" t="n">
        <v>17</v>
      </c>
      <c r="J230" s="6" t="n">
        <v>26</v>
      </c>
      <c r="K230" s="6" t="n">
        <v>60</v>
      </c>
      <c r="L230" s="6" t="n">
        <v>60.4</v>
      </c>
      <c r="M230" s="4" t="str">
        <f aca="false">IF(AND(K230="",L230=""),"No closed tickets",IF(K230="","MISSING in catalog",IF(L230="","No valid closed tickets",IF(AND(ABS(K230-L230)&gt;=$S$3,ABS(K230-L230)&gt;=$S$4*MAX(L230,1)),"FAR OFF","OK"))))</f>
        <v>OK</v>
      </c>
      <c r="N230" s="7" t="n">
        <f aca="false">D230/SUMIFS($D$2:$D$741,$B$2:$B$741,B230)</f>
        <v>0.00745033112582781</v>
      </c>
      <c r="O230" s="7" t="n">
        <f aca="false">SUMIFS($D$2:D230,$B$2:B230,B230)/SUMIFS($D$2:$D$741,$B$2:$B$741,B230)</f>
        <v>0.911907794192562</v>
      </c>
      <c r="P230" s="8" t="b">
        <f aca="false">O230-N230&lt;$S$2</f>
        <v>1</v>
      </c>
      <c r="Q230" s="2"/>
      <c r="R230" s="2"/>
      <c r="S230" s="2"/>
    </row>
    <row r="231" customFormat="false" ht="14.25" hidden="false" customHeight="false" outlineLevel="0" collapsed="false">
      <c r="A231" s="4" t="s">
        <v>276</v>
      </c>
      <c r="B231" s="4" t="s">
        <v>258</v>
      </c>
      <c r="C231" s="5" t="n">
        <v>2</v>
      </c>
      <c r="D231" s="5" t="n">
        <v>506</v>
      </c>
      <c r="E231" s="5" t="n">
        <v>86</v>
      </c>
      <c r="F231" s="5" t="n">
        <v>0</v>
      </c>
      <c r="G231" s="5" t="n">
        <v>0</v>
      </c>
      <c r="H231" s="5" t="n">
        <v>506</v>
      </c>
      <c r="I231" s="6" t="n">
        <v>3</v>
      </c>
      <c r="J231" s="6" t="n">
        <v>5</v>
      </c>
      <c r="K231" s="6" t="n">
        <v>11</v>
      </c>
      <c r="L231" s="6" t="n">
        <v>11</v>
      </c>
      <c r="M231" s="4" t="str">
        <f aca="false">IF(AND(K231="",L231=""),"No closed tickets",IF(K231="","MISSING in catalog",IF(L231="","No valid closed tickets",IF(AND(ABS(K231-L231)&gt;=$S$3,ABS(K231-L231)&gt;=$S$4*MAX(L231,1)),"FAR OFF","OK"))))</f>
        <v>OK</v>
      </c>
      <c r="N231" s="7" t="n">
        <f aca="false">D231/SUMIFS($D$2:$D$741,$B$2:$B$741,B231)</f>
        <v>0.00644421803362201</v>
      </c>
      <c r="O231" s="7" t="n">
        <f aca="false">SUMIFS($D$2:D231,$B$2:B231,B231)/SUMIFS($D$2:$D$741,$B$2:$B$741,B231)</f>
        <v>0.918352012226185</v>
      </c>
      <c r="P231" s="8" t="b">
        <f aca="false">O231-N231&lt;$S$2</f>
        <v>1</v>
      </c>
      <c r="Q231" s="2"/>
      <c r="R231" s="2"/>
      <c r="S231" s="2"/>
    </row>
    <row r="232" customFormat="false" ht="14.25" hidden="false" customHeight="false" outlineLevel="0" collapsed="false">
      <c r="A232" s="4" t="s">
        <v>277</v>
      </c>
      <c r="B232" s="4" t="s">
        <v>258</v>
      </c>
      <c r="C232" s="5" t="n">
        <v>3</v>
      </c>
      <c r="D232" s="5" t="n">
        <v>475</v>
      </c>
      <c r="E232" s="5" t="n">
        <v>84</v>
      </c>
      <c r="F232" s="5" t="n">
        <v>2</v>
      </c>
      <c r="G232" s="5" t="n">
        <v>1</v>
      </c>
      <c r="H232" s="5" t="n">
        <v>473</v>
      </c>
      <c r="I232" s="6" t="n">
        <v>4</v>
      </c>
      <c r="J232" s="6" t="n">
        <v>7.5</v>
      </c>
      <c r="K232" s="6" t="n">
        <v>17</v>
      </c>
      <c r="L232" s="6" t="n">
        <v>17</v>
      </c>
      <c r="M232" s="4" t="str">
        <f aca="false">IF(AND(K232="",L232=""),"No closed tickets",IF(K232="","MISSING in catalog",IF(L232="","No valid closed tickets",IF(AND(ABS(K232-L232)&gt;=$S$3,ABS(K232-L232)&gt;=$S$4*MAX(L232,1)),"FAR OFF","OK"))))</f>
        <v>OK</v>
      </c>
      <c r="N232" s="7" t="n">
        <f aca="false">D232/SUMIFS($D$2:$D$741,$B$2:$B$741,B232)</f>
        <v>0.00604941416199694</v>
      </c>
      <c r="O232" s="7" t="n">
        <f aca="false">SUMIFS($D$2:D232,$B$2:B232,B232)/SUMIFS($D$2:$D$741,$B$2:$B$741,B232)</f>
        <v>0.924401426388181</v>
      </c>
      <c r="P232" s="8" t="b">
        <f aca="false">O232-N232&lt;$S$2</f>
        <v>1</v>
      </c>
      <c r="Q232" s="2"/>
      <c r="R232" s="2"/>
      <c r="S232" s="2"/>
    </row>
    <row r="233" customFormat="false" ht="14.25" hidden="false" customHeight="false" outlineLevel="0" collapsed="false">
      <c r="A233" s="4" t="s">
        <v>278</v>
      </c>
      <c r="B233" s="4" t="s">
        <v>258</v>
      </c>
      <c r="C233" s="5" t="n">
        <v>2</v>
      </c>
      <c r="D233" s="5" t="n">
        <v>430</v>
      </c>
      <c r="E233" s="5" t="n">
        <v>66</v>
      </c>
      <c r="F233" s="5" t="n">
        <v>0</v>
      </c>
      <c r="G233" s="5" t="n">
        <v>0</v>
      </c>
      <c r="H233" s="5" t="n">
        <v>430</v>
      </c>
      <c r="I233" s="6" t="n">
        <v>3</v>
      </c>
      <c r="J233" s="6" t="n">
        <v>6</v>
      </c>
      <c r="K233" s="6" t="n">
        <v>13</v>
      </c>
      <c r="L233" s="6" t="n">
        <v>13</v>
      </c>
      <c r="M233" s="4" t="str">
        <f aca="false">IF(AND(K233="",L233=""),"No closed tickets",IF(K233="","MISSING in catalog",IF(L233="","No valid closed tickets",IF(AND(ABS(K233-L233)&gt;=$S$3,ABS(K233-L233)&gt;=$S$4*MAX(L233,1)),"FAR OFF","OK"))))</f>
        <v>OK</v>
      </c>
      <c r="N233" s="7" t="n">
        <f aca="false">D233/SUMIFS($D$2:$D$741,$B$2:$B$741,B233)</f>
        <v>0.0054763117677025</v>
      </c>
      <c r="O233" s="7" t="n">
        <f aca="false">SUMIFS($D$2:D233,$B$2:B233,B233)/SUMIFS($D$2:$D$741,$B$2:$B$741,B233)</f>
        <v>0.929877738155884</v>
      </c>
      <c r="P233" s="8" t="b">
        <f aca="false">O233-N233&lt;$S$2</f>
        <v>1</v>
      </c>
      <c r="Q233" s="2"/>
      <c r="R233" s="2"/>
      <c r="S233" s="2"/>
    </row>
    <row r="234" customFormat="false" ht="14.25" hidden="false" customHeight="false" outlineLevel="0" collapsed="false">
      <c r="A234" s="4" t="s">
        <v>279</v>
      </c>
      <c r="B234" s="4" t="s">
        <v>258</v>
      </c>
      <c r="C234" s="5" t="n">
        <v>2</v>
      </c>
      <c r="D234" s="5" t="n">
        <v>417</v>
      </c>
      <c r="E234" s="5" t="n">
        <v>75</v>
      </c>
      <c r="F234" s="5" t="n">
        <v>4</v>
      </c>
      <c r="G234" s="5" t="n">
        <v>0</v>
      </c>
      <c r="H234" s="5" t="n">
        <v>413</v>
      </c>
      <c r="I234" s="6" t="n">
        <v>5</v>
      </c>
      <c r="J234" s="6" t="n">
        <v>9.8</v>
      </c>
      <c r="K234" s="6" t="n">
        <v>22</v>
      </c>
      <c r="L234" s="6" t="n">
        <v>21.8</v>
      </c>
      <c r="M234" s="4" t="str">
        <f aca="false">IF(AND(K234="",L234=""),"No closed tickets",IF(K234="","MISSING in catalog",IF(L234="","No valid closed tickets",IF(AND(ABS(K234-L234)&gt;=$S$3,ABS(K234-L234)&gt;=$S$4*MAX(L234,1)),"FAR OFF","OK"))))</f>
        <v>OK</v>
      </c>
      <c r="N234" s="7" t="n">
        <f aca="false">D234/SUMIFS($D$2:$D$741,$B$2:$B$741,B234)</f>
        <v>0.00531074885379521</v>
      </c>
      <c r="O234" s="7" t="n">
        <f aca="false">SUMIFS($D$2:D234,$B$2:B234,B234)/SUMIFS($D$2:$D$741,$B$2:$B$741,B234)</f>
        <v>0.935188487009679</v>
      </c>
      <c r="P234" s="8" t="b">
        <f aca="false">O234-N234&lt;$S$2</f>
        <v>1</v>
      </c>
      <c r="Q234" s="2"/>
      <c r="R234" s="2"/>
      <c r="S234" s="2"/>
    </row>
    <row r="235" customFormat="false" ht="14.25" hidden="false" customHeight="false" outlineLevel="0" collapsed="false">
      <c r="A235" s="4" t="s">
        <v>280</v>
      </c>
      <c r="B235" s="4" t="s">
        <v>258</v>
      </c>
      <c r="C235" s="5" t="n">
        <v>2</v>
      </c>
      <c r="D235" s="5" t="n">
        <v>416</v>
      </c>
      <c r="E235" s="5" t="n">
        <v>60</v>
      </c>
      <c r="F235" s="5" t="n">
        <v>0</v>
      </c>
      <c r="G235" s="5" t="n">
        <v>0</v>
      </c>
      <c r="H235" s="5" t="n">
        <v>416</v>
      </c>
      <c r="I235" s="6" t="n">
        <v>5</v>
      </c>
      <c r="J235" s="6" t="n">
        <v>7.9</v>
      </c>
      <c r="K235" s="6" t="n">
        <v>18</v>
      </c>
      <c r="L235" s="6" t="n">
        <v>18</v>
      </c>
      <c r="M235" s="4" t="str">
        <f aca="false">IF(AND(K235="",L235=""),"No closed tickets",IF(K235="","MISSING in catalog",IF(L235="","No valid closed tickets",IF(AND(ABS(K235-L235)&gt;=$S$3,ABS(K235-L235)&gt;=$S$4*MAX(L235,1)),"FAR OFF","OK"))))</f>
        <v>OK</v>
      </c>
      <c r="N235" s="7" t="n">
        <f aca="false">D235/SUMIFS($D$2:$D$741,$B$2:$B$741,B235)</f>
        <v>0.00529801324503311</v>
      </c>
      <c r="O235" s="7" t="n">
        <f aca="false">SUMIFS($D$2:D235,$B$2:B235,B235)/SUMIFS($D$2:$D$741,$B$2:$B$741,B235)</f>
        <v>0.940486500254712</v>
      </c>
      <c r="P235" s="8" t="b">
        <f aca="false">O235-N235&lt;$S$2</f>
        <v>1</v>
      </c>
      <c r="Q235" s="2"/>
      <c r="R235" s="2"/>
      <c r="S235" s="2"/>
    </row>
    <row r="236" customFormat="false" ht="14.25" hidden="false" customHeight="false" outlineLevel="0" collapsed="false">
      <c r="A236" s="4" t="s">
        <v>281</v>
      </c>
      <c r="B236" s="4" t="s">
        <v>258</v>
      </c>
      <c r="C236" s="5" t="n">
        <v>3</v>
      </c>
      <c r="D236" s="5" t="n">
        <v>403</v>
      </c>
      <c r="E236" s="5" t="n">
        <v>0</v>
      </c>
      <c r="F236" s="5" t="n">
        <v>2</v>
      </c>
      <c r="G236" s="5" t="n">
        <v>2</v>
      </c>
      <c r="H236" s="5" t="n">
        <v>401</v>
      </c>
      <c r="I236" s="6" t="n">
        <v>3</v>
      </c>
      <c r="J236" s="6" t="n">
        <v>5.3</v>
      </c>
      <c r="K236" s="6" t="n">
        <v>14</v>
      </c>
      <c r="L236" s="6" t="n">
        <v>14</v>
      </c>
      <c r="M236" s="4" t="str">
        <f aca="false">IF(AND(K236="",L236=""),"No closed tickets",IF(K236="","MISSING in catalog",IF(L236="","No valid closed tickets",IF(AND(ABS(K236-L236)&gt;=$S$3,ABS(K236-L236)&gt;=$S$4*MAX(L236,1)),"FAR OFF","OK"))))</f>
        <v>OK</v>
      </c>
      <c r="N236" s="7" t="n">
        <f aca="false">D236/SUMIFS($D$2:$D$741,$B$2:$B$741,B236)</f>
        <v>0.00513245033112583</v>
      </c>
      <c r="O236" s="7" t="n">
        <f aca="false">SUMIFS($D$2:D236,$B$2:B236,B236)/SUMIFS($D$2:$D$741,$B$2:$B$741,B236)</f>
        <v>0.945618950585838</v>
      </c>
      <c r="P236" s="8" t="b">
        <f aca="false">O236-N236&lt;$S$2</f>
        <v>1</v>
      </c>
      <c r="Q236" s="2"/>
      <c r="R236" s="2"/>
      <c r="S236" s="2"/>
    </row>
    <row r="237" customFormat="false" ht="14.25" hidden="false" customHeight="false" outlineLevel="0" collapsed="false">
      <c r="A237" s="4" t="s">
        <v>282</v>
      </c>
      <c r="B237" s="4" t="s">
        <v>258</v>
      </c>
      <c r="C237" s="5" t="n">
        <v>2</v>
      </c>
      <c r="D237" s="5" t="n">
        <v>379</v>
      </c>
      <c r="E237" s="5" t="n">
        <v>10</v>
      </c>
      <c r="F237" s="5" t="n">
        <v>1</v>
      </c>
      <c r="G237" s="5" t="n">
        <v>1</v>
      </c>
      <c r="H237" s="5" t="n">
        <v>378</v>
      </c>
      <c r="I237" s="6" t="n">
        <v>23</v>
      </c>
      <c r="J237" s="6" t="n">
        <v>48.5</v>
      </c>
      <c r="K237" s="6" t="n">
        <v>134</v>
      </c>
      <c r="L237" s="6" t="n">
        <v>134.3</v>
      </c>
      <c r="M237" s="4" t="str">
        <f aca="false">IF(AND(K237="",L237=""),"No closed tickets",IF(K237="","MISSING in catalog",IF(L237="","No valid closed tickets",IF(AND(ABS(K237-L237)&gt;=$S$3,ABS(K237-L237)&gt;=$S$4*MAX(L237,1)),"FAR OFF","OK"))))</f>
        <v>OK</v>
      </c>
      <c r="N237" s="7" t="n">
        <f aca="false">D237/SUMIFS($D$2:$D$741,$B$2:$B$741,B237)</f>
        <v>0.00482679572083546</v>
      </c>
      <c r="O237" s="7" t="n">
        <f aca="false">SUMIFS($D$2:D237,$B$2:B237,B237)/SUMIFS($D$2:$D$741,$B$2:$B$741,B237)</f>
        <v>0.950445746306673</v>
      </c>
      <c r="P237" s="8" t="b">
        <f aca="false">O237-N237&lt;$S$2</f>
        <v>1</v>
      </c>
      <c r="Q237" s="2"/>
      <c r="R237" s="2"/>
      <c r="S237" s="2"/>
    </row>
    <row r="238" customFormat="false" ht="14.25" hidden="false" customHeight="false" outlineLevel="0" collapsed="false">
      <c r="A238" s="4" t="s">
        <v>283</v>
      </c>
      <c r="B238" s="4" t="s">
        <v>258</v>
      </c>
      <c r="C238" s="5" t="n">
        <v>2</v>
      </c>
      <c r="D238" s="5" t="n">
        <v>327</v>
      </c>
      <c r="E238" s="5" t="n">
        <v>56</v>
      </c>
      <c r="F238" s="5" t="n">
        <v>0</v>
      </c>
      <c r="G238" s="5" t="n">
        <v>0</v>
      </c>
      <c r="H238" s="5" t="n">
        <v>327</v>
      </c>
      <c r="I238" s="6" t="n">
        <v>4</v>
      </c>
      <c r="J238" s="6" t="n">
        <v>9.4</v>
      </c>
      <c r="K238" s="6" t="n">
        <v>19</v>
      </c>
      <c r="L238" s="6" t="n">
        <v>19</v>
      </c>
      <c r="M238" s="4" t="str">
        <f aca="false">IF(AND(K238="",L238=""),"No closed tickets",IF(K238="","MISSING in catalog",IF(L238="","No valid closed tickets",IF(AND(ABS(K238-L238)&gt;=$S$3,ABS(K238-L238)&gt;=$S$4*MAX(L238,1)),"FAR OFF","OK"))))</f>
        <v>OK</v>
      </c>
      <c r="N238" s="7" t="n">
        <f aca="false">D238/SUMIFS($D$2:$D$741,$B$2:$B$741,B238)</f>
        <v>0.00416454406520632</v>
      </c>
      <c r="O238" s="7" t="n">
        <f aca="false">SUMIFS($D$2:D238,$B$2:B238,B238)/SUMIFS($D$2:$D$741,$B$2:$B$741,B238)</f>
        <v>0.95461029037188</v>
      </c>
      <c r="P238" s="8" t="b">
        <f aca="false">O238-N238&lt;$S$2</f>
        <v>0</v>
      </c>
      <c r="Q238" s="2"/>
      <c r="R238" s="2"/>
      <c r="S238" s="2"/>
    </row>
    <row r="239" customFormat="false" ht="14.25" hidden="false" customHeight="false" outlineLevel="0" collapsed="false">
      <c r="A239" s="4" t="s">
        <v>284</v>
      </c>
      <c r="B239" s="4" t="s">
        <v>258</v>
      </c>
      <c r="C239" s="5" t="n">
        <v>2</v>
      </c>
      <c r="D239" s="5" t="n">
        <v>313</v>
      </c>
      <c r="E239" s="5" t="n">
        <v>60</v>
      </c>
      <c r="F239" s="5" t="n">
        <v>8</v>
      </c>
      <c r="G239" s="5" t="n">
        <v>0</v>
      </c>
      <c r="H239" s="5" t="n">
        <v>305</v>
      </c>
      <c r="I239" s="6" t="n">
        <v>8</v>
      </c>
      <c r="J239" s="6" t="n">
        <v>15.2</v>
      </c>
      <c r="K239" s="6" t="n">
        <v>35</v>
      </c>
      <c r="L239" s="6" t="n">
        <v>34.6</v>
      </c>
      <c r="M239" s="4" t="str">
        <f aca="false">IF(AND(K239="",L239=""),"No closed tickets",IF(K239="","MISSING in catalog",IF(L239="","No valid closed tickets",IF(AND(ABS(K239-L239)&gt;=$S$3,ABS(K239-L239)&gt;=$S$4*MAX(L239,1)),"FAR OFF","OK"))))</f>
        <v>OK</v>
      </c>
      <c r="N239" s="7" t="n">
        <f aca="false">D239/SUMIFS($D$2:$D$741,$B$2:$B$741,B239)</f>
        <v>0.00398624554253693</v>
      </c>
      <c r="O239" s="7" t="n">
        <f aca="false">SUMIFS($D$2:D239,$B$2:B239,B239)/SUMIFS($D$2:$D$741,$B$2:$B$741,B239)</f>
        <v>0.958596535914417</v>
      </c>
      <c r="P239" s="8" t="b">
        <f aca="false">O239-N239&lt;$S$2</f>
        <v>0</v>
      </c>
      <c r="Q239" s="2"/>
      <c r="R239" s="2"/>
      <c r="S239" s="2"/>
    </row>
    <row r="240" customFormat="false" ht="14.25" hidden="false" customHeight="false" outlineLevel="0" collapsed="false">
      <c r="A240" s="4" t="s">
        <v>285</v>
      </c>
      <c r="B240" s="4" t="s">
        <v>258</v>
      </c>
      <c r="C240" s="5" t="n">
        <v>2</v>
      </c>
      <c r="D240" s="5" t="n">
        <v>290</v>
      </c>
      <c r="E240" s="5" t="n">
        <v>44</v>
      </c>
      <c r="F240" s="5" t="n">
        <v>1</v>
      </c>
      <c r="G240" s="5" t="n">
        <v>1</v>
      </c>
      <c r="H240" s="5" t="n">
        <v>289</v>
      </c>
      <c r="I240" s="6" t="n">
        <v>3</v>
      </c>
      <c r="J240" s="6" t="n">
        <v>5.6</v>
      </c>
      <c r="K240" s="6" t="n">
        <v>13</v>
      </c>
      <c r="L240" s="6" t="n">
        <v>13.2</v>
      </c>
      <c r="M240" s="4" t="str">
        <f aca="false">IF(AND(K240="",L240=""),"No closed tickets",IF(K240="","MISSING in catalog",IF(L240="","No valid closed tickets",IF(AND(ABS(K240-L240)&gt;=$S$3,ABS(K240-L240)&gt;=$S$4*MAX(L240,1)),"FAR OFF","OK"))))</f>
        <v>OK</v>
      </c>
      <c r="N240" s="7" t="n">
        <f aca="false">D240/SUMIFS($D$2:$D$741,$B$2:$B$741,B240)</f>
        <v>0.00369332654100866</v>
      </c>
      <c r="O240" s="7" t="n">
        <f aca="false">SUMIFS($D$2:D240,$B$2:B240,B240)/SUMIFS($D$2:$D$741,$B$2:$B$741,B240)</f>
        <v>0.962289862455425</v>
      </c>
      <c r="P240" s="8" t="b">
        <f aca="false">O240-N240&lt;$S$2</f>
        <v>0</v>
      </c>
      <c r="Q240" s="2"/>
      <c r="R240" s="2"/>
      <c r="S240" s="2"/>
    </row>
    <row r="241" customFormat="false" ht="14.25" hidden="false" customHeight="false" outlineLevel="0" collapsed="false">
      <c r="A241" s="4" t="s">
        <v>286</v>
      </c>
      <c r="B241" s="4" t="s">
        <v>258</v>
      </c>
      <c r="C241" s="5" t="n">
        <v>2</v>
      </c>
      <c r="D241" s="5" t="n">
        <v>257</v>
      </c>
      <c r="E241" s="5" t="n">
        <v>44</v>
      </c>
      <c r="F241" s="5" t="n">
        <v>3</v>
      </c>
      <c r="G241" s="5" t="n">
        <v>2</v>
      </c>
      <c r="H241" s="5" t="n">
        <v>254</v>
      </c>
      <c r="I241" s="6" t="n">
        <v>3</v>
      </c>
      <c r="J241" s="6" t="n">
        <v>6.2</v>
      </c>
      <c r="K241" s="6" t="n">
        <v>16</v>
      </c>
      <c r="L241" s="6" t="n">
        <v>16</v>
      </c>
      <c r="M241" s="4" t="str">
        <f aca="false">IF(AND(K241="",L241=""),"No closed tickets",IF(K241="","MISSING in catalog",IF(L241="","No valid closed tickets",IF(AND(ABS(K241-L241)&gt;=$S$3,ABS(K241-L241)&gt;=$S$4*MAX(L241,1)),"FAR OFF","OK"))))</f>
        <v>OK</v>
      </c>
      <c r="N241" s="7" t="n">
        <f aca="false">D241/SUMIFS($D$2:$D$741,$B$2:$B$741,B241)</f>
        <v>0.0032730514518594</v>
      </c>
      <c r="O241" s="7" t="n">
        <f aca="false">SUMIFS($D$2:D241,$B$2:B241,B241)/SUMIFS($D$2:$D$741,$B$2:$B$741,B241)</f>
        <v>0.965562913907285</v>
      </c>
      <c r="P241" s="8" t="b">
        <f aca="false">O241-N241&lt;$S$2</f>
        <v>0</v>
      </c>
      <c r="Q241" s="2"/>
      <c r="R241" s="2"/>
      <c r="S241" s="2"/>
    </row>
    <row r="242" customFormat="false" ht="14.25" hidden="false" customHeight="false" outlineLevel="0" collapsed="false">
      <c r="A242" s="4" t="s">
        <v>287</v>
      </c>
      <c r="B242" s="4" t="s">
        <v>258</v>
      </c>
      <c r="C242" s="5" t="n">
        <v>2</v>
      </c>
      <c r="D242" s="5" t="n">
        <v>240</v>
      </c>
      <c r="E242" s="5" t="n">
        <v>38</v>
      </c>
      <c r="F242" s="5" t="n">
        <v>0</v>
      </c>
      <c r="G242" s="5" t="n">
        <v>0</v>
      </c>
      <c r="H242" s="5" t="n">
        <v>240</v>
      </c>
      <c r="I242" s="6" t="n">
        <v>4</v>
      </c>
      <c r="J242" s="6" t="n">
        <v>7.5</v>
      </c>
      <c r="K242" s="6" t="n">
        <v>15</v>
      </c>
      <c r="L242" s="6" t="n">
        <v>15</v>
      </c>
      <c r="M242" s="4" t="str">
        <f aca="false">IF(AND(K242="",L242=""),"No closed tickets",IF(K242="","MISSING in catalog",IF(L242="","No valid closed tickets",IF(AND(ABS(K242-L242)&gt;=$S$3,ABS(K242-L242)&gt;=$S$4*MAX(L242,1)),"FAR OFF","OK"))))</f>
        <v>OK</v>
      </c>
      <c r="N242" s="7" t="n">
        <f aca="false">D242/SUMIFS($D$2:$D$741,$B$2:$B$741,B242)</f>
        <v>0.00305654610290372</v>
      </c>
      <c r="O242" s="7" t="n">
        <f aca="false">SUMIFS($D$2:D242,$B$2:B242,B242)/SUMIFS($D$2:$D$741,$B$2:$B$741,B242)</f>
        <v>0.968619460010189</v>
      </c>
      <c r="P242" s="8" t="b">
        <f aca="false">O242-N242&lt;$S$2</f>
        <v>0</v>
      </c>
      <c r="Q242" s="2"/>
      <c r="R242" s="2"/>
      <c r="S242" s="2"/>
    </row>
    <row r="243" customFormat="false" ht="14.25" hidden="false" customHeight="false" outlineLevel="0" collapsed="false">
      <c r="A243" s="4" t="s">
        <v>288</v>
      </c>
      <c r="B243" s="4" t="s">
        <v>258</v>
      </c>
      <c r="C243" s="5" t="n">
        <v>2</v>
      </c>
      <c r="D243" s="5" t="n">
        <v>239</v>
      </c>
      <c r="E243" s="5" t="n">
        <v>36</v>
      </c>
      <c r="F243" s="5" t="n">
        <v>0</v>
      </c>
      <c r="G243" s="5" t="n">
        <v>0</v>
      </c>
      <c r="H243" s="5" t="n">
        <v>239</v>
      </c>
      <c r="I243" s="6" t="n">
        <v>2</v>
      </c>
      <c r="J243" s="6" t="n">
        <v>6.2</v>
      </c>
      <c r="K243" s="6" t="n">
        <v>14</v>
      </c>
      <c r="L243" s="6" t="n">
        <v>14</v>
      </c>
      <c r="M243" s="4" t="str">
        <f aca="false">IF(AND(K243="",L243=""),"No closed tickets",IF(K243="","MISSING in catalog",IF(L243="","No valid closed tickets",IF(AND(ABS(K243-L243)&gt;=$S$3,ABS(K243-L243)&gt;=$S$4*MAX(L243,1)),"FAR OFF","OK"))))</f>
        <v>OK</v>
      </c>
      <c r="N243" s="7" t="n">
        <f aca="false">D243/SUMIFS($D$2:$D$741,$B$2:$B$741,B243)</f>
        <v>0.00304381049414162</v>
      </c>
      <c r="O243" s="7" t="n">
        <f aca="false">SUMIFS($D$2:D243,$B$2:B243,B243)/SUMIFS($D$2:$D$741,$B$2:$B$741,B243)</f>
        <v>0.97166327050433</v>
      </c>
      <c r="P243" s="8" t="b">
        <f aca="false">O243-N243&lt;$S$2</f>
        <v>0</v>
      </c>
      <c r="Q243" s="2"/>
      <c r="R243" s="2"/>
      <c r="S243" s="2"/>
    </row>
    <row r="244" customFormat="false" ht="14.25" hidden="false" customHeight="false" outlineLevel="0" collapsed="false">
      <c r="A244" s="4" t="s">
        <v>289</v>
      </c>
      <c r="B244" s="4" t="s">
        <v>258</v>
      </c>
      <c r="C244" s="5" t="n">
        <v>2</v>
      </c>
      <c r="D244" s="5" t="n">
        <v>192</v>
      </c>
      <c r="E244" s="5" t="n">
        <v>41</v>
      </c>
      <c r="F244" s="5" t="n">
        <v>3</v>
      </c>
      <c r="G244" s="5" t="n">
        <v>0</v>
      </c>
      <c r="H244" s="5" t="n">
        <v>189</v>
      </c>
      <c r="I244" s="6" t="n">
        <v>2</v>
      </c>
      <c r="J244" s="6" t="n">
        <v>5.4</v>
      </c>
      <c r="K244" s="6" t="n">
        <v>14</v>
      </c>
      <c r="L244" s="6" t="n">
        <v>14.2</v>
      </c>
      <c r="M244" s="4" t="str">
        <f aca="false">IF(AND(K244="",L244=""),"No closed tickets",IF(K244="","MISSING in catalog",IF(L244="","No valid closed tickets",IF(AND(ABS(K244-L244)&gt;=$S$3,ABS(K244-L244)&gt;=$S$4*MAX(L244,1)),"FAR OFF","OK"))))</f>
        <v>OK</v>
      </c>
      <c r="N244" s="7" t="n">
        <f aca="false">D244/SUMIFS($D$2:$D$741,$B$2:$B$741,B244)</f>
        <v>0.00244523688232298</v>
      </c>
      <c r="O244" s="7" t="n">
        <f aca="false">SUMIFS($D$2:D244,$B$2:B244,B244)/SUMIFS($D$2:$D$741,$B$2:$B$741,B244)</f>
        <v>0.974108507386653</v>
      </c>
      <c r="P244" s="8" t="b">
        <f aca="false">O244-N244&lt;$S$2</f>
        <v>0</v>
      </c>
      <c r="Q244" s="2"/>
      <c r="R244" s="2"/>
      <c r="S244" s="2"/>
    </row>
    <row r="245" customFormat="false" ht="14.25" hidden="false" customHeight="false" outlineLevel="0" collapsed="false">
      <c r="A245" s="4" t="s">
        <v>290</v>
      </c>
      <c r="B245" s="4" t="s">
        <v>258</v>
      </c>
      <c r="C245" s="5" t="n">
        <v>3</v>
      </c>
      <c r="D245" s="5" t="n">
        <v>180</v>
      </c>
      <c r="E245" s="5" t="n">
        <v>25</v>
      </c>
      <c r="F245" s="5" t="n">
        <v>0</v>
      </c>
      <c r="G245" s="5" t="n">
        <v>0</v>
      </c>
      <c r="H245" s="5" t="n">
        <v>180</v>
      </c>
      <c r="I245" s="6" t="n">
        <v>5</v>
      </c>
      <c r="J245" s="6" t="n">
        <v>6.1</v>
      </c>
      <c r="K245" s="6" t="n">
        <v>11</v>
      </c>
      <c r="L245" s="6" t="n">
        <v>11</v>
      </c>
      <c r="M245" s="4" t="str">
        <f aca="false">IF(AND(K245="",L245=""),"No closed tickets",IF(K245="","MISSING in catalog",IF(L245="","No valid closed tickets",IF(AND(ABS(K245-L245)&gt;=$S$3,ABS(K245-L245)&gt;=$S$4*MAX(L245,1)),"FAR OFF","OK"))))</f>
        <v>OK</v>
      </c>
      <c r="N245" s="7" t="n">
        <f aca="false">D245/SUMIFS($D$2:$D$741,$B$2:$B$741,B245)</f>
        <v>0.00229240957717779</v>
      </c>
      <c r="O245" s="7" t="n">
        <f aca="false">SUMIFS($D$2:D245,$B$2:B245,B245)/SUMIFS($D$2:$D$741,$B$2:$B$741,B245)</f>
        <v>0.976400916963831</v>
      </c>
      <c r="P245" s="8" t="b">
        <f aca="false">O245-N245&lt;$S$2</f>
        <v>0</v>
      </c>
      <c r="Q245" s="2"/>
      <c r="R245" s="2"/>
      <c r="S245" s="2"/>
    </row>
    <row r="246" customFormat="false" ht="14.25" hidden="false" customHeight="false" outlineLevel="0" collapsed="false">
      <c r="A246" s="4" t="s">
        <v>291</v>
      </c>
      <c r="B246" s="4" t="s">
        <v>258</v>
      </c>
      <c r="C246" s="5" t="n">
        <v>2</v>
      </c>
      <c r="D246" s="5" t="n">
        <v>180</v>
      </c>
      <c r="E246" s="5" t="n">
        <v>35</v>
      </c>
      <c r="F246" s="5" t="n">
        <v>1</v>
      </c>
      <c r="G246" s="5" t="n">
        <v>0</v>
      </c>
      <c r="H246" s="5" t="n">
        <v>179</v>
      </c>
      <c r="I246" s="6" t="n">
        <v>9</v>
      </c>
      <c r="J246" s="6" t="n">
        <v>18.6</v>
      </c>
      <c r="K246" s="6" t="n">
        <v>51</v>
      </c>
      <c r="L246" s="6" t="n">
        <v>51.2</v>
      </c>
      <c r="M246" s="4" t="str">
        <f aca="false">IF(AND(K246="",L246=""),"No closed tickets",IF(K246="","MISSING in catalog",IF(L246="","No valid closed tickets",IF(AND(ABS(K246-L246)&gt;=$S$3,ABS(K246-L246)&gt;=$S$4*MAX(L246,1)),"FAR OFF","OK"))))</f>
        <v>OK</v>
      </c>
      <c r="N246" s="7" t="n">
        <f aca="false">D246/SUMIFS($D$2:$D$741,$B$2:$B$741,B246)</f>
        <v>0.00229240957717779</v>
      </c>
      <c r="O246" s="7" t="n">
        <f aca="false">SUMIFS($D$2:D246,$B$2:B246,B246)/SUMIFS($D$2:$D$741,$B$2:$B$741,B246)</f>
        <v>0.978693326541009</v>
      </c>
      <c r="P246" s="8" t="b">
        <f aca="false">O246-N246&lt;$S$2</f>
        <v>0</v>
      </c>
      <c r="Q246" s="2"/>
      <c r="R246" s="2"/>
      <c r="S246" s="2"/>
    </row>
    <row r="247" customFormat="false" ht="14.25" hidden="false" customHeight="false" outlineLevel="0" collapsed="false">
      <c r="A247" s="4" t="s">
        <v>292</v>
      </c>
      <c r="B247" s="4" t="s">
        <v>258</v>
      </c>
      <c r="C247" s="5" t="n">
        <v>3</v>
      </c>
      <c r="D247" s="5" t="n">
        <v>172</v>
      </c>
      <c r="E247" s="5" t="n">
        <v>53</v>
      </c>
      <c r="F247" s="5" t="n">
        <v>2</v>
      </c>
      <c r="G247" s="5" t="n">
        <v>0</v>
      </c>
      <c r="H247" s="5" t="n">
        <v>170</v>
      </c>
      <c r="I247" s="6" t="n">
        <v>4</v>
      </c>
      <c r="J247" s="6" t="n">
        <v>7.1</v>
      </c>
      <c r="K247" s="6" t="n">
        <v>14</v>
      </c>
      <c r="L247" s="6" t="n">
        <v>14.1</v>
      </c>
      <c r="M247" s="4" t="str">
        <f aca="false">IF(AND(K247="",L247=""),"No closed tickets",IF(K247="","MISSING in catalog",IF(L247="","No valid closed tickets",IF(AND(ABS(K247-L247)&gt;=$S$3,ABS(K247-L247)&gt;=$S$4*MAX(L247,1)),"FAR OFF","OK"))))</f>
        <v>OK</v>
      </c>
      <c r="N247" s="7" t="n">
        <f aca="false">D247/SUMIFS($D$2:$D$741,$B$2:$B$741,B247)</f>
        <v>0.002190524707081</v>
      </c>
      <c r="O247" s="7" t="n">
        <f aca="false">SUMIFS($D$2:D247,$B$2:B247,B247)/SUMIFS($D$2:$D$741,$B$2:$B$741,B247)</f>
        <v>0.98088385124809</v>
      </c>
      <c r="P247" s="8" t="b">
        <f aca="false">O247-N247&lt;$S$2</f>
        <v>0</v>
      </c>
      <c r="Q247" s="2"/>
      <c r="R247" s="2"/>
      <c r="S247" s="2"/>
    </row>
    <row r="248" customFormat="false" ht="14.25" hidden="false" customHeight="false" outlineLevel="0" collapsed="false">
      <c r="A248" s="4" t="s">
        <v>293</v>
      </c>
      <c r="B248" s="4" t="s">
        <v>258</v>
      </c>
      <c r="C248" s="5" t="n">
        <v>2</v>
      </c>
      <c r="D248" s="5" t="n">
        <v>172</v>
      </c>
      <c r="E248" s="5" t="n">
        <v>30</v>
      </c>
      <c r="F248" s="5" t="n">
        <v>0</v>
      </c>
      <c r="G248" s="5" t="n">
        <v>0</v>
      </c>
      <c r="H248" s="5" t="n">
        <v>172</v>
      </c>
      <c r="I248" s="6" t="n">
        <v>6</v>
      </c>
      <c r="J248" s="6" t="n">
        <v>8.9</v>
      </c>
      <c r="K248" s="6" t="n">
        <v>19</v>
      </c>
      <c r="L248" s="6" t="n">
        <v>19</v>
      </c>
      <c r="M248" s="4" t="str">
        <f aca="false">IF(AND(K248="",L248=""),"No closed tickets",IF(K248="","MISSING in catalog",IF(L248="","No valid closed tickets",IF(AND(ABS(K248-L248)&gt;=$S$3,ABS(K248-L248)&gt;=$S$4*MAX(L248,1)),"FAR OFF","OK"))))</f>
        <v>OK</v>
      </c>
      <c r="N248" s="7" t="n">
        <f aca="false">D248/SUMIFS($D$2:$D$741,$B$2:$B$741,B248)</f>
        <v>0.002190524707081</v>
      </c>
      <c r="O248" s="7" t="n">
        <f aca="false">SUMIFS($D$2:D248,$B$2:B248,B248)/SUMIFS($D$2:$D$741,$B$2:$B$741,B248)</f>
        <v>0.983074375955171</v>
      </c>
      <c r="P248" s="8" t="b">
        <f aca="false">O248-N248&lt;$S$2</f>
        <v>0</v>
      </c>
      <c r="Q248" s="2"/>
      <c r="R248" s="2"/>
      <c r="S248" s="2"/>
    </row>
    <row r="249" customFormat="false" ht="14.25" hidden="false" customHeight="false" outlineLevel="0" collapsed="false">
      <c r="A249" s="4" t="s">
        <v>294</v>
      </c>
      <c r="B249" s="4" t="s">
        <v>258</v>
      </c>
      <c r="C249" s="5" t="n">
        <v>2</v>
      </c>
      <c r="D249" s="5" t="n">
        <v>170</v>
      </c>
      <c r="E249" s="5" t="n">
        <v>24</v>
      </c>
      <c r="F249" s="5" t="n">
        <v>0</v>
      </c>
      <c r="G249" s="5" t="n">
        <v>0</v>
      </c>
      <c r="H249" s="5" t="n">
        <v>170</v>
      </c>
      <c r="I249" s="6" t="n">
        <v>2.5</v>
      </c>
      <c r="J249" s="6" t="n">
        <v>8.4</v>
      </c>
      <c r="K249" s="6" t="n">
        <v>19</v>
      </c>
      <c r="L249" s="6" t="n">
        <v>19</v>
      </c>
      <c r="M249" s="4" t="str">
        <f aca="false">IF(AND(K249="",L249=""),"No closed tickets",IF(K249="","MISSING in catalog",IF(L249="","No valid closed tickets",IF(AND(ABS(K249-L249)&gt;=$S$3,ABS(K249-L249)&gt;=$S$4*MAX(L249,1)),"FAR OFF","OK"))))</f>
        <v>OK</v>
      </c>
      <c r="N249" s="7" t="n">
        <f aca="false">D249/SUMIFS($D$2:$D$741,$B$2:$B$741,B249)</f>
        <v>0.0021650534895568</v>
      </c>
      <c r="O249" s="7" t="n">
        <f aca="false">SUMIFS($D$2:D249,$B$2:B249,B249)/SUMIFS($D$2:$D$741,$B$2:$B$741,B249)</f>
        <v>0.985239429444727</v>
      </c>
      <c r="P249" s="8" t="b">
        <f aca="false">O249-N249&lt;$S$2</f>
        <v>0</v>
      </c>
      <c r="Q249" s="2"/>
      <c r="R249" s="2"/>
      <c r="S249" s="2"/>
    </row>
    <row r="250" customFormat="false" ht="14.25" hidden="false" customHeight="false" outlineLevel="0" collapsed="false">
      <c r="A250" s="4" t="s">
        <v>295</v>
      </c>
      <c r="B250" s="4" t="s">
        <v>258</v>
      </c>
      <c r="C250" s="5" t="n">
        <v>2</v>
      </c>
      <c r="D250" s="5" t="n">
        <v>144</v>
      </c>
      <c r="E250" s="5" t="n">
        <v>0</v>
      </c>
      <c r="F250" s="5" t="n">
        <v>0</v>
      </c>
      <c r="G250" s="5" t="n">
        <v>0</v>
      </c>
      <c r="H250" s="5" t="n">
        <v>144</v>
      </c>
      <c r="I250" s="6" t="n">
        <v>4.5</v>
      </c>
      <c r="J250" s="6" t="n">
        <v>8.7</v>
      </c>
      <c r="K250" s="6" t="n">
        <v>20</v>
      </c>
      <c r="L250" s="6" t="n">
        <v>20</v>
      </c>
      <c r="M250" s="4" t="str">
        <f aca="false">IF(AND(K250="",L250=""),"No closed tickets",IF(K250="","MISSING in catalog",IF(L250="","No valid closed tickets",IF(AND(ABS(K250-L250)&gt;=$S$3,ABS(K250-L250)&gt;=$S$4*MAX(L250,1)),"FAR OFF","OK"))))</f>
        <v>OK</v>
      </c>
      <c r="N250" s="7" t="n">
        <f aca="false">D250/SUMIFS($D$2:$D$741,$B$2:$B$741,B250)</f>
        <v>0.00183392766174223</v>
      </c>
      <c r="O250" s="7" t="n">
        <f aca="false">SUMIFS($D$2:D250,$B$2:B250,B250)/SUMIFS($D$2:$D$741,$B$2:$B$741,B250)</f>
        <v>0.98707335710647</v>
      </c>
      <c r="P250" s="8" t="b">
        <f aca="false">O250-N250&lt;$S$2</f>
        <v>0</v>
      </c>
      <c r="Q250" s="2"/>
      <c r="R250" s="2"/>
      <c r="S250" s="2"/>
    </row>
    <row r="251" customFormat="false" ht="14.25" hidden="false" customHeight="false" outlineLevel="0" collapsed="false">
      <c r="A251" s="4" t="s">
        <v>296</v>
      </c>
      <c r="B251" s="4" t="s">
        <v>258</v>
      </c>
      <c r="C251" s="5" t="n">
        <v>1</v>
      </c>
      <c r="D251" s="5" t="n">
        <v>129</v>
      </c>
      <c r="E251" s="5" t="n">
        <v>125</v>
      </c>
      <c r="F251" s="5" t="n">
        <v>18</v>
      </c>
      <c r="G251" s="5" t="n">
        <v>7</v>
      </c>
      <c r="H251" s="5" t="n">
        <v>111</v>
      </c>
      <c r="I251" s="6" t="n">
        <v>31</v>
      </c>
      <c r="J251" s="6" t="n">
        <v>51.2</v>
      </c>
      <c r="K251" s="6" t="n">
        <v>130</v>
      </c>
      <c r="L251" s="6" t="n">
        <v>130</v>
      </c>
      <c r="M251" s="4" t="str">
        <f aca="false">IF(AND(K251="",L251=""),"No closed tickets",IF(K251="","MISSING in catalog",IF(L251="","No valid closed tickets",IF(AND(ABS(K251-L251)&gt;=$S$3,ABS(K251-L251)&gt;=$S$4*MAX(L251,1)),"FAR OFF","OK"))))</f>
        <v>OK</v>
      </c>
      <c r="N251" s="7" t="n">
        <f aca="false">D251/SUMIFS($D$2:$D$741,$B$2:$B$741,B251)</f>
        <v>0.00164289353031075</v>
      </c>
      <c r="O251" s="7" t="n">
        <f aca="false">SUMIFS($D$2:D251,$B$2:B251,B251)/SUMIFS($D$2:$D$741,$B$2:$B$741,B251)</f>
        <v>0.988716250636781</v>
      </c>
      <c r="P251" s="8" t="b">
        <f aca="false">O251-N251&lt;$S$2</f>
        <v>0</v>
      </c>
      <c r="Q251" s="2"/>
      <c r="R251" s="2"/>
      <c r="S251" s="2"/>
    </row>
    <row r="252" customFormat="false" ht="14.25" hidden="false" customHeight="false" outlineLevel="0" collapsed="false">
      <c r="A252" s="4" t="s">
        <v>297</v>
      </c>
      <c r="B252" s="4" t="s">
        <v>258</v>
      </c>
      <c r="C252" s="5" t="n">
        <v>1</v>
      </c>
      <c r="D252" s="5" t="n">
        <v>119</v>
      </c>
      <c r="E252" s="5" t="n">
        <v>61</v>
      </c>
      <c r="F252" s="5" t="n">
        <v>0</v>
      </c>
      <c r="G252" s="5" t="n">
        <v>0</v>
      </c>
      <c r="H252" s="5" t="n">
        <v>119</v>
      </c>
      <c r="I252" s="6" t="n">
        <v>3</v>
      </c>
      <c r="J252" s="6" t="n">
        <v>5.1</v>
      </c>
      <c r="K252" s="6" t="n">
        <v>12</v>
      </c>
      <c r="L252" s="6" t="n">
        <v>12</v>
      </c>
      <c r="M252" s="4" t="str">
        <f aca="false">IF(AND(K252="",L252=""),"No closed tickets",IF(K252="","MISSING in catalog",IF(L252="","No valid closed tickets",IF(AND(ABS(K252-L252)&gt;=$S$3,ABS(K252-L252)&gt;=$S$4*MAX(L252,1)),"FAR OFF","OK"))))</f>
        <v>OK</v>
      </c>
      <c r="N252" s="7" t="n">
        <f aca="false">D252/SUMIFS($D$2:$D$741,$B$2:$B$741,B252)</f>
        <v>0.00151553744268976</v>
      </c>
      <c r="O252" s="7" t="n">
        <f aca="false">SUMIFS($D$2:D252,$B$2:B252,B252)/SUMIFS($D$2:$D$741,$B$2:$B$741,B252)</f>
        <v>0.99023178807947</v>
      </c>
      <c r="P252" s="8" t="b">
        <f aca="false">O252-N252&lt;$S$2</f>
        <v>0</v>
      </c>
      <c r="Q252" s="2"/>
      <c r="R252" s="2"/>
      <c r="S252" s="2"/>
    </row>
    <row r="253" customFormat="false" ht="14.25" hidden="false" customHeight="false" outlineLevel="0" collapsed="false">
      <c r="A253" s="4" t="s">
        <v>298</v>
      </c>
      <c r="B253" s="4" t="s">
        <v>258</v>
      </c>
      <c r="C253" s="5" t="n">
        <v>2</v>
      </c>
      <c r="D253" s="5" t="n">
        <v>112</v>
      </c>
      <c r="E253" s="5" t="n">
        <v>39</v>
      </c>
      <c r="F253" s="5" t="n">
        <v>0</v>
      </c>
      <c r="G253" s="5" t="n">
        <v>0</v>
      </c>
      <c r="H253" s="5" t="n">
        <v>112</v>
      </c>
      <c r="I253" s="6" t="n">
        <v>2</v>
      </c>
      <c r="J253" s="6" t="n">
        <v>5.3</v>
      </c>
      <c r="K253" s="6" t="n">
        <v>17</v>
      </c>
      <c r="L253" s="6" t="n">
        <v>17</v>
      </c>
      <c r="M253" s="4" t="str">
        <f aca="false">IF(AND(K253="",L253=""),"No closed tickets",IF(K253="","MISSING in catalog",IF(L253="","No valid closed tickets",IF(AND(ABS(K253-L253)&gt;=$S$3,ABS(K253-L253)&gt;=$S$4*MAX(L253,1)),"FAR OFF","OK"))))</f>
        <v>OK</v>
      </c>
      <c r="N253" s="7" t="n">
        <f aca="false">D253/SUMIFS($D$2:$D$741,$B$2:$B$741,B253)</f>
        <v>0.00142638818135507</v>
      </c>
      <c r="O253" s="7" t="n">
        <f aca="false">SUMIFS($D$2:D253,$B$2:B253,B253)/SUMIFS($D$2:$D$741,$B$2:$B$741,B253)</f>
        <v>0.991658176260825</v>
      </c>
      <c r="P253" s="8" t="b">
        <f aca="false">O253-N253&lt;$S$2</f>
        <v>0</v>
      </c>
      <c r="Q253" s="2"/>
      <c r="R253" s="2"/>
      <c r="S253" s="2"/>
    </row>
    <row r="254" customFormat="false" ht="14.25" hidden="false" customHeight="false" outlineLevel="0" collapsed="false">
      <c r="A254" s="4" t="s">
        <v>299</v>
      </c>
      <c r="B254" s="4" t="s">
        <v>258</v>
      </c>
      <c r="C254" s="5" t="n">
        <v>2</v>
      </c>
      <c r="D254" s="5" t="n">
        <v>111</v>
      </c>
      <c r="E254" s="5" t="n">
        <v>38</v>
      </c>
      <c r="F254" s="5" t="n">
        <v>4</v>
      </c>
      <c r="G254" s="5" t="n">
        <v>2</v>
      </c>
      <c r="H254" s="5" t="n">
        <v>107</v>
      </c>
      <c r="I254" s="6" t="n">
        <v>22</v>
      </c>
      <c r="J254" s="6" t="n">
        <v>36.1</v>
      </c>
      <c r="K254" s="6" t="n">
        <v>77</v>
      </c>
      <c r="L254" s="6" t="n">
        <v>77.4</v>
      </c>
      <c r="M254" s="4" t="str">
        <f aca="false">IF(AND(K254="",L254=""),"No closed tickets",IF(K254="","MISSING in catalog",IF(L254="","No valid closed tickets",IF(AND(ABS(K254-L254)&gt;=$S$3,ABS(K254-L254)&gt;=$S$4*MAX(L254,1)),"FAR OFF","OK"))))</f>
        <v>OK</v>
      </c>
      <c r="N254" s="7" t="n">
        <f aca="false">D254/SUMIFS($D$2:$D$741,$B$2:$B$741,B254)</f>
        <v>0.00141365257259297</v>
      </c>
      <c r="O254" s="7" t="n">
        <f aca="false">SUMIFS($D$2:D254,$B$2:B254,B254)/SUMIFS($D$2:$D$741,$B$2:$B$741,B254)</f>
        <v>0.993071828833418</v>
      </c>
      <c r="P254" s="8" t="b">
        <f aca="false">O254-N254&lt;$S$2</f>
        <v>0</v>
      </c>
      <c r="Q254" s="2"/>
      <c r="R254" s="2"/>
      <c r="S254" s="2"/>
    </row>
    <row r="255" customFormat="false" ht="14.25" hidden="false" customHeight="false" outlineLevel="0" collapsed="false">
      <c r="A255" s="4" t="s">
        <v>300</v>
      </c>
      <c r="B255" s="4" t="s">
        <v>258</v>
      </c>
      <c r="C255" s="5" t="n">
        <v>1</v>
      </c>
      <c r="D255" s="5" t="n">
        <v>102</v>
      </c>
      <c r="E255" s="5" t="n">
        <v>34</v>
      </c>
      <c r="F255" s="5" t="n">
        <v>0</v>
      </c>
      <c r="G255" s="5" t="n">
        <v>0</v>
      </c>
      <c r="H255" s="5" t="n">
        <v>102</v>
      </c>
      <c r="I255" s="6" t="n">
        <v>3.5</v>
      </c>
      <c r="J255" s="6" t="n">
        <v>14.2</v>
      </c>
      <c r="K255" s="6" t="n">
        <v>48</v>
      </c>
      <c r="L255" s="6" t="n">
        <v>48</v>
      </c>
      <c r="M255" s="4" t="str">
        <f aca="false">IF(AND(K255="",L255=""),"No closed tickets",IF(K255="","MISSING in catalog",IF(L255="","No valid closed tickets",IF(AND(ABS(K255-L255)&gt;=$S$3,ABS(K255-L255)&gt;=$S$4*MAX(L255,1)),"FAR OFF","OK"))))</f>
        <v>OK</v>
      </c>
      <c r="N255" s="7" t="n">
        <f aca="false">D255/SUMIFS($D$2:$D$741,$B$2:$B$741,B255)</f>
        <v>0.00129903209373408</v>
      </c>
      <c r="O255" s="7" t="n">
        <f aca="false">SUMIFS($D$2:D255,$B$2:B255,B255)/SUMIFS($D$2:$D$741,$B$2:$B$741,B255)</f>
        <v>0.994370860927152</v>
      </c>
      <c r="P255" s="8" t="b">
        <f aca="false">O255-N255&lt;$S$2</f>
        <v>0</v>
      </c>
      <c r="Q255" s="2"/>
      <c r="R255" s="2"/>
      <c r="S255" s="2"/>
    </row>
    <row r="256" customFormat="false" ht="14.25" hidden="false" customHeight="false" outlineLevel="0" collapsed="false">
      <c r="A256" s="4" t="s">
        <v>301</v>
      </c>
      <c r="B256" s="4" t="s">
        <v>258</v>
      </c>
      <c r="C256" s="5" t="n">
        <v>2</v>
      </c>
      <c r="D256" s="5" t="n">
        <v>86</v>
      </c>
      <c r="E256" s="5" t="n">
        <v>14</v>
      </c>
      <c r="F256" s="5" t="n">
        <v>0</v>
      </c>
      <c r="G256" s="5" t="n">
        <v>0</v>
      </c>
      <c r="H256" s="5" t="n">
        <v>86</v>
      </c>
      <c r="I256" s="6" t="n">
        <v>3.5</v>
      </c>
      <c r="J256" s="6" t="n">
        <v>12.9</v>
      </c>
      <c r="K256" s="6" t="n">
        <v>54</v>
      </c>
      <c r="L256" s="6" t="n">
        <v>54</v>
      </c>
      <c r="M256" s="4" t="str">
        <f aca="false">IF(AND(K256="",L256=""),"No closed tickets",IF(K256="","MISSING in catalog",IF(L256="","No valid closed tickets",IF(AND(ABS(K256-L256)&gt;=$S$3,ABS(K256-L256)&gt;=$S$4*MAX(L256,1)),"FAR OFF","OK"))))</f>
        <v>OK</v>
      </c>
      <c r="N256" s="7" t="n">
        <f aca="false">D256/SUMIFS($D$2:$D$741,$B$2:$B$741,B256)</f>
        <v>0.0010952623535405</v>
      </c>
      <c r="O256" s="7" t="n">
        <f aca="false">SUMIFS($D$2:D256,$B$2:B256,B256)/SUMIFS($D$2:$D$741,$B$2:$B$741,B256)</f>
        <v>0.995466123280693</v>
      </c>
      <c r="P256" s="8" t="b">
        <f aca="false">O256-N256&lt;$S$2</f>
        <v>0</v>
      </c>
      <c r="Q256" s="2"/>
      <c r="R256" s="2"/>
      <c r="S256" s="2"/>
    </row>
    <row r="257" customFormat="false" ht="14.25" hidden="false" customHeight="false" outlineLevel="0" collapsed="false">
      <c r="A257" s="4" t="s">
        <v>302</v>
      </c>
      <c r="B257" s="4" t="s">
        <v>258</v>
      </c>
      <c r="C257" s="5" t="n">
        <v>1</v>
      </c>
      <c r="D257" s="5" t="n">
        <v>85</v>
      </c>
      <c r="E257" s="5" t="n">
        <v>69</v>
      </c>
      <c r="F257" s="5" t="n">
        <v>11</v>
      </c>
      <c r="G257" s="5" t="n">
        <v>9</v>
      </c>
      <c r="H257" s="5" t="n">
        <v>74</v>
      </c>
      <c r="I257" s="6" t="n">
        <v>44</v>
      </c>
      <c r="J257" s="6" t="n">
        <v>68.8</v>
      </c>
      <c r="K257" s="6" t="n">
        <v>169</v>
      </c>
      <c r="L257" s="6" t="n">
        <v>168.7</v>
      </c>
      <c r="M257" s="4" t="str">
        <f aca="false">IF(AND(K257="",L257=""),"No closed tickets",IF(K257="","MISSING in catalog",IF(L257="","No valid closed tickets",IF(AND(ABS(K257-L257)&gt;=$S$3,ABS(K257-L257)&gt;=$S$4*MAX(L257,1)),"FAR OFF","OK"))))</f>
        <v>OK</v>
      </c>
      <c r="N257" s="7" t="n">
        <f aca="false">D257/SUMIFS($D$2:$D$741,$B$2:$B$741,B257)</f>
        <v>0.0010825267447784</v>
      </c>
      <c r="O257" s="7" t="n">
        <f aca="false">SUMIFS($D$2:D257,$B$2:B257,B257)/SUMIFS($D$2:$D$741,$B$2:$B$741,B257)</f>
        <v>0.996548650025471</v>
      </c>
      <c r="P257" s="8" t="b">
        <f aca="false">O257-N257&lt;$S$2</f>
        <v>0</v>
      </c>
      <c r="Q257" s="2"/>
      <c r="R257" s="2"/>
      <c r="S257" s="2"/>
    </row>
    <row r="258" customFormat="false" ht="14.25" hidden="false" customHeight="false" outlineLevel="0" collapsed="false">
      <c r="A258" s="4" t="s">
        <v>303</v>
      </c>
      <c r="B258" s="4" t="s">
        <v>258</v>
      </c>
      <c r="C258" s="5" t="n">
        <v>2</v>
      </c>
      <c r="D258" s="5" t="n">
        <v>83</v>
      </c>
      <c r="E258" s="5" t="n">
        <v>3</v>
      </c>
      <c r="F258" s="5" t="n">
        <v>0</v>
      </c>
      <c r="G258" s="5" t="n">
        <v>0</v>
      </c>
      <c r="H258" s="5" t="n">
        <v>83</v>
      </c>
      <c r="I258" s="6" t="n">
        <v>7</v>
      </c>
      <c r="J258" s="6" t="n">
        <v>8.2</v>
      </c>
      <c r="K258" s="6" t="n">
        <v>17</v>
      </c>
      <c r="L258" s="6" t="n">
        <v>17</v>
      </c>
      <c r="M258" s="4" t="str">
        <f aca="false">IF(AND(K258="",L258=""),"No closed tickets",IF(K258="","MISSING in catalog",IF(L258="","No valid closed tickets",IF(AND(ABS(K258-L258)&gt;=$S$3,ABS(K258-L258)&gt;=$S$4*MAX(L258,1)),"FAR OFF","OK"))))</f>
        <v>OK</v>
      </c>
      <c r="N258" s="7" t="n">
        <f aca="false">D258/SUMIFS($D$2:$D$741,$B$2:$B$741,B258)</f>
        <v>0.0010570555272542</v>
      </c>
      <c r="O258" s="7" t="n">
        <f aca="false">SUMIFS($D$2:D258,$B$2:B258,B258)/SUMIFS($D$2:$D$741,$B$2:$B$741,B258)</f>
        <v>0.997605705552725</v>
      </c>
      <c r="P258" s="8" t="b">
        <f aca="false">O258-N258&lt;$S$2</f>
        <v>0</v>
      </c>
      <c r="Q258" s="2"/>
      <c r="R258" s="2"/>
      <c r="S258" s="2"/>
    </row>
    <row r="259" customFormat="false" ht="14.25" hidden="false" customHeight="false" outlineLevel="0" collapsed="false">
      <c r="A259" s="4" t="s">
        <v>304</v>
      </c>
      <c r="B259" s="4" t="s">
        <v>258</v>
      </c>
      <c r="C259" s="5" t="n">
        <v>2</v>
      </c>
      <c r="D259" s="5" t="n">
        <v>59</v>
      </c>
      <c r="E259" s="5" t="n">
        <v>16</v>
      </c>
      <c r="F259" s="5" t="n">
        <v>1</v>
      </c>
      <c r="G259" s="5" t="n">
        <v>0</v>
      </c>
      <c r="H259" s="5" t="n">
        <v>58</v>
      </c>
      <c r="I259" s="6" t="n">
        <v>8</v>
      </c>
      <c r="J259" s="6" t="n">
        <v>16.4</v>
      </c>
      <c r="K259" s="6" t="n">
        <v>43</v>
      </c>
      <c r="L259" s="6" t="n">
        <v>42.6</v>
      </c>
      <c r="M259" s="4" t="str">
        <f aca="false">IF(AND(K259="",L259=""),"No closed tickets",IF(K259="","MISSING in catalog",IF(L259="","No valid closed tickets",IF(AND(ABS(K259-L259)&gt;=$S$3,ABS(K259-L259)&gt;=$S$4*MAX(L259,1)),"FAR OFF","OK"))))</f>
        <v>OK</v>
      </c>
      <c r="N259" s="7" t="n">
        <f aca="false">D259/SUMIFS($D$2:$D$741,$B$2:$B$741,B259)</f>
        <v>0.000751400916963831</v>
      </c>
      <c r="O259" s="7" t="n">
        <f aca="false">SUMIFS($D$2:D259,$B$2:B259,B259)/SUMIFS($D$2:$D$741,$B$2:$B$741,B259)</f>
        <v>0.998357106469689</v>
      </c>
      <c r="P259" s="8" t="b">
        <f aca="false">O259-N259&lt;$S$2</f>
        <v>0</v>
      </c>
      <c r="Q259" s="2"/>
      <c r="R259" s="2"/>
      <c r="S259" s="2"/>
    </row>
    <row r="260" customFormat="false" ht="14.25" hidden="false" customHeight="false" outlineLevel="0" collapsed="false">
      <c r="A260" s="4" t="s">
        <v>305</v>
      </c>
      <c r="B260" s="4" t="s">
        <v>258</v>
      </c>
      <c r="C260" s="5" t="n">
        <v>2</v>
      </c>
      <c r="D260" s="5" t="n">
        <v>49</v>
      </c>
      <c r="E260" s="5" t="n">
        <v>18</v>
      </c>
      <c r="F260" s="5" t="n">
        <v>0</v>
      </c>
      <c r="G260" s="5" t="n">
        <v>0</v>
      </c>
      <c r="H260" s="5" t="n">
        <v>49</v>
      </c>
      <c r="I260" s="6" t="n">
        <v>6</v>
      </c>
      <c r="J260" s="6" t="n">
        <v>19.9</v>
      </c>
      <c r="K260" s="6" t="n">
        <v>57</v>
      </c>
      <c r="L260" s="6" t="n">
        <v>57.4</v>
      </c>
      <c r="M260" s="4" t="str">
        <f aca="false">IF(AND(K260="",L260=""),"No closed tickets",IF(K260="","MISSING in catalog",IF(L260="","No valid closed tickets",IF(AND(ABS(K260-L260)&gt;=$S$3,ABS(K260-L260)&gt;=$S$4*MAX(L260,1)),"FAR OFF","OK"))))</f>
        <v>OK</v>
      </c>
      <c r="N260" s="7" t="n">
        <f aca="false">D260/SUMIFS($D$2:$D$741,$B$2:$B$741,B260)</f>
        <v>0.000624044829342843</v>
      </c>
      <c r="O260" s="7" t="n">
        <f aca="false">SUMIFS($D$2:D260,$B$2:B260,B260)/SUMIFS($D$2:$D$741,$B$2:$B$741,B260)</f>
        <v>0.998981151299032</v>
      </c>
      <c r="P260" s="8" t="b">
        <f aca="false">O260-N260&lt;$S$2</f>
        <v>0</v>
      </c>
      <c r="Q260" s="2"/>
      <c r="R260" s="2"/>
      <c r="S260" s="2"/>
    </row>
    <row r="261" customFormat="false" ht="14.25" hidden="false" customHeight="false" outlineLevel="0" collapsed="false">
      <c r="A261" s="4" t="s">
        <v>306</v>
      </c>
      <c r="B261" s="4" t="s">
        <v>258</v>
      </c>
      <c r="C261" s="5" t="n">
        <v>2</v>
      </c>
      <c r="D261" s="5" t="n">
        <v>41</v>
      </c>
      <c r="E261" s="5" t="n">
        <v>10</v>
      </c>
      <c r="F261" s="5" t="n">
        <v>0</v>
      </c>
      <c r="G261" s="5" t="n">
        <v>0</v>
      </c>
      <c r="H261" s="5" t="n">
        <v>41</v>
      </c>
      <c r="I261" s="6" t="n">
        <v>4</v>
      </c>
      <c r="J261" s="6" t="n">
        <v>6.1</v>
      </c>
      <c r="K261" s="6" t="n">
        <v>11</v>
      </c>
      <c r="L261" s="6" t="n">
        <v>11</v>
      </c>
      <c r="M261" s="4" t="str">
        <f aca="false">IF(AND(K261="",L261=""),"No closed tickets",IF(K261="","MISSING in catalog",IF(L261="","No valid closed tickets",IF(AND(ABS(K261-L261)&gt;=$S$3,ABS(K261-L261)&gt;=$S$4*MAX(L261,1)),"FAR OFF","OK"))))</f>
        <v>OK</v>
      </c>
      <c r="N261" s="7" t="n">
        <f aca="false">D261/SUMIFS($D$2:$D$741,$B$2:$B$741,B261)</f>
        <v>0.000522159959246052</v>
      </c>
      <c r="O261" s="7" t="n">
        <f aca="false">SUMIFS($D$2:D261,$B$2:B261,B261)/SUMIFS($D$2:$D$741,$B$2:$B$741,B261)</f>
        <v>0.999503311258278</v>
      </c>
      <c r="P261" s="8" t="b">
        <f aca="false">O261-N261&lt;$S$2</f>
        <v>0</v>
      </c>
      <c r="Q261" s="2"/>
      <c r="R261" s="2"/>
      <c r="S261" s="2"/>
    </row>
    <row r="262" customFormat="false" ht="14.25" hidden="false" customHeight="false" outlineLevel="0" collapsed="false">
      <c r="A262" s="4" t="s">
        <v>307</v>
      </c>
      <c r="B262" s="4" t="s">
        <v>258</v>
      </c>
      <c r="C262" s="5" t="n">
        <v>2</v>
      </c>
      <c r="D262" s="5" t="n">
        <v>28</v>
      </c>
      <c r="E262" s="5" t="n">
        <v>0</v>
      </c>
      <c r="F262" s="5" t="n">
        <v>0</v>
      </c>
      <c r="G262" s="5" t="n">
        <v>0</v>
      </c>
      <c r="H262" s="5" t="n">
        <v>28</v>
      </c>
      <c r="I262" s="6" t="n">
        <v>4</v>
      </c>
      <c r="J262" s="6" t="n">
        <v>8.2</v>
      </c>
      <c r="K262" s="6" t="n">
        <v>19</v>
      </c>
      <c r="L262" s="6" t="n">
        <v>18.6</v>
      </c>
      <c r="M262" s="4" t="str">
        <f aca="false">IF(AND(K262="",L262=""),"No closed tickets",IF(K262="","MISSING in catalog",IF(L262="","No valid closed tickets",IF(AND(ABS(K262-L262)&gt;=$S$3,ABS(K262-L262)&gt;=$S$4*MAX(L262,1)),"FAR OFF","OK"))))</f>
        <v>OK</v>
      </c>
      <c r="N262" s="7" t="n">
        <f aca="false">D262/SUMIFS($D$2:$D$741,$B$2:$B$741,B262)</f>
        <v>0.000356597045338767</v>
      </c>
      <c r="O262" s="7" t="n">
        <f aca="false">SUMIFS($D$2:D262,$B$2:B262,B262)/SUMIFS($D$2:$D$741,$B$2:$B$741,B262)</f>
        <v>0.999859908303617</v>
      </c>
      <c r="P262" s="8" t="b">
        <f aca="false">O262-N262&lt;$S$2</f>
        <v>0</v>
      </c>
      <c r="Q262" s="2"/>
      <c r="R262" s="2"/>
      <c r="S262" s="2"/>
    </row>
    <row r="263" customFormat="false" ht="14.25" hidden="false" customHeight="false" outlineLevel="0" collapsed="false">
      <c r="A263" s="4" t="s">
        <v>308</v>
      </c>
      <c r="B263" s="4" t="s">
        <v>258</v>
      </c>
      <c r="C263" s="5" t="n">
        <v>1</v>
      </c>
      <c r="D263" s="5" t="n">
        <v>11</v>
      </c>
      <c r="E263" s="5" t="n">
        <v>10</v>
      </c>
      <c r="F263" s="5" t="n">
        <v>0</v>
      </c>
      <c r="G263" s="5" t="n">
        <v>0</v>
      </c>
      <c r="H263" s="5" t="n">
        <v>11</v>
      </c>
      <c r="I263" s="6" t="n">
        <v>5</v>
      </c>
      <c r="J263" s="6" t="n">
        <v>9.5</v>
      </c>
      <c r="K263" s="6" t="n">
        <v>11</v>
      </c>
      <c r="L263" s="6" t="n">
        <v>11</v>
      </c>
      <c r="M263" s="4" t="str">
        <f aca="false">IF(AND(K263="",L263=""),"No closed tickets",IF(K263="","MISSING in catalog",IF(L263="","No valid closed tickets",IF(AND(ABS(K263-L263)&gt;=$S$3,ABS(K263-L263)&gt;=$S$4*MAX(L263,1)),"FAR OFF","OK"))))</f>
        <v>OK</v>
      </c>
      <c r="N263" s="7" t="n">
        <f aca="false">D263/SUMIFS($D$2:$D$741,$B$2:$B$741,B263)</f>
        <v>0.000140091696383087</v>
      </c>
      <c r="O263" s="7" t="n">
        <f aca="false">SUMIFS($D$2:D263,$B$2:B263,B263)/SUMIFS($D$2:$D$741,$B$2:$B$741,B263)</f>
        <v>1</v>
      </c>
      <c r="P263" s="8" t="b">
        <f aca="false">O263-N263&lt;$S$2</f>
        <v>0</v>
      </c>
      <c r="Q263" s="2"/>
      <c r="R263" s="2"/>
      <c r="S263" s="2"/>
    </row>
    <row r="264" customFormat="false" ht="14.25" hidden="false" customHeight="false" outlineLevel="0" collapsed="false">
      <c r="A264" s="10" t="s">
        <v>309</v>
      </c>
      <c r="B264" s="10" t="s">
        <v>310</v>
      </c>
      <c r="C264" s="11" t="n">
        <v>1</v>
      </c>
      <c r="D264" s="11" t="n">
        <v>8984</v>
      </c>
      <c r="E264" s="11" t="n">
        <v>1708</v>
      </c>
      <c r="F264" s="11" t="n">
        <v>18</v>
      </c>
      <c r="G264" s="11" t="n">
        <v>8</v>
      </c>
      <c r="H264" s="11" t="n">
        <v>8966</v>
      </c>
      <c r="I264" s="12" t="n">
        <v>0</v>
      </c>
      <c r="J264" s="12" t="n">
        <v>4.8</v>
      </c>
      <c r="K264" s="12" t="n">
        <v>2</v>
      </c>
      <c r="L264" s="12" t="n">
        <v>2</v>
      </c>
      <c r="M264" s="10" t="str">
        <f aca="false">IF(AND(K264="",L264=""),"No closed tickets",IF(K264="","MISSING in catalog",IF(L264="","No valid closed tickets",IF(AND(ABS(K264-L264)&gt;=$S$3,ABS(K264-L264)&gt;=$S$4*MAX(L264,1)),"FAR OFF","OK"))))</f>
        <v>OK</v>
      </c>
      <c r="N264" s="13" t="n">
        <f aca="false">D264/SUMIFS($D$2:$D$741,$B$2:$B$741,B264)</f>
        <v>1</v>
      </c>
      <c r="O264" s="13" t="n">
        <f aca="false">SUMIFS($D$2:D264,$B$2:B264,B264)/SUMIFS($D$2:$D$741,$B$2:$B$741,B264)</f>
        <v>1</v>
      </c>
      <c r="P264" s="14" t="b">
        <f aca="false">O264-N264&lt;$S$2</f>
        <v>1</v>
      </c>
      <c r="Q264" s="2"/>
      <c r="R264" s="2"/>
      <c r="S264" s="2"/>
    </row>
    <row r="265" customFormat="false" ht="14.25" hidden="false" customHeight="false" outlineLevel="0" collapsed="false">
      <c r="A265" s="10" t="s">
        <v>311</v>
      </c>
      <c r="B265" s="10" t="s">
        <v>312</v>
      </c>
      <c r="C265" s="11" t="n">
        <v>1</v>
      </c>
      <c r="D265" s="11" t="n">
        <v>1</v>
      </c>
      <c r="E265" s="11" t="n">
        <v>0</v>
      </c>
      <c r="F265" s="11" t="n">
        <v>0</v>
      </c>
      <c r="G265" s="11" t="n">
        <v>0</v>
      </c>
      <c r="H265" s="11" t="n">
        <v>1</v>
      </c>
      <c r="I265" s="12" t="n">
        <v>0</v>
      </c>
      <c r="J265" s="12" t="n">
        <v>0</v>
      </c>
      <c r="K265" s="12" t="n">
        <v>0</v>
      </c>
      <c r="L265" s="12" t="n">
        <v>0</v>
      </c>
      <c r="M265" s="10" t="str">
        <f aca="false">IF(AND(K265="",L265=""),"No closed tickets",IF(K265="","MISSING in catalog",IF(L265="","No valid closed tickets",IF(AND(ABS(K265-L265)&gt;=$S$3,ABS(K265-L265)&gt;=$S$4*MAX(L265,1)),"FAR OFF","OK"))))</f>
        <v>OK</v>
      </c>
      <c r="N265" s="13" t="n">
        <f aca="false">D265/SUMIFS($D$2:$D$741,$B$2:$B$741,B265)</f>
        <v>1</v>
      </c>
      <c r="O265" s="13" t="n">
        <f aca="false">SUMIFS($D$2:D265,$B$2:B265,B265)/SUMIFS($D$2:$D$741,$B$2:$B$741,B265)</f>
        <v>1</v>
      </c>
      <c r="P265" s="14" t="b">
        <f aca="false">O265-N265&lt;$S$2</f>
        <v>1</v>
      </c>
      <c r="Q265" s="2"/>
      <c r="R265" s="2"/>
      <c r="S265" s="2"/>
    </row>
    <row r="266" customFormat="false" ht="14.25" hidden="false" customHeight="false" outlineLevel="0" collapsed="false">
      <c r="A266" s="10" t="s">
        <v>313</v>
      </c>
      <c r="B266" s="10" t="s">
        <v>314</v>
      </c>
      <c r="C266" s="11" t="n">
        <v>1</v>
      </c>
      <c r="D266" s="11" t="n">
        <v>4</v>
      </c>
      <c r="E266" s="11" t="n">
        <v>0</v>
      </c>
      <c r="F266" s="11" t="n">
        <v>0</v>
      </c>
      <c r="G266" s="11" t="n">
        <v>0</v>
      </c>
      <c r="H266" s="11" t="n">
        <v>4</v>
      </c>
      <c r="I266" s="12" t="n">
        <v>1</v>
      </c>
      <c r="J266" s="12" t="n">
        <v>0.8</v>
      </c>
      <c r="K266" s="12" t="n">
        <v>1</v>
      </c>
      <c r="L266" s="12" t="n">
        <v>1</v>
      </c>
      <c r="M266" s="10" t="str">
        <f aca="false">IF(AND(K266="",L266=""),"No closed tickets",IF(K266="","MISSING in catalog",IF(L266="","No valid closed tickets",IF(AND(ABS(K266-L266)&gt;=$S$3,ABS(K266-L266)&gt;=$S$4*MAX(L266,1)),"FAR OFF","OK"))))</f>
        <v>OK</v>
      </c>
      <c r="N266" s="13" t="n">
        <f aca="false">D266/SUMIFS($D$2:$D$741,$B$2:$B$741,B266)</f>
        <v>1</v>
      </c>
      <c r="O266" s="13" t="n">
        <f aca="false">SUMIFS($D$2:D266,$B$2:B266,B266)/SUMIFS($D$2:$D$741,$B$2:$B$741,B266)</f>
        <v>1</v>
      </c>
      <c r="P266" s="14" t="b">
        <f aca="false">O266-N266&lt;$S$2</f>
        <v>1</v>
      </c>
      <c r="Q266" s="2"/>
      <c r="R266" s="2"/>
      <c r="S266" s="2"/>
    </row>
    <row r="267" customFormat="false" ht="14.25" hidden="false" customHeight="false" outlineLevel="0" collapsed="false">
      <c r="A267" s="10" t="s">
        <v>315</v>
      </c>
      <c r="B267" s="10" t="s">
        <v>316</v>
      </c>
      <c r="C267" s="11" t="n">
        <v>1</v>
      </c>
      <c r="D267" s="11" t="n">
        <v>341</v>
      </c>
      <c r="E267" s="11" t="n">
        <v>0</v>
      </c>
      <c r="F267" s="11" t="n">
        <v>0</v>
      </c>
      <c r="G267" s="11" t="n">
        <v>0</v>
      </c>
      <c r="H267" s="11" t="n">
        <v>341</v>
      </c>
      <c r="I267" s="12" t="n">
        <v>0</v>
      </c>
      <c r="J267" s="12" t="n">
        <v>0</v>
      </c>
      <c r="K267" s="12" t="n">
        <v>0</v>
      </c>
      <c r="L267" s="12" t="n">
        <v>0</v>
      </c>
      <c r="M267" s="10" t="str">
        <f aca="false">IF(AND(K267="",L267=""),"No closed tickets",IF(K267="","MISSING in catalog",IF(L267="","No valid closed tickets",IF(AND(ABS(K267-L267)&gt;=$S$3,ABS(K267-L267)&gt;=$S$4*MAX(L267,1)),"FAR OFF","OK"))))</f>
        <v>OK</v>
      </c>
      <c r="N267" s="13" t="n">
        <f aca="false">D267/SUMIFS($D$2:$D$741,$B$2:$B$741,B267)</f>
        <v>0.542130365659778</v>
      </c>
      <c r="O267" s="13" t="n">
        <f aca="false">SUMIFS($D$2:D267,$B$2:B267,B267)/SUMIFS($D$2:$D$741,$B$2:$B$741,B267)</f>
        <v>0.542130365659778</v>
      </c>
      <c r="P267" s="14" t="b">
        <f aca="false">O267-N267&lt;$S$2</f>
        <v>1</v>
      </c>
      <c r="Q267" s="2"/>
      <c r="R267" s="2"/>
      <c r="S267" s="2"/>
    </row>
    <row r="268" customFormat="false" ht="14.25" hidden="false" customHeight="false" outlineLevel="0" collapsed="false">
      <c r="A268" s="4" t="s">
        <v>317</v>
      </c>
      <c r="B268" s="4" t="s">
        <v>316</v>
      </c>
      <c r="C268" s="5" t="n">
        <v>1</v>
      </c>
      <c r="D268" s="5" t="n">
        <v>148</v>
      </c>
      <c r="E268" s="5" t="n">
        <v>88</v>
      </c>
      <c r="F268" s="5" t="n">
        <v>0</v>
      </c>
      <c r="G268" s="5" t="n">
        <v>0</v>
      </c>
      <c r="H268" s="5" t="n">
        <v>148</v>
      </c>
      <c r="I268" s="6" t="n">
        <v>0</v>
      </c>
      <c r="J268" s="6" t="n">
        <v>0</v>
      </c>
      <c r="K268" s="6" t="n">
        <v>0</v>
      </c>
      <c r="L268" s="6" t="n">
        <v>0</v>
      </c>
      <c r="M268" s="4" t="str">
        <f aca="false">IF(AND(K268="",L268=""),"No closed tickets",IF(K268="","MISSING in catalog",IF(L268="","No valid closed tickets",IF(AND(ABS(K268-L268)&gt;=$S$3,ABS(K268-L268)&gt;=$S$4*MAX(L268,1)),"FAR OFF","OK"))))</f>
        <v>OK</v>
      </c>
      <c r="N268" s="7" t="n">
        <f aca="false">D268/SUMIFS($D$2:$D$741,$B$2:$B$741,B268)</f>
        <v>0.235294117647059</v>
      </c>
      <c r="O268" s="7" t="n">
        <f aca="false">SUMIFS($D$2:D268,$B$2:B268,B268)/SUMIFS($D$2:$D$741,$B$2:$B$741,B268)</f>
        <v>0.777424483306836</v>
      </c>
      <c r="P268" s="8" t="b">
        <f aca="false">O268-N268&lt;$S$2</f>
        <v>1</v>
      </c>
      <c r="Q268" s="2"/>
      <c r="R268" s="2"/>
      <c r="S268" s="2"/>
    </row>
    <row r="269" customFormat="false" ht="14.25" hidden="false" customHeight="false" outlineLevel="0" collapsed="false">
      <c r="A269" s="4" t="s">
        <v>318</v>
      </c>
      <c r="B269" s="4" t="s">
        <v>316</v>
      </c>
      <c r="C269" s="5" t="n">
        <v>1</v>
      </c>
      <c r="D269" s="5" t="n">
        <v>34</v>
      </c>
      <c r="E269" s="5" t="n">
        <v>0</v>
      </c>
      <c r="F269" s="5" t="n">
        <v>0</v>
      </c>
      <c r="G269" s="5" t="n">
        <v>0</v>
      </c>
      <c r="H269" s="5" t="n">
        <v>34</v>
      </c>
      <c r="I269" s="6" t="n">
        <v>0</v>
      </c>
      <c r="J269" s="6" t="n">
        <v>0</v>
      </c>
      <c r="K269" s="6" t="n">
        <v>0</v>
      </c>
      <c r="L269" s="6" t="n">
        <v>0</v>
      </c>
      <c r="M269" s="4" t="str">
        <f aca="false">IF(AND(K269="",L269=""),"No closed tickets",IF(K269="","MISSING in catalog",IF(L269="","No valid closed tickets",IF(AND(ABS(K269-L269)&gt;=$S$3,ABS(K269-L269)&gt;=$S$4*MAX(L269,1)),"FAR OFF","OK"))))</f>
        <v>OK</v>
      </c>
      <c r="N269" s="7" t="n">
        <f aca="false">D269/SUMIFS($D$2:$D$741,$B$2:$B$741,B269)</f>
        <v>0.0540540540540541</v>
      </c>
      <c r="O269" s="7" t="n">
        <f aca="false">SUMIFS($D$2:D269,$B$2:B269,B269)/SUMIFS($D$2:$D$741,$B$2:$B$741,B269)</f>
        <v>0.83147853736089</v>
      </c>
      <c r="P269" s="8" t="b">
        <f aca="false">O269-N269&lt;$S$2</f>
        <v>1</v>
      </c>
      <c r="Q269" s="2"/>
      <c r="R269" s="2"/>
      <c r="S269" s="2"/>
    </row>
    <row r="270" customFormat="false" ht="14.25" hidden="false" customHeight="false" outlineLevel="0" collapsed="false">
      <c r="A270" s="4" t="s">
        <v>319</v>
      </c>
      <c r="B270" s="4" t="s">
        <v>316</v>
      </c>
      <c r="C270" s="5" t="n">
        <v>1</v>
      </c>
      <c r="D270" s="5" t="n">
        <v>25</v>
      </c>
      <c r="E270" s="5" t="n">
        <v>14</v>
      </c>
      <c r="F270" s="5" t="n">
        <v>0</v>
      </c>
      <c r="G270" s="5" t="n">
        <v>0</v>
      </c>
      <c r="H270" s="5" t="n">
        <v>25</v>
      </c>
      <c r="I270" s="6" t="n">
        <v>0</v>
      </c>
      <c r="J270" s="6" t="n">
        <v>0</v>
      </c>
      <c r="K270" s="6" t="n">
        <v>0</v>
      </c>
      <c r="L270" s="6" t="n">
        <v>0</v>
      </c>
      <c r="M270" s="4" t="str">
        <f aca="false">IF(AND(K270="",L270=""),"No closed tickets",IF(K270="","MISSING in catalog",IF(L270="","No valid closed tickets",IF(AND(ABS(K270-L270)&gt;=$S$3,ABS(K270-L270)&gt;=$S$4*MAX(L270,1)),"FAR OFF","OK"))))</f>
        <v>OK</v>
      </c>
      <c r="N270" s="7" t="n">
        <f aca="false">D270/SUMIFS($D$2:$D$741,$B$2:$B$741,B270)</f>
        <v>0.0397456279809221</v>
      </c>
      <c r="O270" s="7" t="n">
        <f aca="false">SUMIFS($D$2:D270,$B$2:B270,B270)/SUMIFS($D$2:$D$741,$B$2:$B$741,B270)</f>
        <v>0.871224165341812</v>
      </c>
      <c r="P270" s="8" t="b">
        <f aca="false">O270-N270&lt;$S$2</f>
        <v>1</v>
      </c>
      <c r="Q270" s="2"/>
      <c r="R270" s="2"/>
      <c r="S270" s="2"/>
    </row>
    <row r="271" customFormat="false" ht="14.25" hidden="false" customHeight="false" outlineLevel="0" collapsed="false">
      <c r="A271" s="4" t="s">
        <v>320</v>
      </c>
      <c r="B271" s="4" t="s">
        <v>316</v>
      </c>
      <c r="C271" s="5" t="n">
        <v>1</v>
      </c>
      <c r="D271" s="5" t="n">
        <v>21</v>
      </c>
      <c r="E271" s="5" t="n">
        <v>0</v>
      </c>
      <c r="F271" s="5" t="n">
        <v>0</v>
      </c>
      <c r="G271" s="5" t="n">
        <v>0</v>
      </c>
      <c r="H271" s="5" t="n">
        <v>21</v>
      </c>
      <c r="I271" s="6" t="n">
        <v>0</v>
      </c>
      <c r="J271" s="6" t="n">
        <v>0</v>
      </c>
      <c r="K271" s="6" t="n">
        <v>0</v>
      </c>
      <c r="L271" s="6" t="n">
        <v>0</v>
      </c>
      <c r="M271" s="4" t="str">
        <f aca="false">IF(AND(K271="",L271=""),"No closed tickets",IF(K271="","MISSING in catalog",IF(L271="","No valid closed tickets",IF(AND(ABS(K271-L271)&gt;=$S$3,ABS(K271-L271)&gt;=$S$4*MAX(L271,1)),"FAR OFF","OK"))))</f>
        <v>OK</v>
      </c>
      <c r="N271" s="7" t="n">
        <f aca="false">D271/SUMIFS($D$2:$D$741,$B$2:$B$741,B271)</f>
        <v>0.0333863275039746</v>
      </c>
      <c r="O271" s="7" t="n">
        <f aca="false">SUMIFS($D$2:D271,$B$2:B271,B271)/SUMIFS($D$2:$D$741,$B$2:$B$741,B271)</f>
        <v>0.904610492845787</v>
      </c>
      <c r="P271" s="8" t="b">
        <f aca="false">O271-N271&lt;$S$2</f>
        <v>1</v>
      </c>
      <c r="Q271" s="2"/>
      <c r="R271" s="2"/>
      <c r="S271" s="2"/>
    </row>
    <row r="272" customFormat="false" ht="14.25" hidden="false" customHeight="false" outlineLevel="0" collapsed="false">
      <c r="A272" s="4" t="s">
        <v>321</v>
      </c>
      <c r="B272" s="4" t="s">
        <v>316</v>
      </c>
      <c r="C272" s="5" t="n">
        <v>1</v>
      </c>
      <c r="D272" s="5" t="n">
        <v>20</v>
      </c>
      <c r="E272" s="5" t="n">
        <v>19</v>
      </c>
      <c r="F272" s="5" t="n">
        <v>0</v>
      </c>
      <c r="G272" s="5" t="n">
        <v>0</v>
      </c>
      <c r="H272" s="5" t="n">
        <v>20</v>
      </c>
      <c r="I272" s="6" t="n">
        <v>0</v>
      </c>
      <c r="J272" s="6" t="n">
        <v>0</v>
      </c>
      <c r="K272" s="6" t="n">
        <v>0</v>
      </c>
      <c r="L272" s="6" t="n">
        <v>0</v>
      </c>
      <c r="M272" s="4" t="str">
        <f aca="false">IF(AND(K272="",L272=""),"No closed tickets",IF(K272="","MISSING in catalog",IF(L272="","No valid closed tickets",IF(AND(ABS(K272-L272)&gt;=$S$3,ABS(K272-L272)&gt;=$S$4*MAX(L272,1)),"FAR OFF","OK"))))</f>
        <v>OK</v>
      </c>
      <c r="N272" s="7" t="n">
        <f aca="false">D272/SUMIFS($D$2:$D$741,$B$2:$B$741,B272)</f>
        <v>0.0317965023847377</v>
      </c>
      <c r="O272" s="7" t="n">
        <f aca="false">SUMIFS($D$2:D272,$B$2:B272,B272)/SUMIFS($D$2:$D$741,$B$2:$B$741,B272)</f>
        <v>0.936406995230525</v>
      </c>
      <c r="P272" s="8" t="b">
        <f aca="false">O272-N272&lt;$S$2</f>
        <v>1</v>
      </c>
      <c r="Q272" s="2"/>
      <c r="R272" s="2"/>
      <c r="S272" s="2"/>
    </row>
    <row r="273" customFormat="false" ht="14.25" hidden="false" customHeight="false" outlineLevel="0" collapsed="false">
      <c r="A273" s="4" t="s">
        <v>322</v>
      </c>
      <c r="B273" s="4" t="s">
        <v>316</v>
      </c>
      <c r="C273" s="5" t="n">
        <v>1</v>
      </c>
      <c r="D273" s="5" t="n">
        <v>13</v>
      </c>
      <c r="E273" s="5" t="n">
        <v>0</v>
      </c>
      <c r="F273" s="5" t="n">
        <v>0</v>
      </c>
      <c r="G273" s="5" t="n">
        <v>0</v>
      </c>
      <c r="H273" s="5" t="n">
        <v>13</v>
      </c>
      <c r="I273" s="6" t="n">
        <v>0</v>
      </c>
      <c r="J273" s="6" t="n">
        <v>0</v>
      </c>
      <c r="K273" s="6" t="n">
        <v>0</v>
      </c>
      <c r="L273" s="6" t="n">
        <v>0</v>
      </c>
      <c r="M273" s="4" t="str">
        <f aca="false">IF(AND(K273="",L273=""),"No closed tickets",IF(K273="","MISSING in catalog",IF(L273="","No valid closed tickets",IF(AND(ABS(K273-L273)&gt;=$S$3,ABS(K273-L273)&gt;=$S$4*MAX(L273,1)),"FAR OFF","OK"))))</f>
        <v>OK</v>
      </c>
      <c r="N273" s="7" t="n">
        <f aca="false">D273/SUMIFS($D$2:$D$741,$B$2:$B$741,B273)</f>
        <v>0.0206677265500795</v>
      </c>
      <c r="O273" s="7" t="n">
        <f aca="false">SUMIFS($D$2:D273,$B$2:B273,B273)/SUMIFS($D$2:$D$741,$B$2:$B$741,B273)</f>
        <v>0.957074721780604</v>
      </c>
      <c r="P273" s="8" t="b">
        <f aca="false">O273-N273&lt;$S$2</f>
        <v>1</v>
      </c>
      <c r="Q273" s="2"/>
      <c r="R273" s="2"/>
      <c r="S273" s="2"/>
    </row>
    <row r="274" customFormat="false" ht="14.25" hidden="false" customHeight="false" outlineLevel="0" collapsed="false">
      <c r="A274" s="4" t="s">
        <v>323</v>
      </c>
      <c r="B274" s="4" t="s">
        <v>316</v>
      </c>
      <c r="C274" s="5" t="n">
        <v>1</v>
      </c>
      <c r="D274" s="5" t="n">
        <v>9</v>
      </c>
      <c r="E274" s="5" t="n">
        <v>8</v>
      </c>
      <c r="F274" s="5" t="n">
        <v>0</v>
      </c>
      <c r="G274" s="5" t="n">
        <v>0</v>
      </c>
      <c r="H274" s="5" t="n">
        <v>9</v>
      </c>
      <c r="I274" s="6" t="n">
        <v>0</v>
      </c>
      <c r="J274" s="6" t="n">
        <v>0</v>
      </c>
      <c r="K274" s="6" t="n">
        <v>0</v>
      </c>
      <c r="L274" s="6" t="n">
        <v>0</v>
      </c>
      <c r="M274" s="4" t="str">
        <f aca="false">IF(AND(K274="",L274=""),"No closed tickets",IF(K274="","MISSING in catalog",IF(L274="","No valid closed tickets",IF(AND(ABS(K274-L274)&gt;=$S$3,ABS(K274-L274)&gt;=$S$4*MAX(L274,1)),"FAR OFF","OK"))))</f>
        <v>OK</v>
      </c>
      <c r="N274" s="7" t="n">
        <f aca="false">D274/SUMIFS($D$2:$D$741,$B$2:$B$741,B274)</f>
        <v>0.014308426073132</v>
      </c>
      <c r="O274" s="7" t="n">
        <f aca="false">SUMIFS($D$2:D274,$B$2:B274,B274)/SUMIFS($D$2:$D$741,$B$2:$B$741,B274)</f>
        <v>0.971383147853736</v>
      </c>
      <c r="P274" s="8" t="b">
        <f aca="false">O274-N274&lt;$S$2</f>
        <v>0</v>
      </c>
      <c r="Q274" s="2"/>
      <c r="R274" s="2"/>
      <c r="S274" s="2"/>
    </row>
    <row r="275" customFormat="false" ht="14.25" hidden="false" customHeight="false" outlineLevel="0" collapsed="false">
      <c r="A275" s="4" t="s">
        <v>324</v>
      </c>
      <c r="B275" s="4" t="s">
        <v>316</v>
      </c>
      <c r="C275" s="5" t="n">
        <v>1</v>
      </c>
      <c r="D275" s="5" t="n">
        <v>7</v>
      </c>
      <c r="E275" s="5" t="n">
        <v>1</v>
      </c>
      <c r="F275" s="5" t="n">
        <v>0</v>
      </c>
      <c r="G275" s="5" t="n">
        <v>0</v>
      </c>
      <c r="H275" s="5" t="n">
        <v>7</v>
      </c>
      <c r="I275" s="6" t="n">
        <v>0</v>
      </c>
      <c r="J275" s="6" t="n">
        <v>0.1</v>
      </c>
      <c r="K275" s="6" t="n">
        <v>0</v>
      </c>
      <c r="L275" s="6" t="n">
        <v>0.4</v>
      </c>
      <c r="M275" s="4" t="str">
        <f aca="false">IF(AND(K275="",L275=""),"No closed tickets",IF(K275="","MISSING in catalog",IF(L275="","No valid closed tickets",IF(AND(ABS(K275-L275)&gt;=$S$3,ABS(K275-L275)&gt;=$S$4*MAX(L275,1)),"FAR OFF","OK"))))</f>
        <v>OK</v>
      </c>
      <c r="N275" s="7" t="n">
        <f aca="false">D275/SUMIFS($D$2:$D$741,$B$2:$B$741,B275)</f>
        <v>0.0111287758346582</v>
      </c>
      <c r="O275" s="7" t="n">
        <f aca="false">SUMIFS($D$2:D275,$B$2:B275,B275)/SUMIFS($D$2:$D$741,$B$2:$B$741,B275)</f>
        <v>0.982511923688394</v>
      </c>
      <c r="P275" s="8" t="b">
        <f aca="false">O275-N275&lt;$S$2</f>
        <v>0</v>
      </c>
      <c r="Q275" s="2"/>
      <c r="R275" s="2"/>
      <c r="S275" s="2"/>
    </row>
    <row r="276" customFormat="false" ht="14.25" hidden="false" customHeight="false" outlineLevel="0" collapsed="false">
      <c r="A276" s="4" t="s">
        <v>325</v>
      </c>
      <c r="B276" s="4" t="s">
        <v>316</v>
      </c>
      <c r="C276" s="5" t="n">
        <v>1</v>
      </c>
      <c r="D276" s="5" t="n">
        <v>4</v>
      </c>
      <c r="E276" s="5" t="n">
        <v>0</v>
      </c>
      <c r="F276" s="5" t="n">
        <v>0</v>
      </c>
      <c r="G276" s="5" t="n">
        <v>0</v>
      </c>
      <c r="H276" s="5" t="n">
        <v>4</v>
      </c>
      <c r="I276" s="6" t="n">
        <v>0</v>
      </c>
      <c r="J276" s="6" t="n">
        <v>0</v>
      </c>
      <c r="K276" s="6" t="n">
        <v>0</v>
      </c>
      <c r="L276" s="6" t="n">
        <v>0</v>
      </c>
      <c r="M276" s="4" t="str">
        <f aca="false">IF(AND(K276="",L276=""),"No closed tickets",IF(K276="","MISSING in catalog",IF(L276="","No valid closed tickets",IF(AND(ABS(K276-L276)&gt;=$S$3,ABS(K276-L276)&gt;=$S$4*MAX(L276,1)),"FAR OFF","OK"))))</f>
        <v>OK</v>
      </c>
      <c r="N276" s="7" t="n">
        <f aca="false">D276/SUMIFS($D$2:$D$741,$B$2:$B$741,B276)</f>
        <v>0.00635930047694754</v>
      </c>
      <c r="O276" s="7" t="n">
        <f aca="false">SUMIFS($D$2:D276,$B$2:B276,B276)/SUMIFS($D$2:$D$741,$B$2:$B$741,B276)</f>
        <v>0.988871224165342</v>
      </c>
      <c r="P276" s="8" t="b">
        <f aca="false">O276-N276&lt;$S$2</f>
        <v>0</v>
      </c>
      <c r="Q276" s="2"/>
      <c r="R276" s="2"/>
      <c r="S276" s="2"/>
    </row>
    <row r="277" customFormat="false" ht="14.25" hidden="false" customHeight="false" outlineLevel="0" collapsed="false">
      <c r="A277" s="4" t="s">
        <v>326</v>
      </c>
      <c r="B277" s="4" t="s">
        <v>316</v>
      </c>
      <c r="C277" s="5" t="n">
        <v>1</v>
      </c>
      <c r="D277" s="5" t="n">
        <v>3</v>
      </c>
      <c r="E277" s="5" t="n">
        <v>0</v>
      </c>
      <c r="F277" s="5" t="n">
        <v>0</v>
      </c>
      <c r="G277" s="5" t="n">
        <v>0</v>
      </c>
      <c r="H277" s="5" t="n">
        <v>3</v>
      </c>
      <c r="I277" s="6" t="n">
        <v>0</v>
      </c>
      <c r="J277" s="6" t="n">
        <v>0</v>
      </c>
      <c r="K277" s="6" t="n">
        <v>0</v>
      </c>
      <c r="L277" s="6" t="n">
        <v>0</v>
      </c>
      <c r="M277" s="4" t="str">
        <f aca="false">IF(AND(K277="",L277=""),"No closed tickets",IF(K277="","MISSING in catalog",IF(L277="","No valid closed tickets",IF(AND(ABS(K277-L277)&gt;=$S$3,ABS(K277-L277)&gt;=$S$4*MAX(L277,1)),"FAR OFF","OK"))))</f>
        <v>OK</v>
      </c>
      <c r="N277" s="7" t="n">
        <f aca="false">D277/SUMIFS($D$2:$D$741,$B$2:$B$741,B277)</f>
        <v>0.00476947535771065</v>
      </c>
      <c r="O277" s="7" t="n">
        <f aca="false">SUMIFS($D$2:D277,$B$2:B277,B277)/SUMIFS($D$2:$D$741,$B$2:$B$741,B277)</f>
        <v>0.993640699523053</v>
      </c>
      <c r="P277" s="8" t="b">
        <f aca="false">O277-N277&lt;$S$2</f>
        <v>0</v>
      </c>
      <c r="Q277" s="2"/>
      <c r="R277" s="2"/>
      <c r="S277" s="2"/>
    </row>
    <row r="278" customFormat="false" ht="14.25" hidden="false" customHeight="false" outlineLevel="0" collapsed="false">
      <c r="A278" s="4" t="s">
        <v>327</v>
      </c>
      <c r="B278" s="4" t="s">
        <v>316</v>
      </c>
      <c r="C278" s="5" t="n">
        <v>1</v>
      </c>
      <c r="D278" s="5" t="n">
        <v>2</v>
      </c>
      <c r="E278" s="5" t="n">
        <v>0</v>
      </c>
      <c r="F278" s="5" t="n">
        <v>0</v>
      </c>
      <c r="G278" s="5" t="n">
        <v>0</v>
      </c>
      <c r="H278" s="5" t="n">
        <v>2</v>
      </c>
      <c r="I278" s="6" t="n">
        <v>0</v>
      </c>
      <c r="J278" s="6" t="n">
        <v>0</v>
      </c>
      <c r="K278" s="6" t="n">
        <v>0</v>
      </c>
      <c r="L278" s="6" t="n">
        <v>0</v>
      </c>
      <c r="M278" s="4" t="str">
        <f aca="false">IF(AND(K278="",L278=""),"No closed tickets",IF(K278="","MISSING in catalog",IF(L278="","No valid closed tickets",IF(AND(ABS(K278-L278)&gt;=$S$3,ABS(K278-L278)&gt;=$S$4*MAX(L278,1)),"FAR OFF","OK"))))</f>
        <v>OK</v>
      </c>
      <c r="N278" s="7" t="n">
        <f aca="false">D278/SUMIFS($D$2:$D$741,$B$2:$B$741,B278)</f>
        <v>0.00317965023847377</v>
      </c>
      <c r="O278" s="7" t="n">
        <f aca="false">SUMIFS($D$2:D278,$B$2:B278,B278)/SUMIFS($D$2:$D$741,$B$2:$B$741,B278)</f>
        <v>0.996820349761526</v>
      </c>
      <c r="P278" s="8" t="b">
        <f aca="false">O278-N278&lt;$S$2</f>
        <v>0</v>
      </c>
      <c r="Q278" s="2"/>
      <c r="R278" s="2"/>
      <c r="S278" s="2"/>
    </row>
    <row r="279" customFormat="false" ht="14.25" hidden="false" customHeight="false" outlineLevel="0" collapsed="false">
      <c r="A279" s="4" t="s">
        <v>328</v>
      </c>
      <c r="B279" s="4" t="s">
        <v>316</v>
      </c>
      <c r="C279" s="5" t="n">
        <v>1</v>
      </c>
      <c r="D279" s="5" t="n">
        <v>1</v>
      </c>
      <c r="E279" s="5" t="n">
        <v>0</v>
      </c>
      <c r="F279" s="5" t="n">
        <v>0</v>
      </c>
      <c r="G279" s="5" t="n">
        <v>0</v>
      </c>
      <c r="H279" s="5" t="n">
        <v>1</v>
      </c>
      <c r="I279" s="6" t="n">
        <v>0</v>
      </c>
      <c r="J279" s="6" t="n">
        <v>0</v>
      </c>
      <c r="K279" s="6" t="n">
        <v>0</v>
      </c>
      <c r="L279" s="6" t="n">
        <v>0</v>
      </c>
      <c r="M279" s="4" t="str">
        <f aca="false">IF(AND(K279="",L279=""),"No closed tickets",IF(K279="","MISSING in catalog",IF(L279="","No valid closed tickets",IF(AND(ABS(K279-L279)&gt;=$S$3,ABS(K279-L279)&gt;=$S$4*MAX(L279,1)),"FAR OFF","OK"))))</f>
        <v>OK</v>
      </c>
      <c r="N279" s="7" t="n">
        <f aca="false">D279/SUMIFS($D$2:$D$741,$B$2:$B$741,B279)</f>
        <v>0.00158982511923688</v>
      </c>
      <c r="O279" s="7" t="n">
        <f aca="false">SUMIFS($D$2:D279,$B$2:B279,B279)/SUMIFS($D$2:$D$741,$B$2:$B$741,B279)</f>
        <v>0.998410174880763</v>
      </c>
      <c r="P279" s="8" t="b">
        <f aca="false">O279-N279&lt;$S$2</f>
        <v>0</v>
      </c>
      <c r="Q279" s="2"/>
      <c r="R279" s="2"/>
      <c r="S279" s="2"/>
    </row>
    <row r="280" customFormat="false" ht="14.25" hidden="false" customHeight="false" outlineLevel="0" collapsed="false">
      <c r="A280" s="4" t="s">
        <v>329</v>
      </c>
      <c r="B280" s="4" t="s">
        <v>316</v>
      </c>
      <c r="C280" s="5" t="n">
        <v>1</v>
      </c>
      <c r="D280" s="5" t="n">
        <v>1</v>
      </c>
      <c r="E280" s="5" t="n">
        <v>0</v>
      </c>
      <c r="F280" s="5" t="n">
        <v>0</v>
      </c>
      <c r="G280" s="5" t="n">
        <v>0</v>
      </c>
      <c r="H280" s="5" t="n">
        <v>1</v>
      </c>
      <c r="I280" s="6" t="n">
        <v>0</v>
      </c>
      <c r="J280" s="6" t="n">
        <v>0</v>
      </c>
      <c r="K280" s="6" t="n">
        <v>0</v>
      </c>
      <c r="L280" s="6" t="n">
        <v>0</v>
      </c>
      <c r="M280" s="4" t="str">
        <f aca="false">IF(AND(K280="",L280=""),"No closed tickets",IF(K280="","MISSING in catalog",IF(L280="","No valid closed tickets",IF(AND(ABS(K280-L280)&gt;=$S$3,ABS(K280-L280)&gt;=$S$4*MAX(L280,1)),"FAR OFF","OK"))))</f>
        <v>OK</v>
      </c>
      <c r="N280" s="7" t="n">
        <f aca="false">D280/SUMIFS($D$2:$D$741,$B$2:$B$741,B280)</f>
        <v>0.00158982511923688</v>
      </c>
      <c r="O280" s="7" t="n">
        <f aca="false">SUMIFS($D$2:D280,$B$2:B280,B280)/SUMIFS($D$2:$D$741,$B$2:$B$741,B280)</f>
        <v>1</v>
      </c>
      <c r="P280" s="8" t="b">
        <f aca="false">O280-N280&lt;$S$2</f>
        <v>0</v>
      </c>
      <c r="Q280" s="2"/>
      <c r="R280" s="2"/>
      <c r="S280" s="2"/>
    </row>
    <row r="281" customFormat="false" ht="14.25" hidden="false" customHeight="false" outlineLevel="0" collapsed="false">
      <c r="A281" s="10" t="s">
        <v>330</v>
      </c>
      <c r="B281" s="10" t="s">
        <v>331</v>
      </c>
      <c r="C281" s="11" t="n">
        <v>1</v>
      </c>
      <c r="D281" s="11" t="n">
        <v>502</v>
      </c>
      <c r="E281" s="11" t="n">
        <v>273</v>
      </c>
      <c r="F281" s="11" t="n">
        <v>8</v>
      </c>
      <c r="G281" s="11" t="n">
        <v>3</v>
      </c>
      <c r="H281" s="11" t="n">
        <v>493</v>
      </c>
      <c r="I281" s="12" t="n">
        <v>2</v>
      </c>
      <c r="J281" s="12" t="n">
        <v>21.2</v>
      </c>
      <c r="K281" s="12" t="n">
        <v>11</v>
      </c>
      <c r="L281" s="12" t="n">
        <v>11</v>
      </c>
      <c r="M281" s="10" t="str">
        <f aca="false">IF(AND(K281="",L281=""),"No closed tickets",IF(K281="","MISSING in catalog",IF(L281="","No valid closed tickets",IF(AND(ABS(K281-L281)&gt;=$S$3,ABS(K281-L281)&gt;=$S$4*MAX(L281,1)),"FAR OFF","OK"))))</f>
        <v>OK</v>
      </c>
      <c r="N281" s="13" t="n">
        <f aca="false">D281/SUMIFS($D$2:$D$741,$B$2:$B$741,B281)</f>
        <v>0.536898395721925</v>
      </c>
      <c r="O281" s="13" t="n">
        <f aca="false">SUMIFS($D$2:D281,$B$2:B281,B281)/SUMIFS($D$2:$D$741,$B$2:$B$741,B281)</f>
        <v>0.536898395721925</v>
      </c>
      <c r="P281" s="14" t="b">
        <f aca="false">O281-N281&lt;$S$2</f>
        <v>1</v>
      </c>
      <c r="Q281" s="2"/>
      <c r="R281" s="2"/>
      <c r="S281" s="2"/>
    </row>
    <row r="282" customFormat="false" ht="14.25" hidden="false" customHeight="false" outlineLevel="0" collapsed="false">
      <c r="A282" s="4" t="s">
        <v>332</v>
      </c>
      <c r="B282" s="4" t="s">
        <v>331</v>
      </c>
      <c r="C282" s="5" t="n">
        <v>1</v>
      </c>
      <c r="D282" s="5" t="n">
        <v>141</v>
      </c>
      <c r="E282" s="5" t="n">
        <v>138</v>
      </c>
      <c r="F282" s="5" t="n">
        <v>8</v>
      </c>
      <c r="G282" s="5" t="n">
        <v>0</v>
      </c>
      <c r="H282" s="5" t="n">
        <v>133</v>
      </c>
      <c r="I282" s="6" t="n">
        <v>4</v>
      </c>
      <c r="J282" s="6" t="n">
        <v>5.7</v>
      </c>
      <c r="K282" s="6" t="n">
        <v>12</v>
      </c>
      <c r="L282" s="6" t="n">
        <v>12</v>
      </c>
      <c r="M282" s="4" t="str">
        <f aca="false">IF(AND(K282="",L282=""),"No closed tickets",IF(K282="","MISSING in catalog",IF(L282="","No valid closed tickets",IF(AND(ABS(K282-L282)&gt;=$S$3,ABS(K282-L282)&gt;=$S$4*MAX(L282,1)),"FAR OFF","OK"))))</f>
        <v>OK</v>
      </c>
      <c r="N282" s="7" t="n">
        <f aca="false">D282/SUMIFS($D$2:$D$741,$B$2:$B$741,B282)</f>
        <v>0.150802139037433</v>
      </c>
      <c r="O282" s="7" t="n">
        <f aca="false">SUMIFS($D$2:D282,$B$2:B282,B282)/SUMIFS($D$2:$D$741,$B$2:$B$741,B282)</f>
        <v>0.687700534759358</v>
      </c>
      <c r="P282" s="8" t="b">
        <f aca="false">O282-N282&lt;$S$2</f>
        <v>1</v>
      </c>
      <c r="Q282" s="2"/>
      <c r="R282" s="2"/>
      <c r="S282" s="2"/>
    </row>
    <row r="283" customFormat="false" ht="14.25" hidden="false" customHeight="false" outlineLevel="0" collapsed="false">
      <c r="A283" s="4" t="s">
        <v>333</v>
      </c>
      <c r="B283" s="4" t="s">
        <v>331</v>
      </c>
      <c r="C283" s="5" t="n">
        <v>1</v>
      </c>
      <c r="D283" s="5" t="n">
        <v>131</v>
      </c>
      <c r="E283" s="5" t="n">
        <v>55</v>
      </c>
      <c r="F283" s="5" t="n">
        <v>0</v>
      </c>
      <c r="G283" s="5" t="n">
        <v>0</v>
      </c>
      <c r="H283" s="5" t="n">
        <v>131</v>
      </c>
      <c r="I283" s="6" t="n">
        <v>3</v>
      </c>
      <c r="J283" s="6" t="n">
        <v>6.4</v>
      </c>
      <c r="K283" s="6" t="n">
        <v>7</v>
      </c>
      <c r="L283" s="6" t="n">
        <v>7</v>
      </c>
      <c r="M283" s="4" t="str">
        <f aca="false">IF(AND(K283="",L283=""),"No closed tickets",IF(K283="","MISSING in catalog",IF(L283="","No valid closed tickets",IF(AND(ABS(K283-L283)&gt;=$S$3,ABS(K283-L283)&gt;=$S$4*MAX(L283,1)),"FAR OFF","OK"))))</f>
        <v>OK</v>
      </c>
      <c r="N283" s="7" t="n">
        <f aca="false">D283/SUMIFS($D$2:$D$741,$B$2:$B$741,B283)</f>
        <v>0.140106951871658</v>
      </c>
      <c r="O283" s="7" t="n">
        <f aca="false">SUMIFS($D$2:D283,$B$2:B283,B283)/SUMIFS($D$2:$D$741,$B$2:$B$741,B283)</f>
        <v>0.827807486631016</v>
      </c>
      <c r="P283" s="8" t="b">
        <f aca="false">O283-N283&lt;$S$2</f>
        <v>1</v>
      </c>
      <c r="Q283" s="2"/>
      <c r="R283" s="2"/>
      <c r="S283" s="2"/>
    </row>
    <row r="284" customFormat="false" ht="14.25" hidden="false" customHeight="false" outlineLevel="0" collapsed="false">
      <c r="A284" s="4" t="s">
        <v>334</v>
      </c>
      <c r="B284" s="4" t="s">
        <v>331</v>
      </c>
      <c r="C284" s="5" t="n">
        <v>1</v>
      </c>
      <c r="D284" s="5" t="n">
        <v>89</v>
      </c>
      <c r="E284" s="5" t="n">
        <v>33</v>
      </c>
      <c r="F284" s="5" t="n">
        <v>0</v>
      </c>
      <c r="G284" s="5" t="n">
        <v>0</v>
      </c>
      <c r="H284" s="5" t="n">
        <v>89</v>
      </c>
      <c r="I284" s="6" t="n">
        <v>1</v>
      </c>
      <c r="J284" s="6" t="n">
        <v>24.4</v>
      </c>
      <c r="K284" s="6" t="n">
        <v>11</v>
      </c>
      <c r="L284" s="6" t="n">
        <v>11.2</v>
      </c>
      <c r="M284" s="4" t="str">
        <f aca="false">IF(AND(K284="",L284=""),"No closed tickets",IF(K284="","MISSING in catalog",IF(L284="","No valid closed tickets",IF(AND(ABS(K284-L284)&gt;=$S$3,ABS(K284-L284)&gt;=$S$4*MAX(L284,1)),"FAR OFF","OK"))))</f>
        <v>OK</v>
      </c>
      <c r="N284" s="7" t="n">
        <f aca="false">D284/SUMIFS($D$2:$D$741,$B$2:$B$741,B284)</f>
        <v>0.0951871657754011</v>
      </c>
      <c r="O284" s="7" t="n">
        <f aca="false">SUMIFS($D$2:D284,$B$2:B284,B284)/SUMIFS($D$2:$D$741,$B$2:$B$741,B284)</f>
        <v>0.922994652406417</v>
      </c>
      <c r="P284" s="8" t="b">
        <f aca="false">O284-N284&lt;$S$2</f>
        <v>1</v>
      </c>
      <c r="Q284" s="2"/>
      <c r="R284" s="2"/>
      <c r="S284" s="2"/>
    </row>
    <row r="285" customFormat="false" ht="14.25" hidden="false" customHeight="false" outlineLevel="0" collapsed="false">
      <c r="A285" s="4" t="s">
        <v>335</v>
      </c>
      <c r="B285" s="4" t="s">
        <v>331</v>
      </c>
      <c r="C285" s="5" t="n">
        <v>1</v>
      </c>
      <c r="D285" s="5" t="n">
        <v>72</v>
      </c>
      <c r="E285" s="5" t="n">
        <v>33</v>
      </c>
      <c r="F285" s="5" t="n">
        <v>3</v>
      </c>
      <c r="G285" s="5" t="n">
        <v>0</v>
      </c>
      <c r="H285" s="5" t="n">
        <v>69</v>
      </c>
      <c r="I285" s="6" t="n">
        <v>11</v>
      </c>
      <c r="J285" s="6" t="n">
        <v>146.2</v>
      </c>
      <c r="K285" s="6" t="n">
        <v>647</v>
      </c>
      <c r="L285" s="6" t="n">
        <v>647.2</v>
      </c>
      <c r="M285" s="4" t="str">
        <f aca="false">IF(AND(K285="",L285=""),"No closed tickets",IF(K285="","MISSING in catalog",IF(L285="","No valid closed tickets",IF(AND(ABS(K285-L285)&gt;=$S$3,ABS(K285-L285)&gt;=$S$4*MAX(L285,1)),"FAR OFF","OK"))))</f>
        <v>OK</v>
      </c>
      <c r="N285" s="7" t="n">
        <f aca="false">D285/SUMIFS($D$2:$D$741,$B$2:$B$741,B285)</f>
        <v>0.0770053475935829</v>
      </c>
      <c r="O285" s="7" t="n">
        <f aca="false">SUMIFS($D$2:D285,$B$2:B285,B285)/SUMIFS($D$2:$D$741,$B$2:$B$741,B285)</f>
        <v>1</v>
      </c>
      <c r="P285" s="8" t="b">
        <f aca="false">O285-N285&lt;$S$2</f>
        <v>1</v>
      </c>
      <c r="Q285" s="2"/>
      <c r="R285" s="2"/>
      <c r="S285" s="2"/>
    </row>
    <row r="286" customFormat="false" ht="14.25" hidden="false" customHeight="false" outlineLevel="0" collapsed="false">
      <c r="A286" s="10" t="s">
        <v>336</v>
      </c>
      <c r="B286" s="10" t="s">
        <v>337</v>
      </c>
      <c r="C286" s="11" t="n">
        <v>2</v>
      </c>
      <c r="D286" s="11" t="n">
        <v>308</v>
      </c>
      <c r="E286" s="11" t="n">
        <v>0</v>
      </c>
      <c r="F286" s="11" t="n">
        <v>0</v>
      </c>
      <c r="G286" s="11" t="n">
        <v>0</v>
      </c>
      <c r="H286" s="11" t="n">
        <v>308</v>
      </c>
      <c r="I286" s="12" t="n">
        <v>9.5</v>
      </c>
      <c r="J286" s="12" t="n">
        <v>13.3</v>
      </c>
      <c r="K286" s="12" t="n">
        <v>26</v>
      </c>
      <c r="L286" s="12" t="n">
        <v>26</v>
      </c>
      <c r="M286" s="10" t="str">
        <f aca="false">IF(AND(K286="",L286=""),"No closed tickets",IF(K286="","MISSING in catalog",IF(L286="","No valid closed tickets",IF(AND(ABS(K286-L286)&gt;=$S$3,ABS(K286-L286)&gt;=$S$4*MAX(L286,1)),"FAR OFF","OK"))))</f>
        <v>OK</v>
      </c>
      <c r="N286" s="13" t="n">
        <f aca="false">D286/SUMIFS($D$2:$D$741,$B$2:$B$741,B286)</f>
        <v>0.485804416403785</v>
      </c>
      <c r="O286" s="13" t="n">
        <f aca="false">SUMIFS($D$2:D286,$B$2:B286,B286)/SUMIFS($D$2:$D$741,$B$2:$B$741,B286)</f>
        <v>0.485804416403785</v>
      </c>
      <c r="P286" s="14" t="b">
        <f aca="false">O286-N286&lt;$S$2</f>
        <v>1</v>
      </c>
      <c r="Q286" s="2"/>
      <c r="R286" s="2"/>
      <c r="S286" s="2"/>
    </row>
    <row r="287" customFormat="false" ht="14.25" hidden="false" customHeight="false" outlineLevel="0" collapsed="false">
      <c r="A287" s="4" t="s">
        <v>338</v>
      </c>
      <c r="B287" s="4" t="s">
        <v>337</v>
      </c>
      <c r="C287" s="5" t="n">
        <v>2</v>
      </c>
      <c r="D287" s="5" t="n">
        <v>253</v>
      </c>
      <c r="E287" s="5" t="n">
        <v>0</v>
      </c>
      <c r="F287" s="5" t="n">
        <v>0</v>
      </c>
      <c r="G287" s="5" t="n">
        <v>0</v>
      </c>
      <c r="H287" s="5" t="n">
        <v>253</v>
      </c>
      <c r="I287" s="6" t="n">
        <v>9</v>
      </c>
      <c r="J287" s="6" t="n">
        <v>13.5</v>
      </c>
      <c r="K287" s="6" t="n">
        <v>19</v>
      </c>
      <c r="L287" s="6" t="n">
        <v>19</v>
      </c>
      <c r="M287" s="4" t="str">
        <f aca="false">IF(AND(K287="",L287=""),"No closed tickets",IF(K287="","MISSING in catalog",IF(L287="","No valid closed tickets",IF(AND(ABS(K287-L287)&gt;=$S$3,ABS(K287-L287)&gt;=$S$4*MAX(L287,1)),"FAR OFF","OK"))))</f>
        <v>OK</v>
      </c>
      <c r="N287" s="7" t="n">
        <f aca="false">D287/SUMIFS($D$2:$D$741,$B$2:$B$741,B287)</f>
        <v>0.399053627760252</v>
      </c>
      <c r="O287" s="7" t="n">
        <f aca="false">SUMIFS($D$2:D287,$B$2:B287,B287)/SUMIFS($D$2:$D$741,$B$2:$B$741,B287)</f>
        <v>0.884858044164038</v>
      </c>
      <c r="P287" s="8" t="b">
        <f aca="false">O287-N287&lt;$S$2</f>
        <v>1</v>
      </c>
      <c r="Q287" s="2"/>
      <c r="R287" s="2"/>
      <c r="S287" s="2"/>
    </row>
    <row r="288" customFormat="false" ht="14.25" hidden="false" customHeight="false" outlineLevel="0" collapsed="false">
      <c r="A288" s="4" t="s">
        <v>339</v>
      </c>
      <c r="B288" s="4" t="s">
        <v>337</v>
      </c>
      <c r="C288" s="5" t="n">
        <v>1</v>
      </c>
      <c r="D288" s="5" t="n">
        <v>44</v>
      </c>
      <c r="E288" s="5" t="n">
        <v>0</v>
      </c>
      <c r="F288" s="5" t="n">
        <v>0</v>
      </c>
      <c r="G288" s="5" t="n">
        <v>0</v>
      </c>
      <c r="H288" s="5" t="n">
        <v>44</v>
      </c>
      <c r="I288" s="6" t="n">
        <v>3.5</v>
      </c>
      <c r="J288" s="6" t="n">
        <v>22</v>
      </c>
      <c r="K288" s="6" t="n">
        <v>28</v>
      </c>
      <c r="L288" s="6" t="n">
        <v>27.5</v>
      </c>
      <c r="M288" s="4" t="str">
        <f aca="false">IF(AND(K288="",L288=""),"No closed tickets",IF(K288="","MISSING in catalog",IF(L288="","No valid closed tickets",IF(AND(ABS(K288-L288)&gt;=$S$3,ABS(K288-L288)&gt;=$S$4*MAX(L288,1)),"FAR OFF","OK"))))</f>
        <v>OK</v>
      </c>
      <c r="N288" s="7" t="n">
        <f aca="false">D288/SUMIFS($D$2:$D$741,$B$2:$B$741,B288)</f>
        <v>0.0694006309148265</v>
      </c>
      <c r="O288" s="7" t="n">
        <f aca="false">SUMIFS($D$2:D288,$B$2:B288,B288)/SUMIFS($D$2:$D$741,$B$2:$B$741,B288)</f>
        <v>0.954258675078864</v>
      </c>
      <c r="P288" s="8" t="b">
        <f aca="false">O288-N288&lt;$S$2</f>
        <v>1</v>
      </c>
      <c r="Q288" s="2"/>
      <c r="R288" s="2"/>
      <c r="S288" s="2"/>
    </row>
    <row r="289" customFormat="false" ht="14.25" hidden="false" customHeight="false" outlineLevel="0" collapsed="false">
      <c r="A289" s="4" t="s">
        <v>340</v>
      </c>
      <c r="B289" s="4" t="s">
        <v>337</v>
      </c>
      <c r="C289" s="5" t="n">
        <v>2</v>
      </c>
      <c r="D289" s="5" t="n">
        <v>21</v>
      </c>
      <c r="E289" s="5" t="n">
        <v>0</v>
      </c>
      <c r="F289" s="5" t="n">
        <v>0</v>
      </c>
      <c r="G289" s="5" t="n">
        <v>0</v>
      </c>
      <c r="H289" s="5" t="n">
        <v>21</v>
      </c>
      <c r="I289" s="6" t="n">
        <v>7</v>
      </c>
      <c r="J289" s="6" t="n">
        <v>10.6</v>
      </c>
      <c r="K289" s="6" t="n">
        <v>24</v>
      </c>
      <c r="L289" s="6" t="n">
        <v>24</v>
      </c>
      <c r="M289" s="4" t="str">
        <f aca="false">IF(AND(K289="",L289=""),"No closed tickets",IF(K289="","MISSING in catalog",IF(L289="","No valid closed tickets",IF(AND(ABS(K289-L289)&gt;=$S$3,ABS(K289-L289)&gt;=$S$4*MAX(L289,1)),"FAR OFF","OK"))))</f>
        <v>OK</v>
      </c>
      <c r="N289" s="7" t="n">
        <f aca="false">D289/SUMIFS($D$2:$D$741,$B$2:$B$741,B289)</f>
        <v>0.0331230283911672</v>
      </c>
      <c r="O289" s="7" t="n">
        <f aca="false">SUMIFS($D$2:D289,$B$2:B289,B289)/SUMIFS($D$2:$D$741,$B$2:$B$741,B289)</f>
        <v>0.987381703470032</v>
      </c>
      <c r="P289" s="8" t="b">
        <f aca="false">O289-N289&lt;$S$2</f>
        <v>0</v>
      </c>
      <c r="Q289" s="2"/>
      <c r="R289" s="2"/>
      <c r="S289" s="2"/>
    </row>
    <row r="290" customFormat="false" ht="14.25" hidden="false" customHeight="false" outlineLevel="0" collapsed="false">
      <c r="A290" s="4" t="s">
        <v>341</v>
      </c>
      <c r="B290" s="4" t="s">
        <v>337</v>
      </c>
      <c r="C290" s="5" t="n">
        <v>1</v>
      </c>
      <c r="D290" s="5" t="n">
        <v>7</v>
      </c>
      <c r="E290" s="5" t="n">
        <v>0</v>
      </c>
      <c r="F290" s="5" t="n">
        <v>0</v>
      </c>
      <c r="G290" s="5" t="n">
        <v>0</v>
      </c>
      <c r="H290" s="5" t="n">
        <v>7</v>
      </c>
      <c r="I290" s="6" t="n">
        <v>4</v>
      </c>
      <c r="J290" s="6" t="n">
        <v>4</v>
      </c>
      <c r="K290" s="6" t="n">
        <v>9</v>
      </c>
      <c r="L290" s="6" t="n">
        <v>8.8</v>
      </c>
      <c r="M290" s="4" t="str">
        <f aca="false">IF(AND(K290="",L290=""),"No closed tickets",IF(K290="","MISSING in catalog",IF(L290="","No valid closed tickets",IF(AND(ABS(K290-L290)&gt;=$S$3,ABS(K290-L290)&gt;=$S$4*MAX(L290,1)),"FAR OFF","OK"))))</f>
        <v>OK</v>
      </c>
      <c r="N290" s="7" t="n">
        <f aca="false">D290/SUMIFS($D$2:$D$741,$B$2:$B$741,B290)</f>
        <v>0.0110410094637224</v>
      </c>
      <c r="O290" s="7" t="n">
        <f aca="false">SUMIFS($D$2:D290,$B$2:B290,B290)/SUMIFS($D$2:$D$741,$B$2:$B$741,B290)</f>
        <v>0.998422712933754</v>
      </c>
      <c r="P290" s="8" t="b">
        <f aca="false">O290-N290&lt;$S$2</f>
        <v>0</v>
      </c>
      <c r="Q290" s="2"/>
      <c r="R290" s="2"/>
      <c r="S290" s="2"/>
    </row>
    <row r="291" customFormat="false" ht="14.25" hidden="false" customHeight="false" outlineLevel="0" collapsed="false">
      <c r="A291" s="4" t="s">
        <v>342</v>
      </c>
      <c r="B291" s="4" t="s">
        <v>337</v>
      </c>
      <c r="C291" s="5" t="n">
        <v>1</v>
      </c>
      <c r="D291" s="5" t="n">
        <v>1</v>
      </c>
      <c r="E291" s="5" t="n">
        <v>0</v>
      </c>
      <c r="F291" s="5" t="n">
        <v>0</v>
      </c>
      <c r="G291" s="5" t="n">
        <v>0</v>
      </c>
      <c r="H291" s="5" t="n">
        <v>1</v>
      </c>
      <c r="I291" s="6" t="n">
        <v>3</v>
      </c>
      <c r="J291" s="6" t="n">
        <v>3</v>
      </c>
      <c r="K291" s="6" t="n">
        <v>3</v>
      </c>
      <c r="L291" s="6" t="n">
        <v>3</v>
      </c>
      <c r="M291" s="4" t="str">
        <f aca="false">IF(AND(K291="",L291=""),"No closed tickets",IF(K291="","MISSING in catalog",IF(L291="","No valid closed tickets",IF(AND(ABS(K291-L291)&gt;=$S$3,ABS(K291-L291)&gt;=$S$4*MAX(L291,1)),"FAR OFF","OK"))))</f>
        <v>OK</v>
      </c>
      <c r="N291" s="7" t="n">
        <f aca="false">D291/SUMIFS($D$2:$D$741,$B$2:$B$741,B291)</f>
        <v>0.00157728706624606</v>
      </c>
      <c r="O291" s="7" t="n">
        <f aca="false">SUMIFS($D$2:D291,$B$2:B291,B291)/SUMIFS($D$2:$D$741,$B$2:$B$741,B291)</f>
        <v>1</v>
      </c>
      <c r="P291" s="8" t="b">
        <f aca="false">O291-N291&lt;$S$2</f>
        <v>0</v>
      </c>
      <c r="Q291" s="2"/>
      <c r="R291" s="2"/>
      <c r="S291" s="2"/>
    </row>
    <row r="292" customFormat="false" ht="14.25" hidden="false" customHeight="false" outlineLevel="0" collapsed="false">
      <c r="A292" s="10" t="s">
        <v>343</v>
      </c>
      <c r="B292" s="10" t="s">
        <v>344</v>
      </c>
      <c r="C292" s="11" t="n">
        <v>1</v>
      </c>
      <c r="D292" s="11" t="n">
        <v>269</v>
      </c>
      <c r="E292" s="11" t="n">
        <v>154</v>
      </c>
      <c r="F292" s="11" t="n">
        <v>9</v>
      </c>
      <c r="G292" s="11" t="n">
        <v>0</v>
      </c>
      <c r="H292" s="11" t="n">
        <v>260</v>
      </c>
      <c r="I292" s="12" t="n">
        <v>9</v>
      </c>
      <c r="J292" s="12" t="n">
        <v>19.6</v>
      </c>
      <c r="K292" s="12" t="n">
        <v>20</v>
      </c>
      <c r="L292" s="12" t="n">
        <v>20</v>
      </c>
      <c r="M292" s="10" t="str">
        <f aca="false">IF(AND(K292="",L292=""),"No closed tickets",IF(K292="","MISSING in catalog",IF(L292="","No valid closed tickets",IF(AND(ABS(K292-L292)&gt;=$S$3,ABS(K292-L292)&gt;=$S$4*MAX(L292,1)),"FAR OFF","OK"))))</f>
        <v>OK</v>
      </c>
      <c r="N292" s="13" t="n">
        <f aca="false">D292/SUMIFS($D$2:$D$741,$B$2:$B$741,B292)</f>
        <v>0.555785123966942</v>
      </c>
      <c r="O292" s="13" t="n">
        <f aca="false">SUMIFS($D$2:D292,$B$2:B292,B292)/SUMIFS($D$2:$D$741,$B$2:$B$741,B292)</f>
        <v>0.555785123966942</v>
      </c>
      <c r="P292" s="14" t="b">
        <f aca="false">O292-N292&lt;$S$2</f>
        <v>1</v>
      </c>
      <c r="Q292" s="2"/>
      <c r="R292" s="2"/>
      <c r="S292" s="2"/>
    </row>
    <row r="293" customFormat="false" ht="14.25" hidden="false" customHeight="false" outlineLevel="0" collapsed="false">
      <c r="A293" s="4" t="s">
        <v>345</v>
      </c>
      <c r="B293" s="4" t="s">
        <v>344</v>
      </c>
      <c r="C293" s="5" t="n">
        <v>1</v>
      </c>
      <c r="D293" s="5" t="n">
        <v>170</v>
      </c>
      <c r="E293" s="5" t="n">
        <v>77</v>
      </c>
      <c r="F293" s="5" t="n">
        <v>3</v>
      </c>
      <c r="G293" s="5" t="n">
        <v>0</v>
      </c>
      <c r="H293" s="5" t="n">
        <v>167</v>
      </c>
      <c r="I293" s="6" t="n">
        <v>4</v>
      </c>
      <c r="J293" s="6" t="n">
        <v>18.8</v>
      </c>
      <c r="K293" s="6" t="n">
        <v>17</v>
      </c>
      <c r="L293" s="6" t="n">
        <v>17</v>
      </c>
      <c r="M293" s="4" t="str">
        <f aca="false">IF(AND(K293="",L293=""),"No closed tickets",IF(K293="","MISSING in catalog",IF(L293="","No valid closed tickets",IF(AND(ABS(K293-L293)&gt;=$S$3,ABS(K293-L293)&gt;=$S$4*MAX(L293,1)),"FAR OFF","OK"))))</f>
        <v>OK</v>
      </c>
      <c r="N293" s="7" t="n">
        <f aca="false">D293/SUMIFS($D$2:$D$741,$B$2:$B$741,B293)</f>
        <v>0.351239669421488</v>
      </c>
      <c r="O293" s="7" t="n">
        <f aca="false">SUMIFS($D$2:D293,$B$2:B293,B293)/SUMIFS($D$2:$D$741,$B$2:$B$741,B293)</f>
        <v>0.90702479338843</v>
      </c>
      <c r="P293" s="8" t="b">
        <f aca="false">O293-N293&lt;$S$2</f>
        <v>1</v>
      </c>
      <c r="Q293" s="2"/>
      <c r="R293" s="2"/>
      <c r="S293" s="2"/>
    </row>
    <row r="294" customFormat="false" ht="14.25" hidden="false" customHeight="false" outlineLevel="0" collapsed="false">
      <c r="A294" s="4" t="s">
        <v>346</v>
      </c>
      <c r="B294" s="4" t="s">
        <v>344</v>
      </c>
      <c r="C294" s="5" t="n">
        <v>1</v>
      </c>
      <c r="D294" s="5" t="n">
        <v>43</v>
      </c>
      <c r="E294" s="5" t="n">
        <v>20</v>
      </c>
      <c r="F294" s="5" t="n">
        <v>0</v>
      </c>
      <c r="G294" s="5" t="n">
        <v>0</v>
      </c>
      <c r="H294" s="5" t="n">
        <v>43</v>
      </c>
      <c r="I294" s="6" t="n">
        <v>3</v>
      </c>
      <c r="J294" s="6" t="n">
        <v>9.6</v>
      </c>
      <c r="K294" s="6" t="n">
        <v>12</v>
      </c>
      <c r="L294" s="6" t="n">
        <v>12</v>
      </c>
      <c r="M294" s="4" t="str">
        <f aca="false">IF(AND(K294="",L294=""),"No closed tickets",IF(K294="","MISSING in catalog",IF(L294="","No valid closed tickets",IF(AND(ABS(K294-L294)&gt;=$S$3,ABS(K294-L294)&gt;=$S$4*MAX(L294,1)),"FAR OFF","OK"))))</f>
        <v>OK</v>
      </c>
      <c r="N294" s="7" t="n">
        <f aca="false">D294/SUMIFS($D$2:$D$741,$B$2:$B$741,B294)</f>
        <v>0.0888429752066116</v>
      </c>
      <c r="O294" s="7" t="n">
        <f aca="false">SUMIFS($D$2:D294,$B$2:B294,B294)/SUMIFS($D$2:$D$741,$B$2:$B$741,B294)</f>
        <v>0.995867768595041</v>
      </c>
      <c r="P294" s="8" t="b">
        <f aca="false">O294-N294&lt;$S$2</f>
        <v>1</v>
      </c>
      <c r="Q294" s="2"/>
      <c r="R294" s="2"/>
      <c r="S294" s="2"/>
    </row>
    <row r="295" customFormat="false" ht="14.25" hidden="false" customHeight="false" outlineLevel="0" collapsed="false">
      <c r="A295" s="4" t="s">
        <v>347</v>
      </c>
      <c r="B295" s="4" t="s">
        <v>344</v>
      </c>
      <c r="C295" s="5" t="n">
        <v>1</v>
      </c>
      <c r="D295" s="5" t="n">
        <v>2</v>
      </c>
      <c r="E295" s="5" t="n">
        <v>2</v>
      </c>
      <c r="F295" s="5" t="n">
        <v>0</v>
      </c>
      <c r="G295" s="5" t="n">
        <v>0</v>
      </c>
      <c r="H295" s="5" t="n">
        <v>2</v>
      </c>
      <c r="I295" s="6" t="n">
        <v>19.5</v>
      </c>
      <c r="J295" s="6" t="n">
        <v>19.5</v>
      </c>
      <c r="K295" s="6" t="n">
        <v>26</v>
      </c>
      <c r="L295" s="6" t="n">
        <v>25.5</v>
      </c>
      <c r="M295" s="4" t="str">
        <f aca="false">IF(AND(K295="",L295=""),"No closed tickets",IF(K295="","MISSING in catalog",IF(L295="","No valid closed tickets",IF(AND(ABS(K295-L295)&gt;=$S$3,ABS(K295-L295)&gt;=$S$4*MAX(L295,1)),"FAR OFF","OK"))))</f>
        <v>OK</v>
      </c>
      <c r="N295" s="7" t="n">
        <f aca="false">D295/SUMIFS($D$2:$D$741,$B$2:$B$741,B295)</f>
        <v>0.00413223140495868</v>
      </c>
      <c r="O295" s="7" t="n">
        <f aca="false">SUMIFS($D$2:D295,$B$2:B295,B295)/SUMIFS($D$2:$D$741,$B$2:$B$741,B295)</f>
        <v>1</v>
      </c>
      <c r="P295" s="8" t="b">
        <f aca="false">O295-N295&lt;$S$2</f>
        <v>0</v>
      </c>
      <c r="Q295" s="2"/>
      <c r="R295" s="2"/>
      <c r="S295" s="2"/>
    </row>
    <row r="296" customFormat="false" ht="14.25" hidden="false" customHeight="false" outlineLevel="0" collapsed="false">
      <c r="A296" s="10" t="s">
        <v>348</v>
      </c>
      <c r="B296" s="10" t="s">
        <v>349</v>
      </c>
      <c r="C296" s="11" t="n">
        <v>1</v>
      </c>
      <c r="D296" s="11" t="n">
        <v>1450</v>
      </c>
      <c r="E296" s="11" t="n">
        <v>331</v>
      </c>
      <c r="F296" s="11" t="n">
        <v>7</v>
      </c>
      <c r="G296" s="11" t="n">
        <v>1</v>
      </c>
      <c r="H296" s="11" t="n">
        <v>1443</v>
      </c>
      <c r="I296" s="12" t="n">
        <v>6</v>
      </c>
      <c r="J296" s="12" t="n">
        <v>11.2</v>
      </c>
      <c r="K296" s="12" t="n">
        <v>23</v>
      </c>
      <c r="L296" s="12" t="n">
        <v>22.8</v>
      </c>
      <c r="M296" s="10" t="str">
        <f aca="false">IF(AND(K296="",L296=""),"No closed tickets",IF(K296="","MISSING in catalog",IF(L296="","No valid closed tickets",IF(AND(ABS(K296-L296)&gt;=$S$3,ABS(K296-L296)&gt;=$S$4*MAX(L296,1)),"FAR OFF","OK"))))</f>
        <v>OK</v>
      </c>
      <c r="N296" s="13" t="n">
        <f aca="false">D296/SUMIFS($D$2:$D$741,$B$2:$B$741,B296)</f>
        <v>0.268319763138416</v>
      </c>
      <c r="O296" s="13" t="n">
        <f aca="false">SUMIFS($D$2:D296,$B$2:B296,B296)/SUMIFS($D$2:$D$741,$B$2:$B$741,B296)</f>
        <v>0.268319763138416</v>
      </c>
      <c r="P296" s="14" t="b">
        <f aca="false">O296-N296&lt;$S$2</f>
        <v>1</v>
      </c>
      <c r="Q296" s="2"/>
      <c r="R296" s="2"/>
      <c r="S296" s="2"/>
    </row>
    <row r="297" customFormat="false" ht="14.25" hidden="false" customHeight="false" outlineLevel="0" collapsed="false">
      <c r="A297" s="4" t="s">
        <v>350</v>
      </c>
      <c r="B297" s="4" t="s">
        <v>349</v>
      </c>
      <c r="C297" s="5" t="n">
        <v>2</v>
      </c>
      <c r="D297" s="5" t="n">
        <v>955</v>
      </c>
      <c r="E297" s="5" t="n">
        <v>263</v>
      </c>
      <c r="F297" s="5" t="n">
        <v>9</v>
      </c>
      <c r="G297" s="5" t="n">
        <v>2</v>
      </c>
      <c r="H297" s="5" t="n">
        <v>946</v>
      </c>
      <c r="I297" s="6" t="n">
        <v>5</v>
      </c>
      <c r="J297" s="6" t="n">
        <v>14.8</v>
      </c>
      <c r="K297" s="6" t="n">
        <v>25</v>
      </c>
      <c r="L297" s="6" t="n">
        <v>25</v>
      </c>
      <c r="M297" s="4" t="str">
        <f aca="false">IF(AND(K297="",L297=""),"No closed tickets",IF(K297="","MISSING in catalog",IF(L297="","No valid closed tickets",IF(AND(ABS(K297-L297)&gt;=$S$3,ABS(K297-L297)&gt;=$S$4*MAX(L297,1)),"FAR OFF","OK"))))</f>
        <v>OK</v>
      </c>
      <c r="N297" s="7" t="n">
        <f aca="false">D297/SUMIFS($D$2:$D$741,$B$2:$B$741,B297)</f>
        <v>0.176720947446336</v>
      </c>
      <c r="O297" s="7" t="n">
        <f aca="false">SUMIFS($D$2:D297,$B$2:B297,B297)/SUMIFS($D$2:$D$741,$B$2:$B$741,B297)</f>
        <v>0.445040710584752</v>
      </c>
      <c r="P297" s="8" t="b">
        <f aca="false">O297-N297&lt;$S$2</f>
        <v>1</v>
      </c>
      <c r="Q297" s="2"/>
      <c r="R297" s="2"/>
      <c r="S297" s="2"/>
    </row>
    <row r="298" customFormat="false" ht="14.25" hidden="false" customHeight="false" outlineLevel="0" collapsed="false">
      <c r="A298" s="4" t="s">
        <v>351</v>
      </c>
      <c r="B298" s="4" t="s">
        <v>349</v>
      </c>
      <c r="C298" s="5" t="n">
        <v>2</v>
      </c>
      <c r="D298" s="5" t="n">
        <v>433</v>
      </c>
      <c r="E298" s="5" t="n">
        <v>126</v>
      </c>
      <c r="F298" s="5" t="n">
        <v>2</v>
      </c>
      <c r="G298" s="5" t="n">
        <v>0</v>
      </c>
      <c r="H298" s="5" t="n">
        <v>431</v>
      </c>
      <c r="I298" s="6" t="n">
        <v>2</v>
      </c>
      <c r="J298" s="6" t="n">
        <v>8.5</v>
      </c>
      <c r="K298" s="6" t="n">
        <v>8</v>
      </c>
      <c r="L298" s="6" t="n">
        <v>8</v>
      </c>
      <c r="M298" s="4" t="str">
        <f aca="false">IF(AND(K298="",L298=""),"No closed tickets",IF(K298="","MISSING in catalog",IF(L298="","No valid closed tickets",IF(AND(ABS(K298-L298)&gt;=$S$3,ABS(K298-L298)&gt;=$S$4*MAX(L298,1)),"FAR OFF","OK"))))</f>
        <v>OK</v>
      </c>
      <c r="N298" s="7" t="n">
        <f aca="false">D298/SUMIFS($D$2:$D$741,$B$2:$B$741,B298)</f>
        <v>0.0801258327165063</v>
      </c>
      <c r="O298" s="7" t="n">
        <f aca="false">SUMIFS($D$2:D298,$B$2:B298,B298)/SUMIFS($D$2:$D$741,$B$2:$B$741,B298)</f>
        <v>0.525166543301258</v>
      </c>
      <c r="P298" s="8" t="b">
        <f aca="false">O298-N298&lt;$S$2</f>
        <v>1</v>
      </c>
      <c r="Q298" s="2"/>
      <c r="R298" s="2"/>
      <c r="S298" s="2"/>
    </row>
    <row r="299" customFormat="false" ht="14.25" hidden="false" customHeight="false" outlineLevel="0" collapsed="false">
      <c r="A299" s="4" t="s">
        <v>352</v>
      </c>
      <c r="B299" s="4" t="s">
        <v>349</v>
      </c>
      <c r="C299" s="5" t="n">
        <v>1</v>
      </c>
      <c r="D299" s="5" t="n">
        <v>380</v>
      </c>
      <c r="E299" s="5" t="n">
        <v>187</v>
      </c>
      <c r="F299" s="5" t="n">
        <v>8</v>
      </c>
      <c r="G299" s="5" t="n">
        <v>0</v>
      </c>
      <c r="H299" s="5" t="n">
        <v>372</v>
      </c>
      <c r="I299" s="6" t="n">
        <v>6</v>
      </c>
      <c r="J299" s="6" t="n">
        <v>9</v>
      </c>
      <c r="K299" s="6" t="n">
        <v>19</v>
      </c>
      <c r="L299" s="6" t="n">
        <v>19</v>
      </c>
      <c r="M299" s="4" t="str">
        <f aca="false">IF(AND(K299="",L299=""),"No closed tickets",IF(K299="","MISSING in catalog",IF(L299="","No valid closed tickets",IF(AND(ABS(K299-L299)&gt;=$S$3,ABS(K299-L299)&gt;=$S$4*MAX(L299,1)),"FAR OFF","OK"))))</f>
        <v>OK</v>
      </c>
      <c r="N299" s="7" t="n">
        <f aca="false">D299/SUMIFS($D$2:$D$741,$B$2:$B$741,B299)</f>
        <v>0.0703182827535159</v>
      </c>
      <c r="O299" s="7" t="n">
        <f aca="false">SUMIFS($D$2:D299,$B$2:B299,B299)/SUMIFS($D$2:$D$741,$B$2:$B$741,B299)</f>
        <v>0.595484826054774</v>
      </c>
      <c r="P299" s="8" t="b">
        <f aca="false">O299-N299&lt;$S$2</f>
        <v>1</v>
      </c>
      <c r="Q299" s="2"/>
      <c r="R299" s="2"/>
      <c r="S299" s="2"/>
    </row>
    <row r="300" customFormat="false" ht="14.25" hidden="false" customHeight="false" outlineLevel="0" collapsed="false">
      <c r="A300" s="4" t="s">
        <v>353</v>
      </c>
      <c r="B300" s="4" t="s">
        <v>349</v>
      </c>
      <c r="C300" s="5" t="n">
        <v>2</v>
      </c>
      <c r="D300" s="5" t="n">
        <v>290</v>
      </c>
      <c r="E300" s="5" t="n">
        <v>0</v>
      </c>
      <c r="F300" s="5" t="n">
        <v>0</v>
      </c>
      <c r="G300" s="5" t="n">
        <v>0</v>
      </c>
      <c r="H300" s="5" t="n">
        <v>290</v>
      </c>
      <c r="I300" s="6" t="n">
        <v>9</v>
      </c>
      <c r="J300" s="6" t="n">
        <v>14.5</v>
      </c>
      <c r="K300" s="6" t="n">
        <v>25</v>
      </c>
      <c r="L300" s="6" t="n">
        <v>25</v>
      </c>
      <c r="M300" s="4" t="str">
        <f aca="false">IF(AND(K300="",L300=""),"No closed tickets",IF(K300="","MISSING in catalog",IF(L300="","No valid closed tickets",IF(AND(ABS(K300-L300)&gt;=$S$3,ABS(K300-L300)&gt;=$S$4*MAX(L300,1)),"FAR OFF","OK"))))</f>
        <v>OK</v>
      </c>
      <c r="N300" s="7" t="n">
        <f aca="false">D300/SUMIFS($D$2:$D$741,$B$2:$B$741,B300)</f>
        <v>0.0536639526276832</v>
      </c>
      <c r="O300" s="7" t="n">
        <f aca="false">SUMIFS($D$2:D300,$B$2:B300,B300)/SUMIFS($D$2:$D$741,$B$2:$B$741,B300)</f>
        <v>0.649148778682458</v>
      </c>
      <c r="P300" s="8" t="b">
        <f aca="false">O300-N300&lt;$S$2</f>
        <v>1</v>
      </c>
      <c r="Q300" s="2"/>
      <c r="R300" s="2"/>
      <c r="S300" s="2"/>
    </row>
    <row r="301" customFormat="false" ht="14.25" hidden="false" customHeight="false" outlineLevel="0" collapsed="false">
      <c r="A301" s="4" t="s">
        <v>354</v>
      </c>
      <c r="B301" s="4" t="s">
        <v>349</v>
      </c>
      <c r="C301" s="5" t="n">
        <v>1</v>
      </c>
      <c r="D301" s="5" t="n">
        <v>281</v>
      </c>
      <c r="E301" s="5" t="n">
        <v>151</v>
      </c>
      <c r="F301" s="5" t="n">
        <v>5</v>
      </c>
      <c r="G301" s="5" t="n">
        <v>0</v>
      </c>
      <c r="H301" s="5" t="n">
        <v>276</v>
      </c>
      <c r="I301" s="6" t="n">
        <v>2</v>
      </c>
      <c r="J301" s="6" t="n">
        <v>3.4</v>
      </c>
      <c r="K301" s="6" t="n">
        <v>9</v>
      </c>
      <c r="L301" s="6" t="n">
        <v>9</v>
      </c>
      <c r="M301" s="4" t="str">
        <f aca="false">IF(AND(K301="",L301=""),"No closed tickets",IF(K301="","MISSING in catalog",IF(L301="","No valid closed tickets",IF(AND(ABS(K301-L301)&gt;=$S$3,ABS(K301-L301)&gt;=$S$4*MAX(L301,1)),"FAR OFF","OK"))))</f>
        <v>OK</v>
      </c>
      <c r="N301" s="7" t="n">
        <f aca="false">D301/SUMIFS($D$2:$D$741,$B$2:$B$741,B301)</f>
        <v>0.0519985196150999</v>
      </c>
      <c r="O301" s="7" t="n">
        <f aca="false">SUMIFS($D$2:D301,$B$2:B301,B301)/SUMIFS($D$2:$D$741,$B$2:$B$741,B301)</f>
        <v>0.701147298297557</v>
      </c>
      <c r="P301" s="8" t="b">
        <f aca="false">O301-N301&lt;$S$2</f>
        <v>1</v>
      </c>
      <c r="Q301" s="2"/>
      <c r="R301" s="2"/>
      <c r="S301" s="2"/>
    </row>
    <row r="302" customFormat="false" ht="14.25" hidden="false" customHeight="false" outlineLevel="0" collapsed="false">
      <c r="A302" s="4" t="s">
        <v>355</v>
      </c>
      <c r="B302" s="4" t="s">
        <v>349</v>
      </c>
      <c r="C302" s="5" t="n">
        <v>2</v>
      </c>
      <c r="D302" s="5" t="n">
        <v>224</v>
      </c>
      <c r="E302" s="5" t="n">
        <v>0</v>
      </c>
      <c r="F302" s="5" t="n">
        <v>0</v>
      </c>
      <c r="G302" s="5" t="n">
        <v>0</v>
      </c>
      <c r="H302" s="5" t="n">
        <v>224</v>
      </c>
      <c r="I302" s="6" t="n">
        <v>3</v>
      </c>
      <c r="J302" s="6" t="n">
        <v>8.4</v>
      </c>
      <c r="K302" s="6" t="n">
        <v>14</v>
      </c>
      <c r="L302" s="6" t="n">
        <v>13.7</v>
      </c>
      <c r="M302" s="4" t="str">
        <f aca="false">IF(AND(K302="",L302=""),"No closed tickets",IF(K302="","MISSING in catalog",IF(L302="","No valid closed tickets",IF(AND(ABS(K302-L302)&gt;=$S$3,ABS(K302-L302)&gt;=$S$4*MAX(L302,1)),"FAR OFF","OK"))))</f>
        <v>OK</v>
      </c>
      <c r="N302" s="7" t="n">
        <f aca="false">D302/SUMIFS($D$2:$D$741,$B$2:$B$741,B302)</f>
        <v>0.0414507772020725</v>
      </c>
      <c r="O302" s="7" t="n">
        <f aca="false">SUMIFS($D$2:D302,$B$2:B302,B302)/SUMIFS($D$2:$D$741,$B$2:$B$741,B302)</f>
        <v>0.74259807549963</v>
      </c>
      <c r="P302" s="8" t="b">
        <f aca="false">O302-N302&lt;$S$2</f>
        <v>1</v>
      </c>
      <c r="Q302" s="2"/>
      <c r="R302" s="2"/>
      <c r="S302" s="2"/>
    </row>
    <row r="303" customFormat="false" ht="14.25" hidden="false" customHeight="false" outlineLevel="0" collapsed="false">
      <c r="A303" s="4" t="s">
        <v>356</v>
      </c>
      <c r="B303" s="4" t="s">
        <v>349</v>
      </c>
      <c r="C303" s="5" t="n">
        <v>1</v>
      </c>
      <c r="D303" s="5" t="n">
        <v>218</v>
      </c>
      <c r="E303" s="5" t="n">
        <v>107</v>
      </c>
      <c r="F303" s="5" t="n">
        <v>5</v>
      </c>
      <c r="G303" s="5" t="n">
        <v>0</v>
      </c>
      <c r="H303" s="5" t="n">
        <v>213</v>
      </c>
      <c r="I303" s="6" t="n">
        <v>1</v>
      </c>
      <c r="J303" s="6" t="n">
        <v>10.3</v>
      </c>
      <c r="K303" s="6" t="n">
        <v>7</v>
      </c>
      <c r="L303" s="6" t="n">
        <v>6.8</v>
      </c>
      <c r="M303" s="4" t="str">
        <f aca="false">IF(AND(K303="",L303=""),"No closed tickets",IF(K303="","MISSING in catalog",IF(L303="","No valid closed tickets",IF(AND(ABS(K303-L303)&gt;=$S$3,ABS(K303-L303)&gt;=$S$4*MAX(L303,1)),"FAR OFF","OK"))))</f>
        <v>OK</v>
      </c>
      <c r="N303" s="7" t="n">
        <f aca="false">D303/SUMIFS($D$2:$D$741,$B$2:$B$741,B303)</f>
        <v>0.040340488527017</v>
      </c>
      <c r="O303" s="7" t="n">
        <f aca="false">SUMIFS($D$2:D303,$B$2:B303,B303)/SUMIFS($D$2:$D$741,$B$2:$B$741,B303)</f>
        <v>0.782938564026647</v>
      </c>
      <c r="P303" s="8" t="b">
        <f aca="false">O303-N303&lt;$S$2</f>
        <v>1</v>
      </c>
      <c r="Q303" s="2"/>
      <c r="R303" s="2"/>
      <c r="S303" s="2"/>
    </row>
    <row r="304" customFormat="false" ht="14.25" hidden="false" customHeight="false" outlineLevel="0" collapsed="false">
      <c r="A304" s="4" t="s">
        <v>357</v>
      </c>
      <c r="B304" s="4" t="s">
        <v>349</v>
      </c>
      <c r="C304" s="5" t="n">
        <v>1</v>
      </c>
      <c r="D304" s="5" t="n">
        <v>211</v>
      </c>
      <c r="E304" s="5" t="n">
        <v>91</v>
      </c>
      <c r="F304" s="5" t="n">
        <v>1</v>
      </c>
      <c r="G304" s="5" t="n">
        <v>0</v>
      </c>
      <c r="H304" s="5" t="n">
        <v>210</v>
      </c>
      <c r="I304" s="6" t="n">
        <v>3</v>
      </c>
      <c r="J304" s="6" t="n">
        <v>4.3</v>
      </c>
      <c r="K304" s="6" t="n">
        <v>9</v>
      </c>
      <c r="L304" s="6" t="n">
        <v>9.1</v>
      </c>
      <c r="M304" s="4" t="str">
        <f aca="false">IF(AND(K304="",L304=""),"No closed tickets",IF(K304="","MISSING in catalog",IF(L304="","No valid closed tickets",IF(AND(ABS(K304-L304)&gt;=$S$3,ABS(K304-L304)&gt;=$S$4*MAX(L304,1)),"FAR OFF","OK"))))</f>
        <v>OK</v>
      </c>
      <c r="N304" s="7" t="n">
        <f aca="false">D304/SUMIFS($D$2:$D$741,$B$2:$B$741,B304)</f>
        <v>0.0390451517394523</v>
      </c>
      <c r="O304" s="7" t="n">
        <f aca="false">SUMIFS($D$2:D304,$B$2:B304,B304)/SUMIFS($D$2:$D$741,$B$2:$B$741,B304)</f>
        <v>0.821983715766099</v>
      </c>
      <c r="P304" s="8" t="b">
        <f aca="false">O304-N304&lt;$S$2</f>
        <v>1</v>
      </c>
      <c r="Q304" s="2"/>
      <c r="R304" s="2"/>
      <c r="S304" s="2"/>
    </row>
    <row r="305" customFormat="false" ht="14.25" hidden="false" customHeight="false" outlineLevel="0" collapsed="false">
      <c r="A305" s="4" t="s">
        <v>358</v>
      </c>
      <c r="B305" s="4" t="s">
        <v>349</v>
      </c>
      <c r="C305" s="5" t="n">
        <v>1</v>
      </c>
      <c r="D305" s="5" t="n">
        <v>189</v>
      </c>
      <c r="E305" s="5" t="n">
        <v>61</v>
      </c>
      <c r="F305" s="5" t="n">
        <v>3</v>
      </c>
      <c r="G305" s="5" t="n">
        <v>0</v>
      </c>
      <c r="H305" s="5" t="n">
        <v>186</v>
      </c>
      <c r="I305" s="6" t="n">
        <v>1</v>
      </c>
      <c r="J305" s="6" t="n">
        <v>3.5</v>
      </c>
      <c r="K305" s="6" t="n">
        <v>12</v>
      </c>
      <c r="L305" s="6" t="n">
        <v>11.5</v>
      </c>
      <c r="M305" s="4" t="str">
        <f aca="false">IF(AND(K305="",L305=""),"No closed tickets",IF(K305="","MISSING in catalog",IF(L305="","No valid closed tickets",IF(AND(ABS(K305-L305)&gt;=$S$3,ABS(K305-L305)&gt;=$S$4*MAX(L305,1)),"FAR OFF","OK"))))</f>
        <v>OK</v>
      </c>
      <c r="N305" s="7" t="n">
        <f aca="false">D305/SUMIFS($D$2:$D$741,$B$2:$B$741,B305)</f>
        <v>0.0349740932642487</v>
      </c>
      <c r="O305" s="7" t="n">
        <f aca="false">SUMIFS($D$2:D305,$B$2:B305,B305)/SUMIFS($D$2:$D$741,$B$2:$B$741,B305)</f>
        <v>0.856957809030348</v>
      </c>
      <c r="P305" s="8" t="b">
        <f aca="false">O305-N305&lt;$S$2</f>
        <v>1</v>
      </c>
      <c r="Q305" s="2"/>
      <c r="R305" s="2"/>
      <c r="S305" s="2"/>
    </row>
    <row r="306" customFormat="false" ht="14.25" hidden="false" customHeight="false" outlineLevel="0" collapsed="false">
      <c r="A306" s="4" t="s">
        <v>359</v>
      </c>
      <c r="B306" s="4" t="s">
        <v>349</v>
      </c>
      <c r="C306" s="5" t="n">
        <v>1</v>
      </c>
      <c r="D306" s="5" t="n">
        <v>152</v>
      </c>
      <c r="E306" s="5" t="n">
        <v>0</v>
      </c>
      <c r="F306" s="5" t="n">
        <v>0</v>
      </c>
      <c r="G306" s="5" t="n">
        <v>0</v>
      </c>
      <c r="H306" s="5" t="n">
        <v>152</v>
      </c>
      <c r="I306" s="6" t="n">
        <v>6</v>
      </c>
      <c r="J306" s="6" t="n">
        <v>8.9</v>
      </c>
      <c r="K306" s="6" t="n">
        <v>18</v>
      </c>
      <c r="L306" s="6" t="n">
        <v>17.9</v>
      </c>
      <c r="M306" s="4" t="str">
        <f aca="false">IF(AND(K306="",L306=""),"No closed tickets",IF(K306="","MISSING in catalog",IF(L306="","No valid closed tickets",IF(AND(ABS(K306-L306)&gt;=$S$3,ABS(K306-L306)&gt;=$S$4*MAX(L306,1)),"FAR OFF","OK"))))</f>
        <v>OK</v>
      </c>
      <c r="N306" s="7" t="n">
        <f aca="false">D306/SUMIFS($D$2:$D$741,$B$2:$B$741,B306)</f>
        <v>0.0281273131014064</v>
      </c>
      <c r="O306" s="7" t="n">
        <f aca="false">SUMIFS($D$2:D306,$B$2:B306,B306)/SUMIFS($D$2:$D$741,$B$2:$B$741,B306)</f>
        <v>0.885085122131754</v>
      </c>
      <c r="P306" s="8" t="b">
        <f aca="false">O306-N306&lt;$S$2</f>
        <v>1</v>
      </c>
      <c r="Q306" s="2"/>
      <c r="R306" s="2"/>
      <c r="S306" s="2"/>
    </row>
    <row r="307" customFormat="false" ht="14.25" hidden="false" customHeight="false" outlineLevel="0" collapsed="false">
      <c r="A307" s="4" t="s">
        <v>360</v>
      </c>
      <c r="B307" s="4" t="s">
        <v>349</v>
      </c>
      <c r="C307" s="5" t="n">
        <v>2</v>
      </c>
      <c r="D307" s="5" t="n">
        <v>138</v>
      </c>
      <c r="E307" s="5" t="n">
        <v>0</v>
      </c>
      <c r="F307" s="5" t="n">
        <v>0</v>
      </c>
      <c r="G307" s="5" t="n">
        <v>0</v>
      </c>
      <c r="H307" s="5" t="n">
        <v>138</v>
      </c>
      <c r="I307" s="6" t="n">
        <v>2</v>
      </c>
      <c r="J307" s="6" t="n">
        <v>4.1</v>
      </c>
      <c r="K307" s="6" t="n">
        <v>11</v>
      </c>
      <c r="L307" s="6" t="n">
        <v>11</v>
      </c>
      <c r="M307" s="4" t="str">
        <f aca="false">IF(AND(K307="",L307=""),"No closed tickets",IF(K307="","MISSING in catalog",IF(L307="","No valid closed tickets",IF(AND(ABS(K307-L307)&gt;=$S$3,ABS(K307-L307)&gt;=$S$4*MAX(L307,1)),"FAR OFF","OK"))))</f>
        <v>OK</v>
      </c>
      <c r="N307" s="7" t="n">
        <f aca="false">D307/SUMIFS($D$2:$D$741,$B$2:$B$741,B307)</f>
        <v>0.0255366395262768</v>
      </c>
      <c r="O307" s="7" t="n">
        <f aca="false">SUMIFS($D$2:D307,$B$2:B307,B307)/SUMIFS($D$2:$D$741,$B$2:$B$741,B307)</f>
        <v>0.910621761658031</v>
      </c>
      <c r="P307" s="8" t="b">
        <f aca="false">O307-N307&lt;$S$2</f>
        <v>1</v>
      </c>
      <c r="Q307" s="2"/>
      <c r="R307" s="2"/>
      <c r="S307" s="2"/>
    </row>
    <row r="308" customFormat="false" ht="14.25" hidden="false" customHeight="false" outlineLevel="0" collapsed="false">
      <c r="A308" s="4" t="s">
        <v>361</v>
      </c>
      <c r="B308" s="4" t="s">
        <v>349</v>
      </c>
      <c r="C308" s="5" t="n">
        <v>1</v>
      </c>
      <c r="D308" s="5" t="n">
        <v>100</v>
      </c>
      <c r="E308" s="5" t="n">
        <v>35</v>
      </c>
      <c r="F308" s="5" t="n">
        <v>1</v>
      </c>
      <c r="G308" s="5" t="n">
        <v>0</v>
      </c>
      <c r="H308" s="5" t="n">
        <v>99</v>
      </c>
      <c r="I308" s="6" t="n">
        <v>2</v>
      </c>
      <c r="J308" s="6" t="n">
        <v>3.1</v>
      </c>
      <c r="K308" s="6" t="n">
        <v>7</v>
      </c>
      <c r="L308" s="6" t="n">
        <v>7.2</v>
      </c>
      <c r="M308" s="4" t="str">
        <f aca="false">IF(AND(K308="",L308=""),"No closed tickets",IF(K308="","MISSING in catalog",IF(L308="","No valid closed tickets",IF(AND(ABS(K308-L308)&gt;=$S$3,ABS(K308-L308)&gt;=$S$4*MAX(L308,1)),"FAR OFF","OK"))))</f>
        <v>OK</v>
      </c>
      <c r="N308" s="7" t="n">
        <f aca="false">D308/SUMIFS($D$2:$D$741,$B$2:$B$741,B308)</f>
        <v>0.0185048112509252</v>
      </c>
      <c r="O308" s="7" t="n">
        <f aca="false">SUMIFS($D$2:D308,$B$2:B308,B308)/SUMIFS($D$2:$D$741,$B$2:$B$741,B308)</f>
        <v>0.929126572908956</v>
      </c>
      <c r="P308" s="8" t="b">
        <f aca="false">O308-N308&lt;$S$2</f>
        <v>1</v>
      </c>
      <c r="Q308" s="2"/>
      <c r="R308" s="2"/>
      <c r="S308" s="2"/>
    </row>
    <row r="309" customFormat="false" ht="14.25" hidden="false" customHeight="false" outlineLevel="0" collapsed="false">
      <c r="A309" s="4" t="s">
        <v>362</v>
      </c>
      <c r="B309" s="4" t="s">
        <v>349</v>
      </c>
      <c r="C309" s="5" t="n">
        <v>1</v>
      </c>
      <c r="D309" s="5" t="n">
        <v>71</v>
      </c>
      <c r="E309" s="5" t="n">
        <v>18</v>
      </c>
      <c r="F309" s="5" t="n">
        <v>0</v>
      </c>
      <c r="G309" s="5" t="n">
        <v>0</v>
      </c>
      <c r="H309" s="5" t="n">
        <v>71</v>
      </c>
      <c r="I309" s="6" t="n">
        <v>2</v>
      </c>
      <c r="J309" s="6" t="n">
        <v>12</v>
      </c>
      <c r="K309" s="6" t="n">
        <v>15</v>
      </c>
      <c r="L309" s="6" t="n">
        <v>15</v>
      </c>
      <c r="M309" s="4" t="str">
        <f aca="false">IF(AND(K309="",L309=""),"No closed tickets",IF(K309="","MISSING in catalog",IF(L309="","No valid closed tickets",IF(AND(ABS(K309-L309)&gt;=$S$3,ABS(K309-L309)&gt;=$S$4*MAX(L309,1)),"FAR OFF","OK"))))</f>
        <v>OK</v>
      </c>
      <c r="N309" s="7" t="n">
        <f aca="false">D309/SUMIFS($D$2:$D$741,$B$2:$B$741,B309)</f>
        <v>0.0131384159881569</v>
      </c>
      <c r="O309" s="7" t="n">
        <f aca="false">SUMIFS($D$2:D309,$B$2:B309,B309)/SUMIFS($D$2:$D$741,$B$2:$B$741,B309)</f>
        <v>0.942264988897113</v>
      </c>
      <c r="P309" s="8" t="b">
        <f aca="false">O309-N309&lt;$S$2</f>
        <v>1</v>
      </c>
      <c r="Q309" s="2"/>
      <c r="R309" s="2"/>
      <c r="S309" s="2"/>
    </row>
    <row r="310" customFormat="false" ht="14.25" hidden="false" customHeight="false" outlineLevel="0" collapsed="false">
      <c r="A310" s="4" t="s">
        <v>363</v>
      </c>
      <c r="B310" s="4" t="s">
        <v>349</v>
      </c>
      <c r="C310" s="5" t="n">
        <v>1</v>
      </c>
      <c r="D310" s="5" t="n">
        <v>53</v>
      </c>
      <c r="E310" s="5" t="n">
        <v>0</v>
      </c>
      <c r="F310" s="5" t="n">
        <v>0</v>
      </c>
      <c r="G310" s="5" t="n">
        <v>0</v>
      </c>
      <c r="H310" s="5" t="n">
        <v>53</v>
      </c>
      <c r="I310" s="6" t="n">
        <v>6</v>
      </c>
      <c r="J310" s="6" t="n">
        <v>10.8</v>
      </c>
      <c r="K310" s="6" t="n">
        <v>21</v>
      </c>
      <c r="L310" s="6" t="n">
        <v>20.8</v>
      </c>
      <c r="M310" s="4" t="str">
        <f aca="false">IF(AND(K310="",L310=""),"No closed tickets",IF(K310="","MISSING in catalog",IF(L310="","No valid closed tickets",IF(AND(ABS(K310-L310)&gt;=$S$3,ABS(K310-L310)&gt;=$S$4*MAX(L310,1)),"FAR OFF","OK"))))</f>
        <v>OK</v>
      </c>
      <c r="N310" s="7" t="n">
        <f aca="false">D310/SUMIFS($D$2:$D$741,$B$2:$B$741,B310)</f>
        <v>0.00980754996299038</v>
      </c>
      <c r="O310" s="7" t="n">
        <f aca="false">SUMIFS($D$2:D310,$B$2:B310,B310)/SUMIFS($D$2:$D$741,$B$2:$B$741,B310)</f>
        <v>0.952072538860104</v>
      </c>
      <c r="P310" s="8" t="b">
        <f aca="false">O310-N310&lt;$S$2</f>
        <v>1</v>
      </c>
      <c r="Q310" s="2"/>
      <c r="R310" s="2"/>
      <c r="S310" s="2"/>
    </row>
    <row r="311" customFormat="false" ht="14.25" hidden="false" customHeight="false" outlineLevel="0" collapsed="false">
      <c r="A311" s="4" t="s">
        <v>364</v>
      </c>
      <c r="B311" s="4" t="s">
        <v>349</v>
      </c>
      <c r="C311" s="5" t="n">
        <v>1</v>
      </c>
      <c r="D311" s="5" t="n">
        <v>45</v>
      </c>
      <c r="E311" s="5" t="n">
        <v>18</v>
      </c>
      <c r="F311" s="5" t="n">
        <v>0</v>
      </c>
      <c r="G311" s="5" t="n">
        <v>0</v>
      </c>
      <c r="H311" s="5" t="n">
        <v>45</v>
      </c>
      <c r="I311" s="6" t="n">
        <v>1</v>
      </c>
      <c r="J311" s="6" t="n">
        <v>9.8</v>
      </c>
      <c r="K311" s="6" t="n">
        <v>5</v>
      </c>
      <c r="L311" s="6" t="n">
        <v>5.2</v>
      </c>
      <c r="M311" s="4" t="str">
        <f aca="false">IF(AND(K311="",L311=""),"No closed tickets",IF(K311="","MISSING in catalog",IF(L311="","No valid closed tickets",IF(AND(ABS(K311-L311)&gt;=$S$3,ABS(K311-L311)&gt;=$S$4*MAX(L311,1)),"FAR OFF","OK"))))</f>
        <v>OK</v>
      </c>
      <c r="N311" s="7" t="n">
        <f aca="false">D311/SUMIFS($D$2:$D$741,$B$2:$B$741,B311)</f>
        <v>0.00832716506291636</v>
      </c>
      <c r="O311" s="7" t="n">
        <f aca="false">SUMIFS($D$2:D311,$B$2:B311,B311)/SUMIFS($D$2:$D$741,$B$2:$B$741,B311)</f>
        <v>0.96039970392302</v>
      </c>
      <c r="P311" s="8" t="b">
        <f aca="false">O311-N311&lt;$S$2</f>
        <v>0</v>
      </c>
      <c r="Q311" s="2"/>
      <c r="R311" s="2"/>
      <c r="S311" s="2"/>
    </row>
    <row r="312" customFormat="false" ht="14.25" hidden="false" customHeight="false" outlineLevel="0" collapsed="false">
      <c r="A312" s="4" t="s">
        <v>365</v>
      </c>
      <c r="B312" s="4" t="s">
        <v>349</v>
      </c>
      <c r="C312" s="5" t="n">
        <v>1</v>
      </c>
      <c r="D312" s="5" t="n">
        <v>39</v>
      </c>
      <c r="E312" s="5" t="n">
        <v>24</v>
      </c>
      <c r="F312" s="5" t="n">
        <v>1</v>
      </c>
      <c r="G312" s="5" t="n">
        <v>0</v>
      </c>
      <c r="H312" s="5" t="n">
        <v>38</v>
      </c>
      <c r="I312" s="6" t="n">
        <v>6</v>
      </c>
      <c r="J312" s="6" t="n">
        <v>9.7</v>
      </c>
      <c r="K312" s="6" t="n">
        <v>16</v>
      </c>
      <c r="L312" s="6" t="n">
        <v>16.3</v>
      </c>
      <c r="M312" s="4" t="str">
        <f aca="false">IF(AND(K312="",L312=""),"No closed tickets",IF(K312="","MISSING in catalog",IF(L312="","No valid closed tickets",IF(AND(ABS(K312-L312)&gt;=$S$3,ABS(K312-L312)&gt;=$S$4*MAX(L312,1)),"FAR OFF","OK"))))</f>
        <v>OK</v>
      </c>
      <c r="N312" s="7" t="n">
        <f aca="false">D312/SUMIFS($D$2:$D$741,$B$2:$B$741,B312)</f>
        <v>0.00721687638786084</v>
      </c>
      <c r="O312" s="7" t="n">
        <f aca="false">SUMIFS($D$2:D312,$B$2:B312,B312)/SUMIFS($D$2:$D$741,$B$2:$B$741,B312)</f>
        <v>0.967616580310881</v>
      </c>
      <c r="P312" s="8" t="b">
        <f aca="false">O312-N312&lt;$S$2</f>
        <v>0</v>
      </c>
      <c r="Q312" s="2"/>
      <c r="R312" s="2"/>
      <c r="S312" s="2"/>
    </row>
    <row r="313" customFormat="false" ht="14.25" hidden="false" customHeight="false" outlineLevel="0" collapsed="false">
      <c r="A313" s="4" t="s">
        <v>366</v>
      </c>
      <c r="B313" s="4" t="s">
        <v>349</v>
      </c>
      <c r="C313" s="5" t="n">
        <v>1</v>
      </c>
      <c r="D313" s="5" t="n">
        <v>37</v>
      </c>
      <c r="E313" s="5" t="n">
        <v>21</v>
      </c>
      <c r="F313" s="5" t="n">
        <v>0</v>
      </c>
      <c r="G313" s="5" t="n">
        <v>0</v>
      </c>
      <c r="H313" s="5" t="n">
        <v>37</v>
      </c>
      <c r="I313" s="6" t="n">
        <v>8</v>
      </c>
      <c r="J313" s="6" t="n">
        <v>14.6</v>
      </c>
      <c r="K313" s="6" t="n">
        <v>38</v>
      </c>
      <c r="L313" s="6" t="n">
        <v>38</v>
      </c>
      <c r="M313" s="4" t="str">
        <f aca="false">IF(AND(K313="",L313=""),"No closed tickets",IF(K313="","MISSING in catalog",IF(L313="","No valid closed tickets",IF(AND(ABS(K313-L313)&gt;=$S$3,ABS(K313-L313)&gt;=$S$4*MAX(L313,1)),"FAR OFF","OK"))))</f>
        <v>OK</v>
      </c>
      <c r="N313" s="7" t="n">
        <f aca="false">D313/SUMIFS($D$2:$D$741,$B$2:$B$741,B313)</f>
        <v>0.00684678016284234</v>
      </c>
      <c r="O313" s="7" t="n">
        <f aca="false">SUMIFS($D$2:D313,$B$2:B313,B313)/SUMIFS($D$2:$D$741,$B$2:$B$741,B313)</f>
        <v>0.974463360473723</v>
      </c>
      <c r="P313" s="8" t="b">
        <f aca="false">O313-N313&lt;$S$2</f>
        <v>0</v>
      </c>
      <c r="Q313" s="2"/>
      <c r="R313" s="2"/>
      <c r="S313" s="2"/>
    </row>
    <row r="314" customFormat="false" ht="14.25" hidden="false" customHeight="false" outlineLevel="0" collapsed="false">
      <c r="A314" s="4" t="s">
        <v>367</v>
      </c>
      <c r="B314" s="4" t="s">
        <v>349</v>
      </c>
      <c r="C314" s="5" t="n">
        <v>2</v>
      </c>
      <c r="D314" s="5" t="n">
        <v>37</v>
      </c>
      <c r="E314" s="5" t="n">
        <v>0</v>
      </c>
      <c r="F314" s="5" t="n">
        <v>0</v>
      </c>
      <c r="G314" s="5" t="n">
        <v>0</v>
      </c>
      <c r="H314" s="5" t="n">
        <v>37</v>
      </c>
      <c r="I314" s="6" t="n">
        <v>1</v>
      </c>
      <c r="J314" s="6" t="n">
        <v>8.2</v>
      </c>
      <c r="K314" s="6" t="n">
        <v>8</v>
      </c>
      <c r="L314" s="6" t="n">
        <v>7.8</v>
      </c>
      <c r="M314" s="4" t="str">
        <f aca="false">IF(AND(K314="",L314=""),"No closed tickets",IF(K314="","MISSING in catalog",IF(L314="","No valid closed tickets",IF(AND(ABS(K314-L314)&gt;=$S$3,ABS(K314-L314)&gt;=$S$4*MAX(L314,1)),"FAR OFF","OK"))))</f>
        <v>OK</v>
      </c>
      <c r="N314" s="7" t="n">
        <f aca="false">D314/SUMIFS($D$2:$D$741,$B$2:$B$741,B314)</f>
        <v>0.00684678016284234</v>
      </c>
      <c r="O314" s="7" t="n">
        <f aca="false">SUMIFS($D$2:D314,$B$2:B314,B314)/SUMIFS($D$2:$D$741,$B$2:$B$741,B314)</f>
        <v>0.981310140636566</v>
      </c>
      <c r="P314" s="8" t="b">
        <f aca="false">O314-N314&lt;$S$2</f>
        <v>0</v>
      </c>
      <c r="Q314" s="2"/>
      <c r="R314" s="2"/>
      <c r="S314" s="2"/>
    </row>
    <row r="315" customFormat="false" ht="14.25" hidden="false" customHeight="false" outlineLevel="0" collapsed="false">
      <c r="A315" s="4" t="s">
        <v>368</v>
      </c>
      <c r="B315" s="4" t="s">
        <v>349</v>
      </c>
      <c r="C315" s="5" t="n">
        <v>1</v>
      </c>
      <c r="D315" s="5" t="n">
        <v>28</v>
      </c>
      <c r="E315" s="5" t="n">
        <v>21</v>
      </c>
      <c r="F315" s="5" t="n">
        <v>0</v>
      </c>
      <c r="G315" s="5" t="n">
        <v>0</v>
      </c>
      <c r="H315" s="5" t="n">
        <v>28</v>
      </c>
      <c r="I315" s="6" t="n">
        <v>2</v>
      </c>
      <c r="J315" s="6" t="n">
        <v>10.8</v>
      </c>
      <c r="K315" s="6" t="n">
        <v>24</v>
      </c>
      <c r="L315" s="6" t="n">
        <v>24.4</v>
      </c>
      <c r="M315" s="4" t="str">
        <f aca="false">IF(AND(K315="",L315=""),"No closed tickets",IF(K315="","MISSING in catalog",IF(L315="","No valid closed tickets",IF(AND(ABS(K315-L315)&gt;=$S$3,ABS(K315-L315)&gt;=$S$4*MAX(L315,1)),"FAR OFF","OK"))))</f>
        <v>OK</v>
      </c>
      <c r="N315" s="7" t="n">
        <f aca="false">D315/SUMIFS($D$2:$D$741,$B$2:$B$741,B315)</f>
        <v>0.00518134715025907</v>
      </c>
      <c r="O315" s="7" t="n">
        <f aca="false">SUMIFS($D$2:D315,$B$2:B315,B315)/SUMIFS($D$2:$D$741,$B$2:$B$741,B315)</f>
        <v>0.986491487786825</v>
      </c>
      <c r="P315" s="8" t="b">
        <f aca="false">O315-N315&lt;$S$2</f>
        <v>0</v>
      </c>
      <c r="Q315" s="2"/>
      <c r="R315" s="2"/>
      <c r="S315" s="2"/>
    </row>
    <row r="316" customFormat="false" ht="14.25" hidden="false" customHeight="false" outlineLevel="0" collapsed="false">
      <c r="A316" s="4" t="s">
        <v>369</v>
      </c>
      <c r="B316" s="4" t="s">
        <v>349</v>
      </c>
      <c r="C316" s="5" t="n">
        <v>1</v>
      </c>
      <c r="D316" s="5" t="n">
        <v>24</v>
      </c>
      <c r="E316" s="5" t="n">
        <v>0</v>
      </c>
      <c r="F316" s="5" t="n">
        <v>0</v>
      </c>
      <c r="G316" s="5" t="n">
        <v>0</v>
      </c>
      <c r="H316" s="5" t="n">
        <v>24</v>
      </c>
      <c r="I316" s="6" t="n">
        <v>6</v>
      </c>
      <c r="J316" s="6" t="n">
        <v>8.5</v>
      </c>
      <c r="K316" s="6" t="n">
        <v>21</v>
      </c>
      <c r="L316" s="6" t="n">
        <v>20.7</v>
      </c>
      <c r="M316" s="4" t="str">
        <f aca="false">IF(AND(K316="",L316=""),"No closed tickets",IF(K316="","MISSING in catalog",IF(L316="","No valid closed tickets",IF(AND(ABS(K316-L316)&gt;=$S$3,ABS(K316-L316)&gt;=$S$4*MAX(L316,1)),"FAR OFF","OK"))))</f>
        <v>OK</v>
      </c>
      <c r="N316" s="7" t="n">
        <f aca="false">D316/SUMIFS($D$2:$D$741,$B$2:$B$741,B316)</f>
        <v>0.00444115470022206</v>
      </c>
      <c r="O316" s="7" t="n">
        <f aca="false">SUMIFS($D$2:D316,$B$2:B316,B316)/SUMIFS($D$2:$D$741,$B$2:$B$741,B316)</f>
        <v>0.990932642487047</v>
      </c>
      <c r="P316" s="8" t="b">
        <f aca="false">O316-N316&lt;$S$2</f>
        <v>0</v>
      </c>
      <c r="Q316" s="2"/>
      <c r="R316" s="2"/>
      <c r="S316" s="2"/>
    </row>
    <row r="317" customFormat="false" ht="14.25" hidden="false" customHeight="false" outlineLevel="0" collapsed="false">
      <c r="A317" s="4" t="s">
        <v>370</v>
      </c>
      <c r="B317" s="4" t="s">
        <v>349</v>
      </c>
      <c r="C317" s="5" t="n">
        <v>1</v>
      </c>
      <c r="D317" s="5" t="n">
        <v>22</v>
      </c>
      <c r="E317" s="5" t="n">
        <v>0</v>
      </c>
      <c r="F317" s="5" t="n">
        <v>0</v>
      </c>
      <c r="G317" s="5" t="n">
        <v>0</v>
      </c>
      <c r="H317" s="5" t="n">
        <v>22</v>
      </c>
      <c r="I317" s="6" t="n">
        <v>7.5</v>
      </c>
      <c r="J317" s="6" t="n">
        <v>11</v>
      </c>
      <c r="K317" s="6" t="n">
        <v>28</v>
      </c>
      <c r="L317" s="6" t="n">
        <v>27.6</v>
      </c>
      <c r="M317" s="4" t="str">
        <f aca="false">IF(AND(K317="",L317=""),"No closed tickets",IF(K317="","MISSING in catalog",IF(L317="","No valid closed tickets",IF(AND(ABS(K317-L317)&gt;=$S$3,ABS(K317-L317)&gt;=$S$4*MAX(L317,1)),"FAR OFF","OK"))))</f>
        <v>OK</v>
      </c>
      <c r="N317" s="7" t="n">
        <f aca="false">D317/SUMIFS($D$2:$D$741,$B$2:$B$741,B317)</f>
        <v>0.00407105847520355</v>
      </c>
      <c r="O317" s="7" t="n">
        <f aca="false">SUMIFS($D$2:D317,$B$2:B317,B317)/SUMIFS($D$2:$D$741,$B$2:$B$741,B317)</f>
        <v>0.99500370096225</v>
      </c>
      <c r="P317" s="8" t="b">
        <f aca="false">O317-N317&lt;$S$2</f>
        <v>0</v>
      </c>
      <c r="Q317" s="2"/>
      <c r="R317" s="2"/>
      <c r="S317" s="2"/>
    </row>
    <row r="318" customFormat="false" ht="14.25" hidden="false" customHeight="false" outlineLevel="0" collapsed="false">
      <c r="A318" s="4" t="s">
        <v>371</v>
      </c>
      <c r="B318" s="4" t="s">
        <v>349</v>
      </c>
      <c r="C318" s="5" t="n">
        <v>2</v>
      </c>
      <c r="D318" s="5" t="n">
        <v>16</v>
      </c>
      <c r="E318" s="5" t="n">
        <v>0</v>
      </c>
      <c r="F318" s="5" t="n">
        <v>0</v>
      </c>
      <c r="G318" s="5" t="n">
        <v>0</v>
      </c>
      <c r="H318" s="5" t="n">
        <v>16</v>
      </c>
      <c r="I318" s="6" t="n">
        <v>5.5</v>
      </c>
      <c r="J318" s="6" t="n">
        <v>9.6</v>
      </c>
      <c r="K318" s="6" t="n">
        <v>26</v>
      </c>
      <c r="L318" s="6" t="n">
        <v>26</v>
      </c>
      <c r="M318" s="4" t="str">
        <f aca="false">IF(AND(K318="",L318=""),"No closed tickets",IF(K318="","MISSING in catalog",IF(L318="","No valid closed tickets",IF(AND(ABS(K318-L318)&gt;=$S$3,ABS(K318-L318)&gt;=$S$4*MAX(L318,1)),"FAR OFF","OK"))))</f>
        <v>OK</v>
      </c>
      <c r="N318" s="7" t="n">
        <f aca="false">D318/SUMIFS($D$2:$D$741,$B$2:$B$741,B318)</f>
        <v>0.00296076980014804</v>
      </c>
      <c r="O318" s="7" t="n">
        <f aca="false">SUMIFS($D$2:D318,$B$2:B318,B318)/SUMIFS($D$2:$D$741,$B$2:$B$741,B318)</f>
        <v>0.997964470762398</v>
      </c>
      <c r="P318" s="8" t="b">
        <f aca="false">O318-N318&lt;$S$2</f>
        <v>0</v>
      </c>
      <c r="Q318" s="2"/>
      <c r="R318" s="2"/>
      <c r="S318" s="2"/>
    </row>
    <row r="319" customFormat="false" ht="14.25" hidden="false" customHeight="false" outlineLevel="0" collapsed="false">
      <c r="A319" s="4" t="s">
        <v>372</v>
      </c>
      <c r="B319" s="4" t="s">
        <v>349</v>
      </c>
      <c r="C319" s="5" t="n">
        <v>1</v>
      </c>
      <c r="D319" s="5" t="n">
        <v>7</v>
      </c>
      <c r="E319" s="5" t="n">
        <v>0</v>
      </c>
      <c r="F319" s="5" t="n">
        <v>0</v>
      </c>
      <c r="G319" s="5" t="n">
        <v>0</v>
      </c>
      <c r="H319" s="5" t="n">
        <v>7</v>
      </c>
      <c r="I319" s="6" t="n">
        <v>160</v>
      </c>
      <c r="J319" s="6" t="n">
        <v>162.9</v>
      </c>
      <c r="K319" s="6" t="n">
        <v>355</v>
      </c>
      <c r="L319" s="6" t="n">
        <v>354.8</v>
      </c>
      <c r="M319" s="4" t="str">
        <f aca="false">IF(AND(K319="",L319=""),"No closed tickets",IF(K319="","MISSING in catalog",IF(L319="","No valid closed tickets",IF(AND(ABS(K319-L319)&gt;=$S$3,ABS(K319-L319)&gt;=$S$4*MAX(L319,1)),"FAR OFF","OK"))))</f>
        <v>OK</v>
      </c>
      <c r="N319" s="7" t="n">
        <f aca="false">D319/SUMIFS($D$2:$D$741,$B$2:$B$741,B319)</f>
        <v>0.00129533678756477</v>
      </c>
      <c r="O319" s="7" t="n">
        <f aca="false">SUMIFS($D$2:D319,$B$2:B319,B319)/SUMIFS($D$2:$D$741,$B$2:$B$741,B319)</f>
        <v>0.999259807549963</v>
      </c>
      <c r="P319" s="8" t="b">
        <f aca="false">O319-N319&lt;$S$2</f>
        <v>0</v>
      </c>
      <c r="Q319" s="2"/>
      <c r="R319" s="2"/>
      <c r="S319" s="2"/>
    </row>
    <row r="320" customFormat="false" ht="14.25" hidden="false" customHeight="false" outlineLevel="0" collapsed="false">
      <c r="A320" s="4" t="s">
        <v>373</v>
      </c>
      <c r="B320" s="4" t="s">
        <v>349</v>
      </c>
      <c r="C320" s="5" t="n">
        <v>1</v>
      </c>
      <c r="D320" s="5" t="n">
        <v>2</v>
      </c>
      <c r="E320" s="5" t="n">
        <v>0</v>
      </c>
      <c r="F320" s="5" t="n">
        <v>0</v>
      </c>
      <c r="G320" s="5" t="n">
        <v>0</v>
      </c>
      <c r="H320" s="5" t="n">
        <v>2</v>
      </c>
      <c r="I320" s="6" t="n">
        <v>4</v>
      </c>
      <c r="J320" s="6" t="n">
        <v>4</v>
      </c>
      <c r="K320" s="6" t="n">
        <v>7</v>
      </c>
      <c r="L320" s="6" t="n">
        <v>7.2</v>
      </c>
      <c r="M320" s="4" t="str">
        <f aca="false">IF(AND(K320="",L320=""),"No closed tickets",IF(K320="","MISSING in catalog",IF(L320="","No valid closed tickets",IF(AND(ABS(K320-L320)&gt;=$S$3,ABS(K320-L320)&gt;=$S$4*MAX(L320,1)),"FAR OFF","OK"))))</f>
        <v>OK</v>
      </c>
      <c r="N320" s="7" t="n">
        <f aca="false">D320/SUMIFS($D$2:$D$741,$B$2:$B$741,B320)</f>
        <v>0.000370096225018505</v>
      </c>
      <c r="O320" s="7" t="n">
        <f aca="false">SUMIFS($D$2:D320,$B$2:B320,B320)/SUMIFS($D$2:$D$741,$B$2:$B$741,B320)</f>
        <v>0.999629903774982</v>
      </c>
      <c r="P320" s="8" t="b">
        <f aca="false">O320-N320&lt;$S$2</f>
        <v>0</v>
      </c>
      <c r="Q320" s="2"/>
      <c r="R320" s="2"/>
      <c r="S320" s="2"/>
    </row>
    <row r="321" customFormat="false" ht="14.25" hidden="false" customHeight="false" outlineLevel="0" collapsed="false">
      <c r="A321" s="4" t="s">
        <v>374</v>
      </c>
      <c r="B321" s="4" t="s">
        <v>349</v>
      </c>
      <c r="C321" s="5" t="n">
        <v>1</v>
      </c>
      <c r="D321" s="5" t="n">
        <v>1</v>
      </c>
      <c r="E321" s="5" t="n">
        <v>0</v>
      </c>
      <c r="F321" s="5" t="n">
        <v>0</v>
      </c>
      <c r="G321" s="5" t="n">
        <v>0</v>
      </c>
      <c r="H321" s="5" t="n">
        <v>1</v>
      </c>
      <c r="I321" s="6" t="n">
        <v>34</v>
      </c>
      <c r="J321" s="6" t="n">
        <v>34</v>
      </c>
      <c r="K321" s="6" t="n">
        <v>34</v>
      </c>
      <c r="L321" s="6" t="n">
        <v>34</v>
      </c>
      <c r="M321" s="4" t="str">
        <f aca="false">IF(AND(K321="",L321=""),"No closed tickets",IF(K321="","MISSING in catalog",IF(L321="","No valid closed tickets",IF(AND(ABS(K321-L321)&gt;=$S$3,ABS(K321-L321)&gt;=$S$4*MAX(L321,1)),"FAR OFF","OK"))))</f>
        <v>OK</v>
      </c>
      <c r="N321" s="7" t="n">
        <f aca="false">D321/SUMIFS($D$2:$D$741,$B$2:$B$741,B321)</f>
        <v>0.000185048112509252</v>
      </c>
      <c r="O321" s="7" t="n">
        <f aca="false">SUMIFS($D$2:D321,$B$2:B321,B321)/SUMIFS($D$2:$D$741,$B$2:$B$741,B321)</f>
        <v>0.999814951887491</v>
      </c>
      <c r="P321" s="8" t="b">
        <f aca="false">O321-N321&lt;$S$2</f>
        <v>0</v>
      </c>
      <c r="Q321" s="2"/>
      <c r="R321" s="2"/>
      <c r="S321" s="2"/>
    </row>
    <row r="322" customFormat="false" ht="14.25" hidden="false" customHeight="false" outlineLevel="0" collapsed="false">
      <c r="A322" s="4" t="s">
        <v>375</v>
      </c>
      <c r="B322" s="4" t="s">
        <v>349</v>
      </c>
      <c r="C322" s="5" t="n">
        <v>1</v>
      </c>
      <c r="D322" s="5" t="n">
        <v>1</v>
      </c>
      <c r="E322" s="5" t="n">
        <v>0</v>
      </c>
      <c r="F322" s="5" t="n">
        <v>0</v>
      </c>
      <c r="G322" s="5" t="n">
        <v>0</v>
      </c>
      <c r="H322" s="5" t="n">
        <v>1</v>
      </c>
      <c r="I322" s="6" t="n">
        <v>7</v>
      </c>
      <c r="J322" s="6" t="n">
        <v>7</v>
      </c>
      <c r="K322" s="6" t="n">
        <v>7</v>
      </c>
      <c r="L322" s="6" t="n">
        <v>7</v>
      </c>
      <c r="M322" s="4" t="str">
        <f aca="false">IF(AND(K322="",L322=""),"No closed tickets",IF(K322="","MISSING in catalog",IF(L322="","No valid closed tickets",IF(AND(ABS(K322-L322)&gt;=$S$3,ABS(K322-L322)&gt;=$S$4*MAX(L322,1)),"FAR OFF","OK"))))</f>
        <v>OK</v>
      </c>
      <c r="N322" s="7" t="n">
        <f aca="false">D322/SUMIFS($D$2:$D$741,$B$2:$B$741,B322)</f>
        <v>0.000185048112509252</v>
      </c>
      <c r="O322" s="7" t="n">
        <f aca="false">SUMIFS($D$2:D322,$B$2:B322,B322)/SUMIFS($D$2:$D$741,$B$2:$B$741,B322)</f>
        <v>1</v>
      </c>
      <c r="P322" s="8" t="b">
        <f aca="false">O322-N322&lt;$S$2</f>
        <v>0</v>
      </c>
      <c r="Q322" s="2"/>
      <c r="R322" s="2"/>
      <c r="S322" s="2"/>
    </row>
    <row r="323" customFormat="false" ht="14.25" hidden="false" customHeight="false" outlineLevel="0" collapsed="false">
      <c r="A323" s="10" t="s">
        <v>376</v>
      </c>
      <c r="B323" s="10" t="s">
        <v>377</v>
      </c>
      <c r="C323" s="11" t="n">
        <v>2</v>
      </c>
      <c r="D323" s="11" t="n">
        <v>2006</v>
      </c>
      <c r="E323" s="11" t="n">
        <v>442</v>
      </c>
      <c r="F323" s="11" t="n">
        <v>29</v>
      </c>
      <c r="G323" s="11" t="n">
        <v>15</v>
      </c>
      <c r="H323" s="11" t="n">
        <v>1977</v>
      </c>
      <c r="I323" s="12" t="n">
        <v>3</v>
      </c>
      <c r="J323" s="12" t="n">
        <v>18.2</v>
      </c>
      <c r="K323" s="12" t="n">
        <v>24</v>
      </c>
      <c r="L323" s="12" t="n">
        <v>24</v>
      </c>
      <c r="M323" s="10" t="str">
        <f aca="false">IF(AND(K323="",L323=""),"No closed tickets",IF(K323="","MISSING in catalog",IF(L323="","No valid closed tickets",IF(AND(ABS(K323-L323)&gt;=$S$3,ABS(K323-L323)&gt;=$S$4*MAX(L323,1)),"FAR OFF","OK"))))</f>
        <v>OK</v>
      </c>
      <c r="N323" s="13" t="n">
        <f aca="false">D323/SUMIFS($D$2:$D$741,$B$2:$B$741,B323)</f>
        <v>0.627856025039124</v>
      </c>
      <c r="O323" s="13" t="n">
        <f aca="false">SUMIFS($D$2:D323,$B$2:B323,B323)/SUMIFS($D$2:$D$741,$B$2:$B$741,B323)</f>
        <v>0.627856025039124</v>
      </c>
      <c r="P323" s="14" t="b">
        <f aca="false">O323-N323&lt;$S$2</f>
        <v>1</v>
      </c>
      <c r="Q323" s="2"/>
      <c r="R323" s="2"/>
      <c r="S323" s="2"/>
    </row>
    <row r="324" customFormat="false" ht="14.25" hidden="false" customHeight="false" outlineLevel="0" collapsed="false">
      <c r="A324" s="4" t="s">
        <v>378</v>
      </c>
      <c r="B324" s="4" t="s">
        <v>377</v>
      </c>
      <c r="C324" s="5" t="n">
        <v>2</v>
      </c>
      <c r="D324" s="5" t="n">
        <v>559</v>
      </c>
      <c r="E324" s="5" t="n">
        <v>84</v>
      </c>
      <c r="F324" s="5" t="n">
        <v>1</v>
      </c>
      <c r="G324" s="5" t="n">
        <v>0</v>
      </c>
      <c r="H324" s="5" t="n">
        <v>558</v>
      </c>
      <c r="I324" s="6" t="n">
        <v>3</v>
      </c>
      <c r="J324" s="6" t="n">
        <v>5.4</v>
      </c>
      <c r="K324" s="6" t="n">
        <v>7</v>
      </c>
      <c r="L324" s="6" t="n">
        <v>7</v>
      </c>
      <c r="M324" s="4" t="str">
        <f aca="false">IF(AND(K324="",L324=""),"No closed tickets",IF(K324="","MISSING in catalog",IF(L324="","No valid closed tickets",IF(AND(ABS(K324-L324)&gt;=$S$3,ABS(K324-L324)&gt;=$S$4*MAX(L324,1)),"FAR OFF","OK"))))</f>
        <v>OK</v>
      </c>
      <c r="N324" s="7" t="n">
        <f aca="false">D324/SUMIFS($D$2:$D$741,$B$2:$B$741,B324)</f>
        <v>0.174960876369327</v>
      </c>
      <c r="O324" s="7" t="n">
        <f aca="false">SUMIFS($D$2:D324,$B$2:B324,B324)/SUMIFS($D$2:$D$741,$B$2:$B$741,B324)</f>
        <v>0.802816901408451</v>
      </c>
      <c r="P324" s="8" t="b">
        <f aca="false">O324-N324&lt;$S$2</f>
        <v>1</v>
      </c>
      <c r="Q324" s="2"/>
      <c r="R324" s="2"/>
      <c r="S324" s="2"/>
    </row>
    <row r="325" customFormat="false" ht="14.25" hidden="false" customHeight="false" outlineLevel="0" collapsed="false">
      <c r="A325" s="4" t="s">
        <v>379</v>
      </c>
      <c r="B325" s="4" t="s">
        <v>377</v>
      </c>
      <c r="C325" s="5" t="n">
        <v>2</v>
      </c>
      <c r="D325" s="5" t="n">
        <v>482</v>
      </c>
      <c r="E325" s="5" t="n">
        <v>76</v>
      </c>
      <c r="F325" s="5" t="n">
        <v>0</v>
      </c>
      <c r="G325" s="5" t="n">
        <v>0</v>
      </c>
      <c r="H325" s="5" t="n">
        <v>482</v>
      </c>
      <c r="I325" s="6" t="n">
        <v>3</v>
      </c>
      <c r="J325" s="6" t="n">
        <v>7.9</v>
      </c>
      <c r="K325" s="6" t="n">
        <v>8</v>
      </c>
      <c r="L325" s="6" t="n">
        <v>8</v>
      </c>
      <c r="M325" s="4" t="str">
        <f aca="false">IF(AND(K325="",L325=""),"No closed tickets",IF(K325="","MISSING in catalog",IF(L325="","No valid closed tickets",IF(AND(ABS(K325-L325)&gt;=$S$3,ABS(K325-L325)&gt;=$S$4*MAX(L325,1)),"FAR OFF","OK"))))</f>
        <v>OK</v>
      </c>
      <c r="N325" s="7" t="n">
        <f aca="false">D325/SUMIFS($D$2:$D$741,$B$2:$B$741,B325)</f>
        <v>0.150860719874804</v>
      </c>
      <c r="O325" s="7" t="n">
        <f aca="false">SUMIFS($D$2:D325,$B$2:B325,B325)/SUMIFS($D$2:$D$741,$B$2:$B$741,B325)</f>
        <v>0.953677621283255</v>
      </c>
      <c r="P325" s="8" t="b">
        <f aca="false">O325-N325&lt;$S$2</f>
        <v>1</v>
      </c>
      <c r="Q325" s="2"/>
      <c r="R325" s="2"/>
      <c r="S325" s="2"/>
    </row>
    <row r="326" customFormat="false" ht="14.25" hidden="false" customHeight="false" outlineLevel="0" collapsed="false">
      <c r="A326" s="4" t="s">
        <v>380</v>
      </c>
      <c r="B326" s="4" t="s">
        <v>377</v>
      </c>
      <c r="C326" s="5" t="n">
        <v>2</v>
      </c>
      <c r="D326" s="5" t="n">
        <v>88</v>
      </c>
      <c r="E326" s="5" t="n">
        <v>13</v>
      </c>
      <c r="F326" s="5" t="n">
        <v>0</v>
      </c>
      <c r="G326" s="5" t="n">
        <v>0</v>
      </c>
      <c r="H326" s="5" t="n">
        <v>88</v>
      </c>
      <c r="I326" s="6" t="n">
        <v>3</v>
      </c>
      <c r="J326" s="6" t="n">
        <v>6</v>
      </c>
      <c r="K326" s="6" t="n">
        <v>11</v>
      </c>
      <c r="L326" s="6" t="n">
        <v>11</v>
      </c>
      <c r="M326" s="4" t="str">
        <f aca="false">IF(AND(K326="",L326=""),"No closed tickets",IF(K326="","MISSING in catalog",IF(L326="","No valid closed tickets",IF(AND(ABS(K326-L326)&gt;=$S$3,ABS(K326-L326)&gt;=$S$4*MAX(L326,1)),"FAR OFF","OK"))))</f>
        <v>OK</v>
      </c>
      <c r="N326" s="7" t="n">
        <f aca="false">D326/SUMIFS($D$2:$D$741,$B$2:$B$741,B326)</f>
        <v>0.0275430359937402</v>
      </c>
      <c r="O326" s="7" t="n">
        <f aca="false">SUMIFS($D$2:D326,$B$2:B326,B326)/SUMIFS($D$2:$D$741,$B$2:$B$741,B326)</f>
        <v>0.981220657276995</v>
      </c>
      <c r="P326" s="8" t="b">
        <f aca="false">O326-N326&lt;$S$2</f>
        <v>0</v>
      </c>
      <c r="Q326" s="2"/>
      <c r="R326" s="2"/>
      <c r="S326" s="2"/>
    </row>
    <row r="327" customFormat="false" ht="14.25" hidden="false" customHeight="false" outlineLevel="0" collapsed="false">
      <c r="A327" s="4" t="s">
        <v>381</v>
      </c>
      <c r="B327" s="4" t="s">
        <v>377</v>
      </c>
      <c r="C327" s="5" t="n">
        <v>2</v>
      </c>
      <c r="D327" s="5" t="n">
        <v>60</v>
      </c>
      <c r="E327" s="5" t="n">
        <v>13</v>
      </c>
      <c r="F327" s="5" t="n">
        <v>0</v>
      </c>
      <c r="G327" s="5" t="n">
        <v>0</v>
      </c>
      <c r="H327" s="5" t="n">
        <v>60</v>
      </c>
      <c r="I327" s="6" t="n">
        <v>3</v>
      </c>
      <c r="J327" s="6" t="n">
        <v>3.7</v>
      </c>
      <c r="K327" s="6" t="n">
        <v>7</v>
      </c>
      <c r="L327" s="6" t="n">
        <v>7.1</v>
      </c>
      <c r="M327" s="4" t="str">
        <f aca="false">IF(AND(K327="",L327=""),"No closed tickets",IF(K327="","MISSING in catalog",IF(L327="","No valid closed tickets",IF(AND(ABS(K327-L327)&gt;=$S$3,ABS(K327-L327)&gt;=$S$4*MAX(L327,1)),"FAR OFF","OK"))))</f>
        <v>OK</v>
      </c>
      <c r="N327" s="7" t="n">
        <f aca="false">D327/SUMIFS($D$2:$D$741,$B$2:$B$741,B327)</f>
        <v>0.0187793427230047</v>
      </c>
      <c r="O327" s="7" t="n">
        <f aca="false">SUMIFS($D$2:D327,$B$2:B327,B327)/SUMIFS($D$2:$D$741,$B$2:$B$741,B327)</f>
        <v>1</v>
      </c>
      <c r="P327" s="8" t="b">
        <f aca="false">O327-N327&lt;$S$2</f>
        <v>0</v>
      </c>
      <c r="Q327" s="2"/>
      <c r="R327" s="2"/>
      <c r="S327" s="2"/>
    </row>
    <row r="328" customFormat="false" ht="14.25" hidden="false" customHeight="false" outlineLevel="0" collapsed="false">
      <c r="A328" s="10" t="s">
        <v>382</v>
      </c>
      <c r="B328" s="10" t="s">
        <v>383</v>
      </c>
      <c r="C328" s="11" t="n">
        <v>1</v>
      </c>
      <c r="D328" s="11" t="n">
        <v>1304</v>
      </c>
      <c r="E328" s="11" t="n">
        <v>480</v>
      </c>
      <c r="F328" s="11" t="n">
        <v>15</v>
      </c>
      <c r="G328" s="11" t="n">
        <v>2</v>
      </c>
      <c r="H328" s="11" t="n">
        <v>1289</v>
      </c>
      <c r="I328" s="12" t="n">
        <v>2</v>
      </c>
      <c r="J328" s="12" t="n">
        <v>7</v>
      </c>
      <c r="K328" s="12" t="n">
        <v>19</v>
      </c>
      <c r="L328" s="12" t="n">
        <v>19.2</v>
      </c>
      <c r="M328" s="10" t="str">
        <f aca="false">IF(AND(K328="",L328=""),"No closed tickets",IF(K328="","MISSING in catalog",IF(L328="","No valid closed tickets",IF(AND(ABS(K328-L328)&gt;=$S$3,ABS(K328-L328)&gt;=$S$4*MAX(L328,1)),"FAR OFF","OK"))))</f>
        <v>OK</v>
      </c>
      <c r="N328" s="13" t="n">
        <f aca="false">D328/SUMIFS($D$2:$D$741,$B$2:$B$741,B328)</f>
        <v>0.708695652173913</v>
      </c>
      <c r="O328" s="13" t="n">
        <f aca="false">SUMIFS($D$2:D328,$B$2:B328,B328)/SUMIFS($D$2:$D$741,$B$2:$B$741,B328)</f>
        <v>0.708695652173913</v>
      </c>
      <c r="P328" s="14" t="b">
        <f aca="false">O328-N328&lt;$S$2</f>
        <v>1</v>
      </c>
      <c r="Q328" s="2"/>
      <c r="R328" s="2"/>
      <c r="S328" s="2"/>
    </row>
    <row r="329" customFormat="false" ht="14.25" hidden="false" customHeight="false" outlineLevel="0" collapsed="false">
      <c r="A329" s="4" t="s">
        <v>384</v>
      </c>
      <c r="B329" s="4" t="s">
        <v>383</v>
      </c>
      <c r="C329" s="5" t="n">
        <v>2</v>
      </c>
      <c r="D329" s="5" t="n">
        <v>265</v>
      </c>
      <c r="E329" s="5" t="n">
        <v>0</v>
      </c>
      <c r="F329" s="5" t="n">
        <v>0</v>
      </c>
      <c r="G329" s="5" t="n">
        <v>0</v>
      </c>
      <c r="H329" s="5" t="n">
        <v>265</v>
      </c>
      <c r="I329" s="6" t="n">
        <v>3</v>
      </c>
      <c r="J329" s="6" t="n">
        <v>6.1</v>
      </c>
      <c r="K329" s="6" t="n">
        <v>13</v>
      </c>
      <c r="L329" s="6" t="n">
        <v>13</v>
      </c>
      <c r="M329" s="4" t="str">
        <f aca="false">IF(AND(K329="",L329=""),"No closed tickets",IF(K329="","MISSING in catalog",IF(L329="","No valid closed tickets",IF(AND(ABS(K329-L329)&gt;=$S$3,ABS(K329-L329)&gt;=$S$4*MAX(L329,1)),"FAR OFF","OK"))))</f>
        <v>OK</v>
      </c>
      <c r="N329" s="7" t="n">
        <f aca="false">D329/SUMIFS($D$2:$D$741,$B$2:$B$741,B329)</f>
        <v>0.144021739130435</v>
      </c>
      <c r="O329" s="7" t="n">
        <f aca="false">SUMIFS($D$2:D329,$B$2:B329,B329)/SUMIFS($D$2:$D$741,$B$2:$B$741,B329)</f>
        <v>0.852717391304348</v>
      </c>
      <c r="P329" s="8" t="b">
        <f aca="false">O329-N329&lt;$S$2</f>
        <v>1</v>
      </c>
      <c r="Q329" s="2"/>
      <c r="R329" s="2"/>
      <c r="S329" s="2"/>
    </row>
    <row r="330" customFormat="false" ht="14.25" hidden="false" customHeight="false" outlineLevel="0" collapsed="false">
      <c r="A330" s="4" t="s">
        <v>385</v>
      </c>
      <c r="B330" s="4" t="s">
        <v>383</v>
      </c>
      <c r="C330" s="5" t="n">
        <v>1</v>
      </c>
      <c r="D330" s="5" t="n">
        <v>185</v>
      </c>
      <c r="E330" s="5" t="n">
        <v>23</v>
      </c>
      <c r="F330" s="5" t="n">
        <v>0</v>
      </c>
      <c r="G330" s="5" t="n">
        <v>0</v>
      </c>
      <c r="H330" s="5" t="n">
        <v>185</v>
      </c>
      <c r="I330" s="6" t="n">
        <v>6</v>
      </c>
      <c r="J330" s="6" t="n">
        <v>20</v>
      </c>
      <c r="K330" s="6" t="n">
        <v>21</v>
      </c>
      <c r="L330" s="6" t="n">
        <v>21</v>
      </c>
      <c r="M330" s="4" t="str">
        <f aca="false">IF(AND(K330="",L330=""),"No closed tickets",IF(K330="","MISSING in catalog",IF(L330="","No valid closed tickets",IF(AND(ABS(K330-L330)&gt;=$S$3,ABS(K330-L330)&gt;=$S$4*MAX(L330,1)),"FAR OFF","OK"))))</f>
        <v>OK</v>
      </c>
      <c r="N330" s="7" t="n">
        <f aca="false">D330/SUMIFS($D$2:$D$741,$B$2:$B$741,B330)</f>
        <v>0.10054347826087</v>
      </c>
      <c r="O330" s="7" t="n">
        <f aca="false">SUMIFS($D$2:D330,$B$2:B330,B330)/SUMIFS($D$2:$D$741,$B$2:$B$741,B330)</f>
        <v>0.953260869565217</v>
      </c>
      <c r="P330" s="8" t="b">
        <f aca="false">O330-N330&lt;$S$2</f>
        <v>1</v>
      </c>
      <c r="Q330" s="2"/>
      <c r="R330" s="2"/>
      <c r="S330" s="2"/>
    </row>
    <row r="331" customFormat="false" ht="14.25" hidden="false" customHeight="false" outlineLevel="0" collapsed="false">
      <c r="A331" s="4" t="s">
        <v>386</v>
      </c>
      <c r="B331" s="4" t="s">
        <v>383</v>
      </c>
      <c r="C331" s="5" t="n">
        <v>1</v>
      </c>
      <c r="D331" s="5" t="n">
        <v>86</v>
      </c>
      <c r="E331" s="5" t="n">
        <v>0</v>
      </c>
      <c r="F331" s="5" t="n">
        <v>0</v>
      </c>
      <c r="G331" s="5" t="n">
        <v>0</v>
      </c>
      <c r="H331" s="5" t="n">
        <v>86</v>
      </c>
      <c r="I331" s="6" t="n">
        <v>2</v>
      </c>
      <c r="J331" s="6" t="n">
        <v>12.5</v>
      </c>
      <c r="K331" s="6" t="n">
        <v>18</v>
      </c>
      <c r="L331" s="6" t="n">
        <v>18.5</v>
      </c>
      <c r="M331" s="4" t="str">
        <f aca="false">IF(AND(K331="",L331=""),"No closed tickets",IF(K331="","MISSING in catalog",IF(L331="","No valid closed tickets",IF(AND(ABS(K331-L331)&gt;=$S$3,ABS(K331-L331)&gt;=$S$4*MAX(L331,1)),"FAR OFF","OK"))))</f>
        <v>OK</v>
      </c>
      <c r="N331" s="7" t="n">
        <f aca="false">D331/SUMIFS($D$2:$D$741,$B$2:$B$741,B331)</f>
        <v>0.0467391304347826</v>
      </c>
      <c r="O331" s="7" t="n">
        <f aca="false">SUMIFS($D$2:D331,$B$2:B331,B331)/SUMIFS($D$2:$D$741,$B$2:$B$741,B331)</f>
        <v>1</v>
      </c>
      <c r="P331" s="8" t="b">
        <f aca="false">O331-N331&lt;$S$2</f>
        <v>0</v>
      </c>
      <c r="Q331" s="2"/>
      <c r="R331" s="2"/>
      <c r="S331" s="2"/>
    </row>
    <row r="332" customFormat="false" ht="14.25" hidden="false" customHeight="false" outlineLevel="0" collapsed="false">
      <c r="A332" s="10" t="s">
        <v>387</v>
      </c>
      <c r="B332" s="10" t="s">
        <v>388</v>
      </c>
      <c r="C332" s="11" t="n">
        <v>1</v>
      </c>
      <c r="D332" s="11" t="n">
        <v>38</v>
      </c>
      <c r="E332" s="11" t="n">
        <v>19</v>
      </c>
      <c r="F332" s="11" t="n">
        <v>0</v>
      </c>
      <c r="G332" s="11" t="n">
        <v>0</v>
      </c>
      <c r="H332" s="11" t="n">
        <v>38</v>
      </c>
      <c r="I332" s="12" t="n">
        <v>0</v>
      </c>
      <c r="J332" s="12" t="n">
        <v>9.4</v>
      </c>
      <c r="K332" s="12" t="n">
        <v>2</v>
      </c>
      <c r="L332" s="12" t="n">
        <v>2</v>
      </c>
      <c r="M332" s="10" t="str">
        <f aca="false">IF(AND(K332="",L332=""),"No closed tickets",IF(K332="","MISSING in catalog",IF(L332="","No valid closed tickets",IF(AND(ABS(K332-L332)&gt;=$S$3,ABS(K332-L332)&gt;=$S$4*MAX(L332,1)),"FAR OFF","OK"))))</f>
        <v>OK</v>
      </c>
      <c r="N332" s="13" t="n">
        <f aca="false">D332/SUMIFS($D$2:$D$741,$B$2:$B$741,B332)</f>
        <v>1</v>
      </c>
      <c r="O332" s="13" t="n">
        <f aca="false">SUMIFS($D$2:D332,$B$2:B332,B332)/SUMIFS($D$2:$D$741,$B$2:$B$741,B332)</f>
        <v>1</v>
      </c>
      <c r="P332" s="14" t="b">
        <f aca="false">O332-N332&lt;$S$2</f>
        <v>1</v>
      </c>
      <c r="Q332" s="2"/>
      <c r="R332" s="2"/>
      <c r="S332" s="2"/>
    </row>
    <row r="333" customFormat="false" ht="14.25" hidden="false" customHeight="false" outlineLevel="0" collapsed="false">
      <c r="A333" s="10" t="s">
        <v>389</v>
      </c>
      <c r="B333" s="10" t="s">
        <v>390</v>
      </c>
      <c r="C333" s="11" t="n">
        <v>1</v>
      </c>
      <c r="D333" s="11" t="n">
        <v>378</v>
      </c>
      <c r="E333" s="11" t="n">
        <v>28</v>
      </c>
      <c r="F333" s="11" t="n">
        <v>0</v>
      </c>
      <c r="G333" s="11" t="n">
        <v>0</v>
      </c>
      <c r="H333" s="11" t="n">
        <v>378</v>
      </c>
      <c r="I333" s="12" t="n">
        <v>4</v>
      </c>
      <c r="J333" s="12" t="n">
        <v>5.9</v>
      </c>
      <c r="K333" s="12" t="n">
        <v>11</v>
      </c>
      <c r="L333" s="12" t="n">
        <v>11.3</v>
      </c>
      <c r="M333" s="10" t="str">
        <f aca="false">IF(AND(K333="",L333=""),"No closed tickets",IF(K333="","MISSING in catalog",IF(L333="","No valid closed tickets",IF(AND(ABS(K333-L333)&gt;=$S$3,ABS(K333-L333)&gt;=$S$4*MAX(L333,1)),"FAR OFF","OK"))))</f>
        <v>OK</v>
      </c>
      <c r="N333" s="13" t="n">
        <f aca="false">D333/SUMIFS($D$2:$D$741,$B$2:$B$741,B333)</f>
        <v>0.67379679144385</v>
      </c>
      <c r="O333" s="13" t="n">
        <f aca="false">SUMIFS($D$2:D333,$B$2:B333,B333)/SUMIFS($D$2:$D$741,$B$2:$B$741,B333)</f>
        <v>0.67379679144385</v>
      </c>
      <c r="P333" s="14" t="b">
        <f aca="false">O333-N333&lt;$S$2</f>
        <v>1</v>
      </c>
      <c r="Q333" s="2"/>
      <c r="R333" s="2"/>
      <c r="S333" s="2"/>
    </row>
    <row r="334" customFormat="false" ht="14.25" hidden="false" customHeight="false" outlineLevel="0" collapsed="false">
      <c r="A334" s="4" t="s">
        <v>391</v>
      </c>
      <c r="B334" s="4" t="s">
        <v>390</v>
      </c>
      <c r="C334" s="5" t="n">
        <v>2</v>
      </c>
      <c r="D334" s="5" t="n">
        <v>50</v>
      </c>
      <c r="E334" s="5" t="n">
        <v>0</v>
      </c>
      <c r="F334" s="5" t="n">
        <v>0</v>
      </c>
      <c r="G334" s="5" t="n">
        <v>0</v>
      </c>
      <c r="H334" s="5" t="n">
        <v>50</v>
      </c>
      <c r="I334" s="6" t="n">
        <v>2</v>
      </c>
      <c r="J334" s="6" t="n">
        <v>3.3</v>
      </c>
      <c r="K334" s="6" t="n">
        <v>6</v>
      </c>
      <c r="L334" s="6" t="n">
        <v>6</v>
      </c>
      <c r="M334" s="4" t="str">
        <f aca="false">IF(AND(K334="",L334=""),"No closed tickets",IF(K334="","MISSING in catalog",IF(L334="","No valid closed tickets",IF(AND(ABS(K334-L334)&gt;=$S$3,ABS(K334-L334)&gt;=$S$4*MAX(L334,1)),"FAR OFF","OK"))))</f>
        <v>OK</v>
      </c>
      <c r="N334" s="7" t="n">
        <f aca="false">D334/SUMIFS($D$2:$D$741,$B$2:$B$741,B334)</f>
        <v>0.089126559714795</v>
      </c>
      <c r="O334" s="7" t="n">
        <f aca="false">SUMIFS($D$2:D334,$B$2:B334,B334)/SUMIFS($D$2:$D$741,$B$2:$B$741,B334)</f>
        <v>0.762923351158645</v>
      </c>
      <c r="P334" s="8" t="b">
        <f aca="false">O334-N334&lt;$S$2</f>
        <v>1</v>
      </c>
      <c r="Q334" s="2"/>
      <c r="R334" s="2"/>
      <c r="S334" s="2"/>
    </row>
    <row r="335" customFormat="false" ht="14.25" hidden="false" customHeight="false" outlineLevel="0" collapsed="false">
      <c r="A335" s="4" t="s">
        <v>392</v>
      </c>
      <c r="B335" s="4" t="s">
        <v>390</v>
      </c>
      <c r="C335" s="5" t="n">
        <v>2</v>
      </c>
      <c r="D335" s="5" t="n">
        <v>37</v>
      </c>
      <c r="E335" s="5" t="n">
        <v>0</v>
      </c>
      <c r="F335" s="5" t="n">
        <v>0</v>
      </c>
      <c r="G335" s="5" t="n">
        <v>0</v>
      </c>
      <c r="H335" s="5" t="n">
        <v>37</v>
      </c>
      <c r="I335" s="6" t="n">
        <v>3</v>
      </c>
      <c r="J335" s="6" t="n">
        <v>4.2</v>
      </c>
      <c r="K335" s="6" t="n">
        <v>9</v>
      </c>
      <c r="L335" s="6" t="n">
        <v>9.4</v>
      </c>
      <c r="M335" s="4" t="str">
        <f aca="false">IF(AND(K335="",L335=""),"No closed tickets",IF(K335="","MISSING in catalog",IF(L335="","No valid closed tickets",IF(AND(ABS(K335-L335)&gt;=$S$3,ABS(K335-L335)&gt;=$S$4*MAX(L335,1)),"FAR OFF","OK"))))</f>
        <v>OK</v>
      </c>
      <c r="N335" s="7" t="n">
        <f aca="false">D335/SUMIFS($D$2:$D$741,$B$2:$B$741,B335)</f>
        <v>0.0659536541889483</v>
      </c>
      <c r="O335" s="7" t="n">
        <f aca="false">SUMIFS($D$2:D335,$B$2:B335,B335)/SUMIFS($D$2:$D$741,$B$2:$B$741,B335)</f>
        <v>0.828877005347594</v>
      </c>
      <c r="P335" s="8" t="b">
        <f aca="false">O335-N335&lt;$S$2</f>
        <v>1</v>
      </c>
      <c r="Q335" s="2"/>
      <c r="R335" s="2"/>
      <c r="S335" s="2"/>
    </row>
    <row r="336" customFormat="false" ht="14.25" hidden="false" customHeight="false" outlineLevel="0" collapsed="false">
      <c r="A336" s="4" t="s">
        <v>393</v>
      </c>
      <c r="B336" s="4" t="s">
        <v>390</v>
      </c>
      <c r="C336" s="5" t="n">
        <v>1</v>
      </c>
      <c r="D336" s="5" t="n">
        <v>36</v>
      </c>
      <c r="E336" s="5" t="n">
        <v>13</v>
      </c>
      <c r="F336" s="5" t="n">
        <v>0</v>
      </c>
      <c r="G336" s="5" t="n">
        <v>0</v>
      </c>
      <c r="H336" s="5" t="n">
        <v>36</v>
      </c>
      <c r="I336" s="6" t="n">
        <v>2</v>
      </c>
      <c r="J336" s="6" t="n">
        <v>3.2</v>
      </c>
      <c r="K336" s="6" t="n">
        <v>6</v>
      </c>
      <c r="L336" s="6" t="n">
        <v>6</v>
      </c>
      <c r="M336" s="4" t="str">
        <f aca="false">IF(AND(K336="",L336=""),"No closed tickets",IF(K336="","MISSING in catalog",IF(L336="","No valid closed tickets",IF(AND(ABS(K336-L336)&gt;=$S$3,ABS(K336-L336)&gt;=$S$4*MAX(L336,1)),"FAR OFF","OK"))))</f>
        <v>OK</v>
      </c>
      <c r="N336" s="7" t="n">
        <f aca="false">D336/SUMIFS($D$2:$D$741,$B$2:$B$741,B336)</f>
        <v>0.0641711229946524</v>
      </c>
      <c r="O336" s="7" t="n">
        <f aca="false">SUMIFS($D$2:D336,$B$2:B336,B336)/SUMIFS($D$2:$D$741,$B$2:$B$741,B336)</f>
        <v>0.893048128342246</v>
      </c>
      <c r="P336" s="8" t="b">
        <f aca="false">O336-N336&lt;$S$2</f>
        <v>1</v>
      </c>
      <c r="Q336" s="2"/>
      <c r="R336" s="2"/>
      <c r="S336" s="2"/>
    </row>
    <row r="337" customFormat="false" ht="14.25" hidden="false" customHeight="false" outlineLevel="0" collapsed="false">
      <c r="A337" s="4" t="s">
        <v>394</v>
      </c>
      <c r="B337" s="4" t="s">
        <v>390</v>
      </c>
      <c r="C337" s="5" t="n">
        <v>2</v>
      </c>
      <c r="D337" s="5" t="n">
        <v>29</v>
      </c>
      <c r="E337" s="5" t="n">
        <v>0</v>
      </c>
      <c r="F337" s="5" t="n">
        <v>0</v>
      </c>
      <c r="G337" s="5" t="n">
        <v>0</v>
      </c>
      <c r="H337" s="5" t="n">
        <v>29</v>
      </c>
      <c r="I337" s="6" t="n">
        <v>28</v>
      </c>
      <c r="J337" s="6" t="n">
        <v>47.4</v>
      </c>
      <c r="K337" s="6" t="n">
        <v>105</v>
      </c>
      <c r="L337" s="6" t="n">
        <v>104.6</v>
      </c>
      <c r="M337" s="4" t="str">
        <f aca="false">IF(AND(K337="",L337=""),"No closed tickets",IF(K337="","MISSING in catalog",IF(L337="","No valid closed tickets",IF(AND(ABS(K337-L337)&gt;=$S$3,ABS(K337-L337)&gt;=$S$4*MAX(L337,1)),"FAR OFF","OK"))))</f>
        <v>OK</v>
      </c>
      <c r="N337" s="7" t="n">
        <f aca="false">D337/SUMIFS($D$2:$D$741,$B$2:$B$741,B337)</f>
        <v>0.0516934046345811</v>
      </c>
      <c r="O337" s="7" t="n">
        <f aca="false">SUMIFS($D$2:D337,$B$2:B337,B337)/SUMIFS($D$2:$D$741,$B$2:$B$741,B337)</f>
        <v>0.944741532976827</v>
      </c>
      <c r="P337" s="8" t="b">
        <f aca="false">O337-N337&lt;$S$2</f>
        <v>1</v>
      </c>
      <c r="Q337" s="2"/>
      <c r="R337" s="2"/>
      <c r="S337" s="2"/>
    </row>
    <row r="338" customFormat="false" ht="14.25" hidden="false" customHeight="false" outlineLevel="0" collapsed="false">
      <c r="A338" s="4" t="s">
        <v>395</v>
      </c>
      <c r="B338" s="4" t="s">
        <v>390</v>
      </c>
      <c r="C338" s="5" t="n">
        <v>1</v>
      </c>
      <c r="D338" s="5" t="n">
        <v>24</v>
      </c>
      <c r="E338" s="5" t="n">
        <v>14</v>
      </c>
      <c r="F338" s="5" t="n">
        <v>3</v>
      </c>
      <c r="G338" s="5" t="n">
        <v>0</v>
      </c>
      <c r="H338" s="5" t="n">
        <v>21</v>
      </c>
      <c r="I338" s="6" t="n">
        <v>17</v>
      </c>
      <c r="J338" s="6" t="n">
        <v>40.9</v>
      </c>
      <c r="K338" s="6" t="n">
        <v>94</v>
      </c>
      <c r="L338" s="6" t="n">
        <v>94</v>
      </c>
      <c r="M338" s="4" t="str">
        <f aca="false">IF(AND(K338="",L338=""),"No closed tickets",IF(K338="","MISSING in catalog",IF(L338="","No valid closed tickets",IF(AND(ABS(K338-L338)&gt;=$S$3,ABS(K338-L338)&gt;=$S$4*MAX(L338,1)),"FAR OFF","OK"))))</f>
        <v>OK</v>
      </c>
      <c r="N338" s="7" t="n">
        <f aca="false">D338/SUMIFS($D$2:$D$741,$B$2:$B$741,B338)</f>
        <v>0.0427807486631016</v>
      </c>
      <c r="O338" s="7" t="n">
        <f aca="false">SUMIFS($D$2:D338,$B$2:B338,B338)/SUMIFS($D$2:$D$741,$B$2:$B$741,B338)</f>
        <v>0.987522281639929</v>
      </c>
      <c r="P338" s="8" t="b">
        <f aca="false">O338-N338&lt;$S$2</f>
        <v>1</v>
      </c>
      <c r="Q338" s="2"/>
      <c r="R338" s="2"/>
      <c r="S338" s="2"/>
    </row>
    <row r="339" customFormat="false" ht="14.25" hidden="false" customHeight="false" outlineLevel="0" collapsed="false">
      <c r="A339" s="4" t="s">
        <v>396</v>
      </c>
      <c r="B339" s="4" t="s">
        <v>390</v>
      </c>
      <c r="C339" s="5" t="n">
        <v>2</v>
      </c>
      <c r="D339" s="5" t="n">
        <v>7</v>
      </c>
      <c r="E339" s="5" t="n">
        <v>0</v>
      </c>
      <c r="F339" s="5" t="n">
        <v>0</v>
      </c>
      <c r="G339" s="5" t="n">
        <v>0</v>
      </c>
      <c r="H339" s="5" t="n">
        <v>7</v>
      </c>
      <c r="I339" s="6" t="n">
        <v>6</v>
      </c>
      <c r="J339" s="6" t="n">
        <v>24</v>
      </c>
      <c r="K339" s="6" t="n">
        <v>67</v>
      </c>
      <c r="L339" s="6" t="n">
        <v>66.6</v>
      </c>
      <c r="M339" s="4" t="str">
        <f aca="false">IF(AND(K339="",L339=""),"No closed tickets",IF(K339="","MISSING in catalog",IF(L339="","No valid closed tickets",IF(AND(ABS(K339-L339)&gt;=$S$3,ABS(K339-L339)&gt;=$S$4*MAX(L339,1)),"FAR OFF","OK"))))</f>
        <v>OK</v>
      </c>
      <c r="N339" s="7" t="n">
        <f aca="false">D339/SUMIFS($D$2:$D$741,$B$2:$B$741,B339)</f>
        <v>0.0124777183600713</v>
      </c>
      <c r="O339" s="7" t="n">
        <f aca="false">SUMIFS($D$2:D339,$B$2:B339,B339)/SUMIFS($D$2:$D$741,$B$2:$B$741,B339)</f>
        <v>1</v>
      </c>
      <c r="P339" s="8" t="b">
        <f aca="false">O339-N339&lt;$S$2</f>
        <v>0</v>
      </c>
      <c r="Q339" s="2"/>
      <c r="R339" s="2"/>
      <c r="S339" s="2"/>
    </row>
    <row r="340" customFormat="false" ht="14.25" hidden="false" customHeight="false" outlineLevel="0" collapsed="false">
      <c r="A340" s="10" t="s">
        <v>397</v>
      </c>
      <c r="B340" s="10" t="s">
        <v>398</v>
      </c>
      <c r="C340" s="11" t="n">
        <v>2</v>
      </c>
      <c r="D340" s="11" t="n">
        <v>25</v>
      </c>
      <c r="E340" s="11" t="n">
        <v>0</v>
      </c>
      <c r="F340" s="11" t="n">
        <v>0</v>
      </c>
      <c r="G340" s="11" t="n">
        <v>0</v>
      </c>
      <c r="H340" s="11" t="n">
        <v>25</v>
      </c>
      <c r="I340" s="12" t="n">
        <v>0</v>
      </c>
      <c r="J340" s="12" t="n">
        <v>0</v>
      </c>
      <c r="K340" s="12" t="n">
        <v>0</v>
      </c>
      <c r="L340" s="12" t="n">
        <v>0</v>
      </c>
      <c r="M340" s="10" t="str">
        <f aca="false">IF(AND(K340="",L340=""),"No closed tickets",IF(K340="","MISSING in catalog",IF(L340="","No valid closed tickets",IF(AND(ABS(K340-L340)&gt;=$S$3,ABS(K340-L340)&gt;=$S$4*MAX(L340,1)),"FAR OFF","OK"))))</f>
        <v>OK</v>
      </c>
      <c r="N340" s="13" t="n">
        <f aca="false">D340/SUMIFS($D$2:$D$741,$B$2:$B$741,B340)</f>
        <v>1</v>
      </c>
      <c r="O340" s="13" t="n">
        <f aca="false">SUMIFS($D$2:D340,$B$2:B340,B340)/SUMIFS($D$2:$D$741,$B$2:$B$741,B340)</f>
        <v>1</v>
      </c>
      <c r="P340" s="14" t="b">
        <f aca="false">O340-N340&lt;$S$2</f>
        <v>1</v>
      </c>
      <c r="Q340" s="2"/>
      <c r="R340" s="2"/>
      <c r="S340" s="2"/>
    </row>
    <row r="341" customFormat="false" ht="14.25" hidden="false" customHeight="false" outlineLevel="0" collapsed="false">
      <c r="A341" s="10" t="s">
        <v>399</v>
      </c>
      <c r="B341" s="10" t="s">
        <v>400</v>
      </c>
      <c r="C341" s="11" t="n">
        <v>2</v>
      </c>
      <c r="D341" s="11" t="n">
        <v>4416</v>
      </c>
      <c r="E341" s="11" t="n">
        <v>607</v>
      </c>
      <c r="F341" s="11" t="n">
        <v>1</v>
      </c>
      <c r="G341" s="11" t="n">
        <v>1</v>
      </c>
      <c r="H341" s="11" t="n">
        <v>4415</v>
      </c>
      <c r="I341" s="12" t="n">
        <v>0</v>
      </c>
      <c r="J341" s="12" t="n">
        <v>4.6</v>
      </c>
      <c r="K341" s="12" t="n">
        <v>3</v>
      </c>
      <c r="L341" s="12" t="n">
        <v>3</v>
      </c>
      <c r="M341" s="10" t="str">
        <f aca="false">IF(AND(K341="",L341=""),"No closed tickets",IF(K341="","MISSING in catalog",IF(L341="","No valid closed tickets",IF(AND(ABS(K341-L341)&gt;=$S$3,ABS(K341-L341)&gt;=$S$4*MAX(L341,1)),"FAR OFF","OK"))))</f>
        <v>OK</v>
      </c>
      <c r="N341" s="13" t="n">
        <f aca="false">D341/SUMIFS($D$2:$D$741,$B$2:$B$741,B341)</f>
        <v>0.910703237780986</v>
      </c>
      <c r="O341" s="13" t="n">
        <f aca="false">SUMIFS($D$2:D341,$B$2:B341,B341)/SUMIFS($D$2:$D$741,$B$2:$B$741,B341)</f>
        <v>0.910703237780986</v>
      </c>
      <c r="P341" s="14" t="b">
        <f aca="false">O341-N341&lt;$S$2</f>
        <v>1</v>
      </c>
      <c r="Q341" s="2"/>
      <c r="R341" s="2"/>
      <c r="S341" s="2"/>
    </row>
    <row r="342" customFormat="false" ht="14.25" hidden="false" customHeight="false" outlineLevel="0" collapsed="false">
      <c r="A342" s="4" t="s">
        <v>401</v>
      </c>
      <c r="B342" s="4" t="s">
        <v>400</v>
      </c>
      <c r="C342" s="5" t="n">
        <v>1</v>
      </c>
      <c r="D342" s="5" t="n">
        <v>359</v>
      </c>
      <c r="E342" s="5" t="n">
        <v>357</v>
      </c>
      <c r="F342" s="5" t="n">
        <v>3</v>
      </c>
      <c r="G342" s="5" t="n">
        <v>0</v>
      </c>
      <c r="H342" s="5" t="n">
        <v>356</v>
      </c>
      <c r="I342" s="6" t="n">
        <v>1</v>
      </c>
      <c r="J342" s="6" t="n">
        <v>6.6</v>
      </c>
      <c r="K342" s="6" t="n">
        <v>4</v>
      </c>
      <c r="L342" s="6" t="n">
        <v>4</v>
      </c>
      <c r="M342" s="4" t="str">
        <f aca="false">IF(AND(K342="",L342=""),"No closed tickets",IF(K342="","MISSING in catalog",IF(L342="","No valid closed tickets",IF(AND(ABS(K342-L342)&gt;=$S$3,ABS(K342-L342)&gt;=$S$4*MAX(L342,1)),"FAR OFF","OK"))))</f>
        <v>OK</v>
      </c>
      <c r="N342" s="7" t="n">
        <f aca="false">D342/SUMIFS($D$2:$D$741,$B$2:$B$741,B342)</f>
        <v>0.0740358836873582</v>
      </c>
      <c r="O342" s="7" t="n">
        <f aca="false">SUMIFS($D$2:D342,$B$2:B342,B342)/SUMIFS($D$2:$D$741,$B$2:$B$741,B342)</f>
        <v>0.984739121468344</v>
      </c>
      <c r="P342" s="8" t="b">
        <f aca="false">O342-N342&lt;$S$2</f>
        <v>1</v>
      </c>
      <c r="Q342" s="2"/>
      <c r="R342" s="2"/>
      <c r="S342" s="2"/>
    </row>
    <row r="343" customFormat="false" ht="14.25" hidden="false" customHeight="false" outlineLevel="0" collapsed="false">
      <c r="A343" s="4" t="s">
        <v>402</v>
      </c>
      <c r="B343" s="4" t="s">
        <v>400</v>
      </c>
      <c r="C343" s="5" t="n">
        <v>2</v>
      </c>
      <c r="D343" s="5" t="n">
        <v>74</v>
      </c>
      <c r="E343" s="5" t="n">
        <v>8</v>
      </c>
      <c r="F343" s="5" t="n">
        <v>1</v>
      </c>
      <c r="G343" s="5" t="n">
        <v>1</v>
      </c>
      <c r="H343" s="5" t="n">
        <v>73</v>
      </c>
      <c r="I343" s="6" t="n">
        <v>8</v>
      </c>
      <c r="J343" s="6" t="n">
        <v>8.3</v>
      </c>
      <c r="K343" s="6" t="n">
        <v>11</v>
      </c>
      <c r="L343" s="6" t="n">
        <v>11</v>
      </c>
      <c r="M343" s="4" t="str">
        <f aca="false">IF(AND(K343="",L343=""),"No closed tickets",IF(K343="","MISSING in catalog",IF(L343="","No valid closed tickets",IF(AND(ABS(K343-L343)&gt;=$S$3,ABS(K343-L343)&gt;=$S$4*MAX(L343,1)),"FAR OFF","OK"))))</f>
        <v>OK</v>
      </c>
      <c r="N343" s="7" t="n">
        <f aca="false">D343/SUMIFS($D$2:$D$741,$B$2:$B$741,B343)</f>
        <v>0.015260878531656</v>
      </c>
      <c r="O343" s="7" t="n">
        <f aca="false">SUMIFS($D$2:D343,$B$2:B343,B343)/SUMIFS($D$2:$D$741,$B$2:$B$741,B343)</f>
        <v>1</v>
      </c>
      <c r="P343" s="8" t="b">
        <f aca="false">O343-N343&lt;$S$2</f>
        <v>0</v>
      </c>
      <c r="Q343" s="2"/>
      <c r="R343" s="2"/>
      <c r="S343" s="2"/>
    </row>
    <row r="344" customFormat="false" ht="14.25" hidden="false" customHeight="false" outlineLevel="0" collapsed="false">
      <c r="A344" s="10" t="s">
        <v>403</v>
      </c>
      <c r="B344" s="10" t="s">
        <v>404</v>
      </c>
      <c r="C344" s="11" t="n">
        <v>2</v>
      </c>
      <c r="D344" s="11" t="n">
        <v>18016</v>
      </c>
      <c r="E344" s="11" t="n">
        <v>2600</v>
      </c>
      <c r="F344" s="11" t="n">
        <v>155</v>
      </c>
      <c r="G344" s="11" t="n">
        <v>2</v>
      </c>
      <c r="H344" s="11" t="n">
        <v>17861</v>
      </c>
      <c r="I344" s="12" t="n">
        <v>9</v>
      </c>
      <c r="J344" s="12" t="n">
        <v>7.8</v>
      </c>
      <c r="K344" s="12" t="n">
        <v>11</v>
      </c>
      <c r="L344" s="12" t="n">
        <v>11</v>
      </c>
      <c r="M344" s="10" t="str">
        <f aca="false">IF(AND(K344="",L344=""),"No closed tickets",IF(K344="","MISSING in catalog",IF(L344="","No valid closed tickets",IF(AND(ABS(K344-L344)&gt;=$S$3,ABS(K344-L344)&gt;=$S$4*MAX(L344,1)),"FAR OFF","OK"))))</f>
        <v>OK</v>
      </c>
      <c r="N344" s="13" t="n">
        <f aca="false">D344/SUMIFS($D$2:$D$741,$B$2:$B$741,B344)</f>
        <v>0.227644331004157</v>
      </c>
      <c r="O344" s="13" t="n">
        <f aca="false">SUMIFS($D$2:D344,$B$2:B344,B344)/SUMIFS($D$2:$D$741,$B$2:$B$741,B344)</f>
        <v>0.227644331004157</v>
      </c>
      <c r="P344" s="14" t="b">
        <f aca="false">O344-N344&lt;$S$2</f>
        <v>1</v>
      </c>
      <c r="Q344" s="2"/>
      <c r="R344" s="2"/>
      <c r="S344" s="2"/>
    </row>
    <row r="345" customFormat="false" ht="14.25" hidden="false" customHeight="false" outlineLevel="0" collapsed="false">
      <c r="A345" s="4" t="s">
        <v>405</v>
      </c>
      <c r="B345" s="4" t="s">
        <v>404</v>
      </c>
      <c r="C345" s="5" t="n">
        <v>2</v>
      </c>
      <c r="D345" s="5" t="n">
        <v>14434</v>
      </c>
      <c r="E345" s="5" t="n">
        <v>3042</v>
      </c>
      <c r="F345" s="5" t="n">
        <v>523</v>
      </c>
      <c r="G345" s="5" t="n">
        <v>69</v>
      </c>
      <c r="H345" s="5" t="n">
        <v>13911</v>
      </c>
      <c r="I345" s="6" t="n">
        <v>11</v>
      </c>
      <c r="J345" s="6" t="n">
        <v>18.8</v>
      </c>
      <c r="K345" s="6" t="n">
        <v>44</v>
      </c>
      <c r="L345" s="6" t="n">
        <v>44</v>
      </c>
      <c r="M345" s="4" t="str">
        <f aca="false">IF(AND(K345="",L345=""),"No closed tickets",IF(K345="","MISSING in catalog",IF(L345="","No valid closed tickets",IF(AND(ABS(K345-L345)&gt;=$S$3,ABS(K345-L345)&gt;=$S$4*MAX(L345,1)),"FAR OFF","OK"))))</f>
        <v>OK</v>
      </c>
      <c r="N345" s="7" t="n">
        <f aca="false">D345/SUMIFS($D$2:$D$741,$B$2:$B$741,B345)</f>
        <v>0.182383341125333</v>
      </c>
      <c r="O345" s="7" t="n">
        <f aca="false">SUMIFS($D$2:D345,$B$2:B345,B345)/SUMIFS($D$2:$D$741,$B$2:$B$741,B345)</f>
        <v>0.41002767212949</v>
      </c>
      <c r="P345" s="8" t="b">
        <f aca="false">O345-N345&lt;$S$2</f>
        <v>1</v>
      </c>
      <c r="Q345" s="2"/>
      <c r="R345" s="2"/>
      <c r="S345" s="2"/>
    </row>
    <row r="346" customFormat="false" ht="14.25" hidden="false" customHeight="false" outlineLevel="0" collapsed="false">
      <c r="A346" s="4" t="s">
        <v>406</v>
      </c>
      <c r="B346" s="4" t="s">
        <v>404</v>
      </c>
      <c r="C346" s="5" t="n">
        <v>2</v>
      </c>
      <c r="D346" s="5" t="n">
        <v>13452</v>
      </c>
      <c r="E346" s="5" t="n">
        <v>3040</v>
      </c>
      <c r="F346" s="5" t="n">
        <v>442</v>
      </c>
      <c r="G346" s="5" t="n">
        <v>84</v>
      </c>
      <c r="H346" s="5" t="n">
        <v>13010</v>
      </c>
      <c r="I346" s="6" t="n">
        <v>25</v>
      </c>
      <c r="J346" s="6" t="n">
        <v>38.7</v>
      </c>
      <c r="K346" s="6" t="n">
        <v>90</v>
      </c>
      <c r="L346" s="6" t="n">
        <v>90</v>
      </c>
      <c r="M346" s="4" t="str">
        <f aca="false">IF(AND(K346="",L346=""),"No closed tickets",IF(K346="","MISSING in catalog",IF(L346="","No valid closed tickets",IF(AND(ABS(K346-L346)&gt;=$S$3,ABS(K346-L346)&gt;=$S$4*MAX(L346,1)),"FAR OFF","OK"))))</f>
        <v>OK</v>
      </c>
      <c r="N346" s="7" t="n">
        <f aca="false">D346/SUMIFS($D$2:$D$741,$B$2:$B$741,B346)</f>
        <v>0.169975107719134</v>
      </c>
      <c r="O346" s="7" t="n">
        <f aca="false">SUMIFS($D$2:D346,$B$2:B346,B346)/SUMIFS($D$2:$D$741,$B$2:$B$741,B346)</f>
        <v>0.580002779848625</v>
      </c>
      <c r="P346" s="8" t="b">
        <f aca="false">O346-N346&lt;$S$2</f>
        <v>1</v>
      </c>
      <c r="Q346" s="2"/>
      <c r="R346" s="2"/>
      <c r="S346" s="2"/>
    </row>
    <row r="347" customFormat="false" ht="14.25" hidden="false" customHeight="false" outlineLevel="0" collapsed="false">
      <c r="A347" s="4" t="s">
        <v>407</v>
      </c>
      <c r="B347" s="4" t="s">
        <v>404</v>
      </c>
      <c r="C347" s="5" t="n">
        <v>2</v>
      </c>
      <c r="D347" s="5" t="n">
        <v>9052</v>
      </c>
      <c r="E347" s="5" t="n">
        <v>1835</v>
      </c>
      <c r="F347" s="5" t="n">
        <v>20</v>
      </c>
      <c r="G347" s="5" t="n">
        <v>8</v>
      </c>
      <c r="H347" s="5" t="n">
        <v>9032</v>
      </c>
      <c r="I347" s="6" t="n">
        <v>6</v>
      </c>
      <c r="J347" s="6" t="n">
        <v>9.9</v>
      </c>
      <c r="K347" s="6" t="n">
        <v>27</v>
      </c>
      <c r="L347" s="6" t="n">
        <v>27</v>
      </c>
      <c r="M347" s="4" t="str">
        <f aca="false">IF(AND(K347="",L347=""),"No closed tickets",IF(K347="","MISSING in catalog",IF(L347="","No valid closed tickets",IF(AND(ABS(K347-L347)&gt;=$S$3,ABS(K347-L347)&gt;=$S$4*MAX(L347,1)),"FAR OFF","OK"))))</f>
        <v>OK</v>
      </c>
      <c r="N347" s="7" t="n">
        <f aca="false">D347/SUMIFS($D$2:$D$741,$B$2:$B$741,B347)</f>
        <v>0.114378135227</v>
      </c>
      <c r="O347" s="7" t="n">
        <f aca="false">SUMIFS($D$2:D347,$B$2:B347,B347)/SUMIFS($D$2:$D$741,$B$2:$B$741,B347)</f>
        <v>0.694380915075625</v>
      </c>
      <c r="P347" s="8" t="b">
        <f aca="false">O347-N347&lt;$S$2</f>
        <v>1</v>
      </c>
      <c r="Q347" s="2"/>
      <c r="R347" s="2"/>
      <c r="S347" s="2"/>
    </row>
    <row r="348" customFormat="false" ht="14.25" hidden="false" customHeight="false" outlineLevel="0" collapsed="false">
      <c r="A348" s="4" t="s">
        <v>408</v>
      </c>
      <c r="B348" s="4" t="s">
        <v>404</v>
      </c>
      <c r="C348" s="5" t="n">
        <v>2</v>
      </c>
      <c r="D348" s="5" t="n">
        <v>4404</v>
      </c>
      <c r="E348" s="5" t="n">
        <v>798</v>
      </c>
      <c r="F348" s="5" t="n">
        <v>46</v>
      </c>
      <c r="G348" s="5" t="n">
        <v>7</v>
      </c>
      <c r="H348" s="5" t="n">
        <v>4358</v>
      </c>
      <c r="I348" s="6" t="n">
        <v>5</v>
      </c>
      <c r="J348" s="6" t="n">
        <v>8.6</v>
      </c>
      <c r="K348" s="6" t="n">
        <v>21</v>
      </c>
      <c r="L348" s="6" t="n">
        <v>21</v>
      </c>
      <c r="M348" s="4" t="str">
        <f aca="false">IF(AND(K348="",L348=""),"No closed tickets",IF(K348="","MISSING in catalog",IF(L348="","No valid closed tickets",IF(AND(ABS(K348-L348)&gt;=$S$3,ABS(K348-L348)&gt;=$S$4*MAX(L348,1)),"FAR OFF","OK"))))</f>
        <v>OK</v>
      </c>
      <c r="N348" s="7" t="n">
        <f aca="false">D348/SUMIFS($D$2:$D$741,$B$2:$B$741,B348)</f>
        <v>0.0556475151943999</v>
      </c>
      <c r="O348" s="7" t="n">
        <f aca="false">SUMIFS($D$2:D348,$B$2:B348,B348)/SUMIFS($D$2:$D$741,$B$2:$B$741,B348)</f>
        <v>0.750028430270024</v>
      </c>
      <c r="P348" s="8" t="b">
        <f aca="false">O348-N348&lt;$S$2</f>
        <v>1</v>
      </c>
      <c r="Q348" s="2"/>
      <c r="R348" s="2"/>
      <c r="S348" s="2"/>
    </row>
    <row r="349" customFormat="false" ht="14.25" hidden="false" customHeight="false" outlineLevel="0" collapsed="false">
      <c r="A349" s="4" t="s">
        <v>409</v>
      </c>
      <c r="B349" s="4" t="s">
        <v>404</v>
      </c>
      <c r="C349" s="5" t="n">
        <v>2</v>
      </c>
      <c r="D349" s="5" t="n">
        <v>4336</v>
      </c>
      <c r="E349" s="5" t="n">
        <v>1044</v>
      </c>
      <c r="F349" s="5" t="n">
        <v>45</v>
      </c>
      <c r="G349" s="5" t="n">
        <v>3</v>
      </c>
      <c r="H349" s="5" t="n">
        <v>4291</v>
      </c>
      <c r="I349" s="6" t="n">
        <v>1</v>
      </c>
      <c r="J349" s="6" t="n">
        <v>2.3</v>
      </c>
      <c r="K349" s="6" t="n">
        <v>5</v>
      </c>
      <c r="L349" s="6" t="n">
        <v>5</v>
      </c>
      <c r="M349" s="4" t="str">
        <f aca="false">IF(AND(K349="",L349=""),"No closed tickets",IF(K349="","MISSING in catalog",IF(L349="","No valid closed tickets",IF(AND(ABS(K349-L349)&gt;=$S$3,ABS(K349-L349)&gt;=$S$4*MAX(L349,1)),"FAR OFF","OK"))))</f>
        <v>OK</v>
      </c>
      <c r="N349" s="7" t="n">
        <f aca="false">D349/SUMIFS($D$2:$D$741,$B$2:$B$741,B349)</f>
        <v>0.0547882892558851</v>
      </c>
      <c r="O349" s="7" t="n">
        <f aca="false">SUMIFS($D$2:D349,$B$2:B349,B349)/SUMIFS($D$2:$D$741,$B$2:$B$741,B349)</f>
        <v>0.80481671952591</v>
      </c>
      <c r="P349" s="8" t="b">
        <f aca="false">O349-N349&lt;$S$2</f>
        <v>1</v>
      </c>
      <c r="Q349" s="2"/>
      <c r="R349" s="2"/>
      <c r="S349" s="2"/>
    </row>
    <row r="350" customFormat="false" ht="14.25" hidden="false" customHeight="false" outlineLevel="0" collapsed="false">
      <c r="A350" s="4" t="s">
        <v>410</v>
      </c>
      <c r="B350" s="4" t="s">
        <v>404</v>
      </c>
      <c r="C350" s="5" t="n">
        <v>2</v>
      </c>
      <c r="D350" s="5" t="n">
        <v>4005</v>
      </c>
      <c r="E350" s="5" t="n">
        <v>794</v>
      </c>
      <c r="F350" s="5" t="n">
        <v>118</v>
      </c>
      <c r="G350" s="5" t="n">
        <v>19</v>
      </c>
      <c r="H350" s="5" t="n">
        <v>3887</v>
      </c>
      <c r="I350" s="6" t="n">
        <v>7</v>
      </c>
      <c r="J350" s="6" t="n">
        <v>16.5</v>
      </c>
      <c r="K350" s="6" t="n">
        <v>42</v>
      </c>
      <c r="L350" s="6" t="n">
        <v>42</v>
      </c>
      <c r="M350" s="4" t="str">
        <f aca="false">IF(AND(K350="",L350=""),"No closed tickets",IF(K350="","MISSING in catalog",IF(L350="","No valid closed tickets",IF(AND(ABS(K350-L350)&gt;=$S$3,ABS(K350-L350)&gt;=$S$4*MAX(L350,1)),"FAR OFF","OK"))))</f>
        <v>OK</v>
      </c>
      <c r="N350" s="7" t="n">
        <f aca="false">D350/SUMIFS($D$2:$D$741,$B$2:$B$741,B350)</f>
        <v>0.0506058806434086</v>
      </c>
      <c r="O350" s="7" t="n">
        <f aca="false">SUMIFS($D$2:D350,$B$2:B350,B350)/SUMIFS($D$2:$D$741,$B$2:$B$741,B350)</f>
        <v>0.855422600169318</v>
      </c>
      <c r="P350" s="8" t="b">
        <f aca="false">O350-N350&lt;$S$2</f>
        <v>1</v>
      </c>
      <c r="Q350" s="2"/>
      <c r="R350" s="2"/>
      <c r="S350" s="2"/>
    </row>
    <row r="351" customFormat="false" ht="14.25" hidden="false" customHeight="false" outlineLevel="0" collapsed="false">
      <c r="A351" s="4" t="s">
        <v>411</v>
      </c>
      <c r="B351" s="4" t="s">
        <v>404</v>
      </c>
      <c r="C351" s="5" t="n">
        <v>2</v>
      </c>
      <c r="D351" s="5" t="n">
        <v>2086</v>
      </c>
      <c r="E351" s="5" t="n">
        <v>449</v>
      </c>
      <c r="F351" s="5" t="n">
        <v>125</v>
      </c>
      <c r="G351" s="5" t="n">
        <v>34</v>
      </c>
      <c r="H351" s="5" t="n">
        <v>1961</v>
      </c>
      <c r="I351" s="6" t="n">
        <v>8</v>
      </c>
      <c r="J351" s="6" t="n">
        <v>16.3</v>
      </c>
      <c r="K351" s="6" t="n">
        <v>41</v>
      </c>
      <c r="L351" s="6" t="n">
        <v>41</v>
      </c>
      <c r="M351" s="4" t="str">
        <f aca="false">IF(AND(K351="",L351=""),"No closed tickets",IF(K351="","MISSING in catalog",IF(L351="","No valid closed tickets",IF(AND(ABS(K351-L351)&gt;=$S$3,ABS(K351-L351)&gt;=$S$4*MAX(L351,1)),"FAR OFF","OK"))))</f>
        <v>OK</v>
      </c>
      <c r="N351" s="7" t="n">
        <f aca="false">D351/SUMIFS($D$2:$D$741,$B$2:$B$741,B351)</f>
        <v>0.0263580192314982</v>
      </c>
      <c r="O351" s="7" t="n">
        <f aca="false">SUMIFS($D$2:D351,$B$2:B351,B351)/SUMIFS($D$2:$D$741,$B$2:$B$741,B351)</f>
        <v>0.881780619400816</v>
      </c>
      <c r="P351" s="8" t="b">
        <f aca="false">O351-N351&lt;$S$2</f>
        <v>1</v>
      </c>
      <c r="Q351" s="2"/>
      <c r="R351" s="2"/>
      <c r="S351" s="2"/>
    </row>
    <row r="352" customFormat="false" ht="14.25" hidden="false" customHeight="false" outlineLevel="0" collapsed="false">
      <c r="A352" s="4" t="s">
        <v>412</v>
      </c>
      <c r="B352" s="4" t="s">
        <v>404</v>
      </c>
      <c r="C352" s="5" t="n">
        <v>2</v>
      </c>
      <c r="D352" s="5" t="n">
        <v>1976</v>
      </c>
      <c r="E352" s="5" t="n">
        <v>450</v>
      </c>
      <c r="F352" s="5" t="n">
        <v>158</v>
      </c>
      <c r="G352" s="5" t="n">
        <v>87</v>
      </c>
      <c r="H352" s="5" t="n">
        <v>1818</v>
      </c>
      <c r="I352" s="6" t="n">
        <v>9</v>
      </c>
      <c r="J352" s="6" t="n">
        <v>25.6</v>
      </c>
      <c r="K352" s="6" t="n">
        <v>63</v>
      </c>
      <c r="L352" s="6" t="n">
        <v>63</v>
      </c>
      <c r="M352" s="4" t="str">
        <f aca="false">IF(AND(K352="",L352=""),"No closed tickets",IF(K352="","MISSING in catalog",IF(L352="","No valid closed tickets",IF(AND(ABS(K352-L352)&gt;=$S$3,ABS(K352-L352)&gt;=$S$4*MAX(L352,1)),"FAR OFF","OK"))))</f>
        <v>OK</v>
      </c>
      <c r="N352" s="7" t="n">
        <f aca="false">D352/SUMIFS($D$2:$D$741,$B$2:$B$741,B352)</f>
        <v>0.0249680949191949</v>
      </c>
      <c r="O352" s="7" t="n">
        <f aca="false">SUMIFS($D$2:D352,$B$2:B352,B352)/SUMIFS($D$2:$D$741,$B$2:$B$741,B352)</f>
        <v>0.906748714320011</v>
      </c>
      <c r="P352" s="8" t="b">
        <f aca="false">O352-N352&lt;$S$2</f>
        <v>1</v>
      </c>
      <c r="Q352" s="2"/>
      <c r="R352" s="2"/>
      <c r="S352" s="2"/>
    </row>
    <row r="353" customFormat="false" ht="14.25" hidden="false" customHeight="false" outlineLevel="0" collapsed="false">
      <c r="A353" s="4" t="s">
        <v>413</v>
      </c>
      <c r="B353" s="4" t="s">
        <v>404</v>
      </c>
      <c r="C353" s="5" t="n">
        <v>1</v>
      </c>
      <c r="D353" s="5" t="n">
        <v>1431</v>
      </c>
      <c r="E353" s="5" t="n">
        <v>1430</v>
      </c>
      <c r="F353" s="5" t="n">
        <v>16</v>
      </c>
      <c r="G353" s="5" t="n">
        <v>2</v>
      </c>
      <c r="H353" s="5" t="n">
        <v>1415</v>
      </c>
      <c r="I353" s="6" t="n">
        <v>1</v>
      </c>
      <c r="J353" s="6" t="n">
        <v>1.8</v>
      </c>
      <c r="K353" s="6" t="n">
        <v>4</v>
      </c>
      <c r="L353" s="6" t="n">
        <v>4</v>
      </c>
      <c r="M353" s="4" t="str">
        <f aca="false">IF(AND(K353="",L353=""),"No closed tickets",IF(K353="","MISSING in catalog",IF(L353="","No valid closed tickets",IF(AND(ABS(K353-L353)&gt;=$S$3,ABS(K353-L353)&gt;=$S$4*MAX(L353,1)),"FAR OFF","OK"))))</f>
        <v>OK</v>
      </c>
      <c r="N353" s="7" t="n">
        <f aca="false">D353/SUMIFS($D$2:$D$741,$B$2:$B$741,B353)</f>
        <v>0.01808165173551</v>
      </c>
      <c r="O353" s="7" t="n">
        <f aca="false">SUMIFS($D$2:D353,$B$2:B353,B353)/SUMIFS($D$2:$D$741,$B$2:$B$741,B353)</f>
        <v>0.924830366055521</v>
      </c>
      <c r="P353" s="8" t="b">
        <f aca="false">O353-N353&lt;$S$2</f>
        <v>1</v>
      </c>
      <c r="Q353" s="2"/>
      <c r="R353" s="2"/>
      <c r="S353" s="2"/>
    </row>
    <row r="354" customFormat="false" ht="14.25" hidden="false" customHeight="false" outlineLevel="0" collapsed="false">
      <c r="A354" s="4" t="s">
        <v>414</v>
      </c>
      <c r="B354" s="4" t="s">
        <v>404</v>
      </c>
      <c r="C354" s="5" t="n">
        <v>2</v>
      </c>
      <c r="D354" s="5" t="n">
        <v>1409</v>
      </c>
      <c r="E354" s="5" t="n">
        <v>174</v>
      </c>
      <c r="F354" s="5" t="n">
        <v>7</v>
      </c>
      <c r="G354" s="5" t="n">
        <v>7</v>
      </c>
      <c r="H354" s="5" t="n">
        <v>1402</v>
      </c>
      <c r="I354" s="6" t="n">
        <v>4</v>
      </c>
      <c r="J354" s="6" t="n">
        <v>7</v>
      </c>
      <c r="K354" s="6" t="n">
        <v>18</v>
      </c>
      <c r="L354" s="6" t="n">
        <v>18</v>
      </c>
      <c r="M354" s="4" t="str">
        <f aca="false">IF(AND(K354="",L354=""),"No closed tickets",IF(K354="","MISSING in catalog",IF(L354="","No valid closed tickets",IF(AND(ABS(K354-L354)&gt;=$S$3,ABS(K354-L354)&gt;=$S$4*MAX(L354,1)),"FAR OFF","OK"))))</f>
        <v>OK</v>
      </c>
      <c r="N354" s="7" t="n">
        <f aca="false">D354/SUMIFS($D$2:$D$741,$B$2:$B$741,B354)</f>
        <v>0.0178036668730494</v>
      </c>
      <c r="O354" s="7" t="n">
        <f aca="false">SUMIFS($D$2:D354,$B$2:B354,B354)/SUMIFS($D$2:$D$741,$B$2:$B$741,B354)</f>
        <v>0.942634032928571</v>
      </c>
      <c r="P354" s="8" t="b">
        <f aca="false">O354-N354&lt;$S$2</f>
        <v>1</v>
      </c>
      <c r="Q354" s="2"/>
      <c r="R354" s="2"/>
      <c r="S354" s="2"/>
    </row>
    <row r="355" customFormat="false" ht="14.25" hidden="false" customHeight="false" outlineLevel="0" collapsed="false">
      <c r="A355" s="4" t="s">
        <v>415</v>
      </c>
      <c r="B355" s="4" t="s">
        <v>404</v>
      </c>
      <c r="C355" s="5" t="n">
        <v>2</v>
      </c>
      <c r="D355" s="5" t="n">
        <v>1369</v>
      </c>
      <c r="E355" s="5" t="n">
        <v>291</v>
      </c>
      <c r="F355" s="5" t="n">
        <v>18</v>
      </c>
      <c r="G355" s="5" t="n">
        <v>5</v>
      </c>
      <c r="H355" s="5" t="n">
        <v>1351</v>
      </c>
      <c r="I355" s="6" t="n">
        <v>4</v>
      </c>
      <c r="J355" s="6" t="n">
        <v>7.8</v>
      </c>
      <c r="K355" s="6" t="n">
        <v>21</v>
      </c>
      <c r="L355" s="6" t="n">
        <v>21</v>
      </c>
      <c r="M355" s="4" t="str">
        <f aca="false">IF(AND(K355="",L355=""),"No closed tickets",IF(K355="","MISSING in catalog",IF(L355="","No valid closed tickets",IF(AND(ABS(K355-L355)&gt;=$S$3,ABS(K355-L355)&gt;=$S$4*MAX(L355,1)),"FAR OFF","OK"))))</f>
        <v>OK</v>
      </c>
      <c r="N355" s="7" t="n">
        <f aca="false">D355/SUMIFS($D$2:$D$741,$B$2:$B$741,B355)</f>
        <v>0.0172982398503936</v>
      </c>
      <c r="O355" s="7" t="n">
        <f aca="false">SUMIFS($D$2:D355,$B$2:B355,B355)/SUMIFS($D$2:$D$741,$B$2:$B$741,B355)</f>
        <v>0.959932272778964</v>
      </c>
      <c r="P355" s="8" t="b">
        <f aca="false">O355-N355&lt;$S$2</f>
        <v>1</v>
      </c>
      <c r="Q355" s="2"/>
      <c r="R355" s="2"/>
      <c r="S355" s="2"/>
    </row>
    <row r="356" customFormat="false" ht="14.25" hidden="false" customHeight="false" outlineLevel="0" collapsed="false">
      <c r="A356" s="4" t="s">
        <v>416</v>
      </c>
      <c r="B356" s="4" t="s">
        <v>404</v>
      </c>
      <c r="C356" s="5" t="n">
        <v>2</v>
      </c>
      <c r="D356" s="5" t="n">
        <v>1232</v>
      </c>
      <c r="E356" s="5" t="n">
        <v>324</v>
      </c>
      <c r="F356" s="5" t="n">
        <v>22</v>
      </c>
      <c r="G356" s="5" t="n">
        <v>9</v>
      </c>
      <c r="H356" s="5" t="n">
        <v>1210</v>
      </c>
      <c r="I356" s="6" t="n">
        <v>6</v>
      </c>
      <c r="J356" s="6" t="n">
        <v>12.6</v>
      </c>
      <c r="K356" s="6" t="n">
        <v>33</v>
      </c>
      <c r="L356" s="6" t="n">
        <v>33</v>
      </c>
      <c r="M356" s="4" t="str">
        <f aca="false">IF(AND(K356="",L356=""),"No closed tickets",IF(K356="","MISSING in catalog",IF(L356="","No valid closed tickets",IF(AND(ABS(K356-L356)&gt;=$S$3,ABS(K356-L356)&gt;=$S$4*MAX(L356,1)),"FAR OFF","OK"))))</f>
        <v>OK</v>
      </c>
      <c r="N356" s="7" t="n">
        <f aca="false">D356/SUMIFS($D$2:$D$741,$B$2:$B$741,B356)</f>
        <v>0.0155671522977976</v>
      </c>
      <c r="O356" s="7" t="n">
        <f aca="false">SUMIFS($D$2:D356,$B$2:B356,B356)/SUMIFS($D$2:$D$741,$B$2:$B$741,B356)</f>
        <v>0.975499425076762</v>
      </c>
      <c r="P356" s="8" t="b">
        <f aca="false">O356-N356&lt;$S$2</f>
        <v>0</v>
      </c>
      <c r="Q356" s="2"/>
      <c r="R356" s="2"/>
      <c r="S356" s="2"/>
    </row>
    <row r="357" customFormat="false" ht="14.25" hidden="false" customHeight="false" outlineLevel="0" collapsed="false">
      <c r="A357" s="4" t="s">
        <v>417</v>
      </c>
      <c r="B357" s="4" t="s">
        <v>404</v>
      </c>
      <c r="C357" s="5" t="n">
        <v>2</v>
      </c>
      <c r="D357" s="5" t="n">
        <v>958</v>
      </c>
      <c r="E357" s="5" t="n">
        <v>199</v>
      </c>
      <c r="F357" s="5" t="n">
        <v>29</v>
      </c>
      <c r="G357" s="5" t="n">
        <v>7</v>
      </c>
      <c r="H357" s="5" t="n">
        <v>929</v>
      </c>
      <c r="I357" s="6" t="n">
        <v>10</v>
      </c>
      <c r="J357" s="6" t="n">
        <v>18.1</v>
      </c>
      <c r="K357" s="6" t="n">
        <v>46</v>
      </c>
      <c r="L357" s="6" t="n">
        <v>46</v>
      </c>
      <c r="M357" s="4" t="str">
        <f aca="false">IF(AND(K357="",L357=""),"No closed tickets",IF(K357="","MISSING in catalog",IF(L357="","No valid closed tickets",IF(AND(ABS(K357-L357)&gt;=$S$3,ABS(K357-L357)&gt;=$S$4*MAX(L357,1)),"FAR OFF","OK"))))</f>
        <v>OK</v>
      </c>
      <c r="N357" s="7" t="n">
        <f aca="false">D357/SUMIFS($D$2:$D$741,$B$2:$B$741,B357)</f>
        <v>0.0121049771926056</v>
      </c>
      <c r="O357" s="7" t="n">
        <f aca="false">SUMIFS($D$2:D357,$B$2:B357,B357)/SUMIFS($D$2:$D$741,$B$2:$B$741,B357)</f>
        <v>0.987604402269367</v>
      </c>
      <c r="P357" s="8" t="b">
        <f aca="false">O357-N357&lt;$S$2</f>
        <v>0</v>
      </c>
      <c r="Q357" s="2"/>
      <c r="R357" s="2"/>
      <c r="S357" s="2"/>
    </row>
    <row r="358" customFormat="false" ht="14.25" hidden="false" customHeight="false" outlineLevel="0" collapsed="false">
      <c r="A358" s="4" t="s">
        <v>418</v>
      </c>
      <c r="B358" s="4" t="s">
        <v>404</v>
      </c>
      <c r="C358" s="5" t="n">
        <v>2</v>
      </c>
      <c r="D358" s="5" t="n">
        <v>424</v>
      </c>
      <c r="E358" s="5" t="n">
        <v>0</v>
      </c>
      <c r="F358" s="5" t="n">
        <v>0</v>
      </c>
      <c r="G358" s="5" t="n">
        <v>0</v>
      </c>
      <c r="H358" s="5" t="n">
        <v>424</v>
      </c>
      <c r="I358" s="6" t="n">
        <v>1</v>
      </c>
      <c r="J358" s="6" t="n">
        <v>4.5</v>
      </c>
      <c r="K358" s="6" t="n">
        <v>6</v>
      </c>
      <c r="L358" s="6" t="n">
        <v>6</v>
      </c>
      <c r="M358" s="4" t="str">
        <f aca="false">IF(AND(K358="",L358=""),"No closed tickets",IF(K358="","MISSING in catalog",IF(L358="","No valid closed tickets",IF(AND(ABS(K358-L358)&gt;=$S$3,ABS(K358-L358)&gt;=$S$4*MAX(L358,1)),"FAR OFF","OK"))))</f>
        <v>OK</v>
      </c>
      <c r="N358" s="7" t="n">
        <f aca="false">D358/SUMIFS($D$2:$D$741,$B$2:$B$741,B358)</f>
        <v>0.00535752644015112</v>
      </c>
      <c r="O358" s="7" t="n">
        <f aca="false">SUMIFS($D$2:D358,$B$2:B358,B358)/SUMIFS($D$2:$D$741,$B$2:$B$741,B358)</f>
        <v>0.992961928709519</v>
      </c>
      <c r="P358" s="8" t="b">
        <f aca="false">O358-N358&lt;$S$2</f>
        <v>0</v>
      </c>
      <c r="Q358" s="2"/>
      <c r="R358" s="2"/>
      <c r="S358" s="2"/>
    </row>
    <row r="359" customFormat="false" ht="14.25" hidden="false" customHeight="false" outlineLevel="0" collapsed="false">
      <c r="A359" s="4" t="s">
        <v>419</v>
      </c>
      <c r="B359" s="4" t="s">
        <v>404</v>
      </c>
      <c r="C359" s="5" t="n">
        <v>2</v>
      </c>
      <c r="D359" s="5" t="n">
        <v>204</v>
      </c>
      <c r="E359" s="5" t="n">
        <v>30</v>
      </c>
      <c r="F359" s="5" t="n">
        <v>6</v>
      </c>
      <c r="G359" s="5" t="n">
        <v>1</v>
      </c>
      <c r="H359" s="5" t="n">
        <v>198</v>
      </c>
      <c r="I359" s="6" t="n">
        <v>4</v>
      </c>
      <c r="J359" s="6" t="n">
        <v>14.7</v>
      </c>
      <c r="K359" s="6" t="n">
        <v>53</v>
      </c>
      <c r="L359" s="6" t="n">
        <v>52.5</v>
      </c>
      <c r="M359" s="4" t="str">
        <f aca="false">IF(AND(K359="",L359=""),"No closed tickets",IF(K359="","MISSING in catalog",IF(L359="","No valid closed tickets",IF(AND(ABS(K359-L359)&gt;=$S$3,ABS(K359-L359)&gt;=$S$4*MAX(L359,1)),"FAR OFF","OK"))))</f>
        <v>OK</v>
      </c>
      <c r="N359" s="7" t="n">
        <f aca="false">D359/SUMIFS($D$2:$D$741,$B$2:$B$741,B359)</f>
        <v>0.00257767781554441</v>
      </c>
      <c r="O359" s="7" t="n">
        <f aca="false">SUMIFS($D$2:D359,$B$2:B359,B359)/SUMIFS($D$2:$D$741,$B$2:$B$741,B359)</f>
        <v>0.995539606525063</v>
      </c>
      <c r="P359" s="8" t="b">
        <f aca="false">O359-N359&lt;$S$2</f>
        <v>0</v>
      </c>
      <c r="Q359" s="2"/>
      <c r="R359" s="2"/>
      <c r="S359" s="2"/>
    </row>
    <row r="360" customFormat="false" ht="14.25" hidden="false" customHeight="false" outlineLevel="0" collapsed="false">
      <c r="A360" s="4" t="s">
        <v>420</v>
      </c>
      <c r="B360" s="4" t="s">
        <v>404</v>
      </c>
      <c r="C360" s="5" t="n">
        <v>2</v>
      </c>
      <c r="D360" s="5" t="n">
        <v>186</v>
      </c>
      <c r="E360" s="5" t="n">
        <v>0</v>
      </c>
      <c r="F360" s="5" t="n">
        <v>0</v>
      </c>
      <c r="G360" s="5" t="n">
        <v>0</v>
      </c>
      <c r="H360" s="5" t="n">
        <v>186</v>
      </c>
      <c r="I360" s="6" t="n">
        <v>2</v>
      </c>
      <c r="J360" s="6" t="n">
        <v>4</v>
      </c>
      <c r="K360" s="6" t="n">
        <v>8</v>
      </c>
      <c r="L360" s="6" t="n">
        <v>8.5</v>
      </c>
      <c r="M360" s="4" t="str">
        <f aca="false">IF(AND(K360="",L360=""),"No closed tickets",IF(K360="","MISSING in catalog",IF(L360="","No valid closed tickets",IF(AND(ABS(K360-L360)&gt;=$S$3,ABS(K360-L360)&gt;=$S$4*MAX(L360,1)),"FAR OFF","OK"))))</f>
        <v>OK</v>
      </c>
      <c r="N360" s="7" t="n">
        <f aca="false">D360/SUMIFS($D$2:$D$741,$B$2:$B$741,B360)</f>
        <v>0.00235023565534931</v>
      </c>
      <c r="O360" s="7" t="n">
        <f aca="false">SUMIFS($D$2:D360,$B$2:B360,B360)/SUMIFS($D$2:$D$741,$B$2:$B$741,B360)</f>
        <v>0.997889842180412</v>
      </c>
      <c r="P360" s="8" t="b">
        <f aca="false">O360-N360&lt;$S$2</f>
        <v>0</v>
      </c>
      <c r="Q360" s="2"/>
      <c r="R360" s="2"/>
      <c r="S360" s="2"/>
    </row>
    <row r="361" customFormat="false" ht="14.25" hidden="false" customHeight="false" outlineLevel="0" collapsed="false">
      <c r="A361" s="4" t="s">
        <v>421</v>
      </c>
      <c r="B361" s="4" t="s">
        <v>404</v>
      </c>
      <c r="C361" s="5" t="n">
        <v>2</v>
      </c>
      <c r="D361" s="5" t="n">
        <v>124</v>
      </c>
      <c r="E361" s="5" t="n">
        <v>18</v>
      </c>
      <c r="F361" s="5" t="n">
        <v>4</v>
      </c>
      <c r="G361" s="5" t="n">
        <v>0</v>
      </c>
      <c r="H361" s="5" t="n">
        <v>120</v>
      </c>
      <c r="I361" s="6" t="n">
        <v>18.5</v>
      </c>
      <c r="J361" s="6" t="n">
        <v>28.1</v>
      </c>
      <c r="K361" s="6" t="n">
        <v>67</v>
      </c>
      <c r="L361" s="6" t="n">
        <v>67.1</v>
      </c>
      <c r="M361" s="4" t="str">
        <f aca="false">IF(AND(K361="",L361=""),"No closed tickets",IF(K361="","MISSING in catalog",IF(L361="","No valid closed tickets",IF(AND(ABS(K361-L361)&gt;=$S$3,ABS(K361-L361)&gt;=$S$4*MAX(L361,1)),"FAR OFF","OK"))))</f>
        <v>OK</v>
      </c>
      <c r="N361" s="7" t="n">
        <f aca="false">D361/SUMIFS($D$2:$D$741,$B$2:$B$741,B361)</f>
        <v>0.00156682377023288</v>
      </c>
      <c r="O361" s="7" t="n">
        <f aca="false">SUMIFS($D$2:D361,$B$2:B361,B361)/SUMIFS($D$2:$D$741,$B$2:$B$741,B361)</f>
        <v>0.999456665950645</v>
      </c>
      <c r="P361" s="8" t="b">
        <f aca="false">O361-N361&lt;$S$2</f>
        <v>0</v>
      </c>
      <c r="Q361" s="2"/>
      <c r="R361" s="2"/>
      <c r="S361" s="2"/>
    </row>
    <row r="362" customFormat="false" ht="14.25" hidden="false" customHeight="false" outlineLevel="0" collapsed="false">
      <c r="A362" s="4" t="s">
        <v>422</v>
      </c>
      <c r="B362" s="4" t="s">
        <v>404</v>
      </c>
      <c r="C362" s="5" t="n">
        <v>2</v>
      </c>
      <c r="D362" s="5" t="n">
        <v>24</v>
      </c>
      <c r="E362" s="5" t="n">
        <v>0</v>
      </c>
      <c r="F362" s="5" t="n">
        <v>0</v>
      </c>
      <c r="G362" s="5" t="n">
        <v>0</v>
      </c>
      <c r="H362" s="5" t="n">
        <v>24</v>
      </c>
      <c r="I362" s="6" t="n">
        <v>2.5</v>
      </c>
      <c r="J362" s="6" t="n">
        <v>10.7</v>
      </c>
      <c r="K362" s="6" t="n">
        <v>6</v>
      </c>
      <c r="L362" s="6" t="n">
        <v>6.4</v>
      </c>
      <c r="M362" s="4" t="str">
        <f aca="false">IF(AND(K362="",L362=""),"No closed tickets",IF(K362="","MISSING in catalog",IF(L362="","No valid closed tickets",IF(AND(ABS(K362-L362)&gt;=$S$3,ABS(K362-L362)&gt;=$S$4*MAX(L362,1)),"FAR OFF","OK"))))</f>
        <v>OK</v>
      </c>
      <c r="N362" s="7" t="n">
        <f aca="false">D362/SUMIFS($D$2:$D$741,$B$2:$B$741,B362)</f>
        <v>0.00030325621359346</v>
      </c>
      <c r="O362" s="7" t="n">
        <f aca="false">SUMIFS($D$2:D362,$B$2:B362,B362)/SUMIFS($D$2:$D$741,$B$2:$B$741,B362)</f>
        <v>0.999759922164239</v>
      </c>
      <c r="P362" s="8" t="b">
        <f aca="false">O362-N362&lt;$S$2</f>
        <v>0</v>
      </c>
      <c r="Q362" s="2"/>
      <c r="R362" s="2"/>
      <c r="S362" s="2"/>
    </row>
    <row r="363" customFormat="false" ht="14.25" hidden="false" customHeight="false" outlineLevel="0" collapsed="false">
      <c r="A363" s="4" t="s">
        <v>423</v>
      </c>
      <c r="B363" s="4" t="s">
        <v>404</v>
      </c>
      <c r="C363" s="5" t="n">
        <v>1</v>
      </c>
      <c r="D363" s="5" t="n">
        <v>14</v>
      </c>
      <c r="E363" s="5" t="n">
        <v>0</v>
      </c>
      <c r="F363" s="5" t="n">
        <v>0</v>
      </c>
      <c r="G363" s="5" t="n">
        <v>0</v>
      </c>
      <c r="H363" s="5" t="n">
        <v>14</v>
      </c>
      <c r="I363" s="6" t="n">
        <v>10</v>
      </c>
      <c r="J363" s="6" t="n">
        <v>9.3</v>
      </c>
      <c r="K363" s="6" t="n">
        <v>11</v>
      </c>
      <c r="L363" s="6" t="n">
        <v>11</v>
      </c>
      <c r="M363" s="4" t="str">
        <f aca="false">IF(AND(K363="",L363=""),"No closed tickets",IF(K363="","MISSING in catalog",IF(L363="","No valid closed tickets",IF(AND(ABS(K363-L363)&gt;=$S$3,ABS(K363-L363)&gt;=$S$4*MAX(L363,1)),"FAR OFF","OK"))))</f>
        <v>OK</v>
      </c>
      <c r="N363" s="7" t="n">
        <f aca="false">D363/SUMIFS($D$2:$D$741,$B$2:$B$741,B363)</f>
        <v>0.000176899457929518</v>
      </c>
      <c r="O363" s="7" t="n">
        <f aca="false">SUMIFS($D$2:D363,$B$2:B363,B363)/SUMIFS($D$2:$D$741,$B$2:$B$741,B363)</f>
        <v>0.999936821622168</v>
      </c>
      <c r="P363" s="8" t="b">
        <f aca="false">O363-N363&lt;$S$2</f>
        <v>0</v>
      </c>
      <c r="Q363" s="2"/>
      <c r="R363" s="2"/>
      <c r="S363" s="2"/>
    </row>
    <row r="364" customFormat="false" ht="14.25" hidden="false" customHeight="false" outlineLevel="0" collapsed="false">
      <c r="A364" s="4" t="s">
        <v>424</v>
      </c>
      <c r="B364" s="4" t="s">
        <v>404</v>
      </c>
      <c r="C364" s="5" t="n">
        <v>1</v>
      </c>
      <c r="D364" s="5" t="n">
        <v>5</v>
      </c>
      <c r="E364" s="5" t="n">
        <v>0</v>
      </c>
      <c r="F364" s="5" t="n">
        <v>0</v>
      </c>
      <c r="G364" s="5" t="n">
        <v>0</v>
      </c>
      <c r="H364" s="5" t="n">
        <v>5</v>
      </c>
      <c r="I364" s="6" t="n">
        <v>1</v>
      </c>
      <c r="J364" s="6" t="n">
        <v>2</v>
      </c>
      <c r="K364" s="6" t="n">
        <v>4</v>
      </c>
      <c r="L364" s="6" t="n">
        <v>3.8</v>
      </c>
      <c r="M364" s="4" t="str">
        <f aca="false">IF(AND(K364="",L364=""),"No closed tickets",IF(K364="","MISSING in catalog",IF(L364="","No valid closed tickets",IF(AND(ABS(K364-L364)&gt;=$S$3,ABS(K364-L364)&gt;=$S$4*MAX(L364,1)),"FAR OFF","OK"))))</f>
        <v>OK</v>
      </c>
      <c r="N364" s="7" t="n">
        <f aca="false">D364/SUMIFS($D$2:$D$741,$B$2:$B$741,B364)</f>
        <v>6.31783778319708E-005</v>
      </c>
      <c r="O364" s="7" t="n">
        <f aca="false">SUMIFS($D$2:D364,$B$2:B364,B364)/SUMIFS($D$2:$D$741,$B$2:$B$741,B364)</f>
        <v>1</v>
      </c>
      <c r="P364" s="8" t="b">
        <f aca="false">O364-N364&lt;$S$2</f>
        <v>0</v>
      </c>
      <c r="Q364" s="2"/>
      <c r="R364" s="2"/>
      <c r="S364" s="2"/>
    </row>
    <row r="365" customFormat="false" ht="14.25" hidden="false" customHeight="false" outlineLevel="0" collapsed="false">
      <c r="A365" s="10" t="s">
        <v>425</v>
      </c>
      <c r="B365" s="10" t="s">
        <v>426</v>
      </c>
      <c r="C365" s="11" t="n">
        <v>2</v>
      </c>
      <c r="D365" s="11" t="n">
        <v>1434</v>
      </c>
      <c r="E365" s="11" t="n">
        <v>329</v>
      </c>
      <c r="F365" s="11" t="n">
        <v>12</v>
      </c>
      <c r="G365" s="11" t="n">
        <v>9</v>
      </c>
      <c r="H365" s="11" t="n">
        <v>1422</v>
      </c>
      <c r="I365" s="12" t="n">
        <v>1</v>
      </c>
      <c r="J365" s="12" t="n">
        <v>10.3</v>
      </c>
      <c r="K365" s="12" t="n">
        <v>11</v>
      </c>
      <c r="L365" s="12" t="n">
        <v>10.9</v>
      </c>
      <c r="M365" s="10" t="str">
        <f aca="false">IF(AND(K365="",L365=""),"No closed tickets",IF(K365="","MISSING in catalog",IF(L365="","No valid closed tickets",IF(AND(ABS(K365-L365)&gt;=$S$3,ABS(K365-L365)&gt;=$S$4*MAX(L365,1)),"FAR OFF","OK"))))</f>
        <v>OK</v>
      </c>
      <c r="N365" s="13" t="n">
        <f aca="false">D365/SUMIFS($D$2:$D$741,$B$2:$B$741,B365)</f>
        <v>0.67450611476952</v>
      </c>
      <c r="O365" s="13" t="n">
        <f aca="false">SUMIFS($D$2:D365,$B$2:B365,B365)/SUMIFS($D$2:$D$741,$B$2:$B$741,B365)</f>
        <v>0.67450611476952</v>
      </c>
      <c r="P365" s="14" t="b">
        <f aca="false">O365-N365&lt;$S$2</f>
        <v>1</v>
      </c>
      <c r="Q365" s="2"/>
      <c r="R365" s="2"/>
      <c r="S365" s="2"/>
    </row>
    <row r="366" customFormat="false" ht="14.25" hidden="false" customHeight="false" outlineLevel="0" collapsed="false">
      <c r="A366" s="4" t="s">
        <v>427</v>
      </c>
      <c r="B366" s="4" t="s">
        <v>426</v>
      </c>
      <c r="C366" s="5" t="n">
        <v>2</v>
      </c>
      <c r="D366" s="5" t="n">
        <v>680</v>
      </c>
      <c r="E366" s="5" t="n">
        <v>187</v>
      </c>
      <c r="F366" s="5" t="n">
        <v>86</v>
      </c>
      <c r="G366" s="5" t="n">
        <v>56</v>
      </c>
      <c r="H366" s="5" t="n">
        <v>594</v>
      </c>
      <c r="I366" s="6" t="n">
        <v>55</v>
      </c>
      <c r="J366" s="6" t="n">
        <v>110</v>
      </c>
      <c r="K366" s="6" t="n">
        <v>337</v>
      </c>
      <c r="L366" s="6" t="n">
        <v>336.5</v>
      </c>
      <c r="M366" s="4" t="str">
        <f aca="false">IF(AND(K366="",L366=""),"No closed tickets",IF(K366="","MISSING in catalog",IF(L366="","No valid closed tickets",IF(AND(ABS(K366-L366)&gt;=$S$3,ABS(K366-L366)&gt;=$S$4*MAX(L366,1)),"FAR OFF","OK"))))</f>
        <v>OK</v>
      </c>
      <c r="N366" s="7" t="n">
        <f aca="false">D366/SUMIFS($D$2:$D$741,$B$2:$B$741,B366)</f>
        <v>0.319849482596425</v>
      </c>
      <c r="O366" s="7" t="n">
        <f aca="false">SUMIFS($D$2:D366,$B$2:B366,B366)/SUMIFS($D$2:$D$741,$B$2:$B$741,B366)</f>
        <v>0.994355597365946</v>
      </c>
      <c r="P366" s="8" t="b">
        <f aca="false">O366-N366&lt;$S$2</f>
        <v>1</v>
      </c>
      <c r="Q366" s="2"/>
      <c r="R366" s="2"/>
      <c r="S366" s="2"/>
    </row>
    <row r="367" customFormat="false" ht="14.25" hidden="false" customHeight="false" outlineLevel="0" collapsed="false">
      <c r="A367" s="4" t="s">
        <v>428</v>
      </c>
      <c r="B367" s="4" t="s">
        <v>426</v>
      </c>
      <c r="C367" s="5" t="n">
        <v>2</v>
      </c>
      <c r="D367" s="5" t="n">
        <v>12</v>
      </c>
      <c r="E367" s="5" t="n">
        <v>0</v>
      </c>
      <c r="F367" s="5" t="n">
        <v>0</v>
      </c>
      <c r="G367" s="5" t="n">
        <v>0</v>
      </c>
      <c r="H367" s="5" t="n">
        <v>12</v>
      </c>
      <c r="I367" s="6" t="n">
        <v>199</v>
      </c>
      <c r="J367" s="6" t="n">
        <v>251.6</v>
      </c>
      <c r="K367" s="6" t="n">
        <v>456</v>
      </c>
      <c r="L367" s="6" t="n">
        <v>456.4</v>
      </c>
      <c r="M367" s="4" t="str">
        <f aca="false">IF(AND(K367="",L367=""),"No closed tickets",IF(K367="","MISSING in catalog",IF(L367="","No valid closed tickets",IF(AND(ABS(K367-L367)&gt;=$S$3,ABS(K367-L367)&gt;=$S$4*MAX(L367,1)),"FAR OFF","OK"))))</f>
        <v>OK</v>
      </c>
      <c r="N367" s="7" t="n">
        <f aca="false">D367/SUMIFS($D$2:$D$741,$B$2:$B$741,B367)</f>
        <v>0.00564440263405456</v>
      </c>
      <c r="O367" s="7" t="n">
        <f aca="false">SUMIFS($D$2:D367,$B$2:B367,B367)/SUMIFS($D$2:$D$741,$B$2:$B$741,B367)</f>
        <v>1</v>
      </c>
      <c r="P367" s="8" t="b">
        <f aca="false">O367-N367&lt;$S$2</f>
        <v>0</v>
      </c>
      <c r="Q367" s="2"/>
      <c r="R367" s="2"/>
      <c r="S367" s="2"/>
    </row>
    <row r="368" customFormat="false" ht="14.25" hidden="false" customHeight="false" outlineLevel="0" collapsed="false">
      <c r="A368" s="10" t="s">
        <v>429</v>
      </c>
      <c r="B368" s="10" t="s">
        <v>430</v>
      </c>
      <c r="C368" s="11" t="n">
        <v>2</v>
      </c>
      <c r="D368" s="11" t="n">
        <v>126</v>
      </c>
      <c r="E368" s="11" t="n">
        <v>45</v>
      </c>
      <c r="F368" s="11" t="n">
        <v>0</v>
      </c>
      <c r="G368" s="11" t="n">
        <v>0</v>
      </c>
      <c r="H368" s="11" t="n">
        <v>126</v>
      </c>
      <c r="I368" s="12" t="n">
        <v>4</v>
      </c>
      <c r="J368" s="12" t="n">
        <v>14.6</v>
      </c>
      <c r="K368" s="12" t="n">
        <v>24</v>
      </c>
      <c r="L368" s="12" t="n">
        <v>23.5</v>
      </c>
      <c r="M368" s="10" t="str">
        <f aca="false">IF(AND(K368="",L368=""),"No closed tickets",IF(K368="","MISSING in catalog",IF(L368="","No valid closed tickets",IF(AND(ABS(K368-L368)&gt;=$S$3,ABS(K368-L368)&gt;=$S$4*MAX(L368,1)),"FAR OFF","OK"))))</f>
        <v>OK</v>
      </c>
      <c r="N368" s="13" t="n">
        <f aca="false">D368/SUMIFS($D$2:$D$741,$B$2:$B$741,B368)</f>
        <v>0.670212765957447</v>
      </c>
      <c r="O368" s="13" t="n">
        <f aca="false">SUMIFS($D$2:D368,$B$2:B368,B368)/SUMIFS($D$2:$D$741,$B$2:$B$741,B368)</f>
        <v>0.670212765957447</v>
      </c>
      <c r="P368" s="14" t="b">
        <f aca="false">O368-N368&lt;$S$2</f>
        <v>1</v>
      </c>
      <c r="Q368" s="2"/>
      <c r="R368" s="2"/>
      <c r="S368" s="2"/>
    </row>
    <row r="369" customFormat="false" ht="14.25" hidden="false" customHeight="false" outlineLevel="0" collapsed="false">
      <c r="A369" s="4" t="s">
        <v>431</v>
      </c>
      <c r="B369" s="4" t="s">
        <v>430</v>
      </c>
      <c r="C369" s="5" t="n">
        <v>2</v>
      </c>
      <c r="D369" s="5" t="n">
        <v>62</v>
      </c>
      <c r="E369" s="5" t="n">
        <v>0</v>
      </c>
      <c r="F369" s="5" t="n">
        <v>0</v>
      </c>
      <c r="G369" s="5" t="n">
        <v>0</v>
      </c>
      <c r="H369" s="5" t="n">
        <v>62</v>
      </c>
      <c r="I369" s="6" t="n">
        <v>4</v>
      </c>
      <c r="J369" s="6" t="n">
        <v>4.8</v>
      </c>
      <c r="K369" s="6" t="n">
        <v>11</v>
      </c>
      <c r="L369" s="6" t="n">
        <v>11</v>
      </c>
      <c r="M369" s="4" t="str">
        <f aca="false">IF(AND(K369="",L369=""),"No closed tickets",IF(K369="","MISSING in catalog",IF(L369="","No valid closed tickets",IF(AND(ABS(K369-L369)&gt;=$S$3,ABS(K369-L369)&gt;=$S$4*MAX(L369,1)),"FAR OFF","OK"))))</f>
        <v>OK</v>
      </c>
      <c r="N369" s="7" t="n">
        <f aca="false">D369/SUMIFS($D$2:$D$741,$B$2:$B$741,B369)</f>
        <v>0.329787234042553</v>
      </c>
      <c r="O369" s="7" t="n">
        <f aca="false">SUMIFS($D$2:D369,$B$2:B369,B369)/SUMIFS($D$2:$D$741,$B$2:$B$741,B369)</f>
        <v>1</v>
      </c>
      <c r="P369" s="8" t="b">
        <f aca="false">O369-N369&lt;$S$2</f>
        <v>1</v>
      </c>
      <c r="Q369" s="2"/>
      <c r="R369" s="2"/>
      <c r="S369" s="2"/>
    </row>
    <row r="370" customFormat="false" ht="14.25" hidden="false" customHeight="false" outlineLevel="0" collapsed="false">
      <c r="A370" s="10" t="s">
        <v>432</v>
      </c>
      <c r="B370" s="10" t="s">
        <v>433</v>
      </c>
      <c r="C370" s="11" t="n">
        <v>2</v>
      </c>
      <c r="D370" s="11" t="n">
        <v>34790</v>
      </c>
      <c r="E370" s="11" t="n">
        <v>7889</v>
      </c>
      <c r="F370" s="11" t="n">
        <v>990</v>
      </c>
      <c r="G370" s="11" t="n">
        <v>924</v>
      </c>
      <c r="H370" s="11" t="n">
        <v>30396</v>
      </c>
      <c r="I370" s="12" t="n">
        <v>1</v>
      </c>
      <c r="J370" s="12" t="n">
        <v>5.9</v>
      </c>
      <c r="K370" s="12" t="n">
        <v>6</v>
      </c>
      <c r="L370" s="12" t="n">
        <v>6</v>
      </c>
      <c r="M370" s="10" t="str">
        <f aca="false">IF(AND(K370="",L370=""),"No closed tickets",IF(K370="","MISSING in catalog",IF(L370="","No valid closed tickets",IF(AND(ABS(K370-L370)&gt;=$S$3,ABS(K370-L370)&gt;=$S$4*MAX(L370,1)),"FAR OFF","OK"))))</f>
        <v>OK</v>
      </c>
      <c r="N370" s="13" t="n">
        <f aca="false">D370/SUMIFS($D$2:$D$741,$B$2:$B$741,B370)</f>
        <v>0.10198009643993</v>
      </c>
      <c r="O370" s="13" t="n">
        <f aca="false">SUMIFS($D$2:D370,$B$2:B370,B370)/SUMIFS($D$2:$D$741,$B$2:$B$741,B370)</f>
        <v>0.10198009643993</v>
      </c>
      <c r="P370" s="14" t="b">
        <f aca="false">O370-N370&lt;$S$2</f>
        <v>1</v>
      </c>
      <c r="Q370" s="2"/>
      <c r="R370" s="2"/>
      <c r="S370" s="2"/>
    </row>
    <row r="371" customFormat="false" ht="14.25" hidden="false" customHeight="false" outlineLevel="0" collapsed="false">
      <c r="A371" s="4" t="s">
        <v>434</v>
      </c>
      <c r="B371" s="4" t="s">
        <v>433</v>
      </c>
      <c r="C371" s="5" t="n">
        <v>2</v>
      </c>
      <c r="D371" s="5" t="n">
        <v>28005</v>
      </c>
      <c r="E371" s="5" t="n">
        <v>3786</v>
      </c>
      <c r="F371" s="5" t="n">
        <v>561</v>
      </c>
      <c r="G371" s="5" t="n">
        <v>561</v>
      </c>
      <c r="H371" s="5" t="n">
        <v>25812</v>
      </c>
      <c r="I371" s="6" t="n">
        <v>1</v>
      </c>
      <c r="J371" s="6" t="n">
        <v>3.3</v>
      </c>
      <c r="K371" s="6" t="n">
        <v>4</v>
      </c>
      <c r="L371" s="6" t="n">
        <v>4</v>
      </c>
      <c r="M371" s="4" t="str">
        <f aca="false">IF(AND(K371="",L371=""),"No closed tickets",IF(K371="","MISSING in catalog",IF(L371="","No valid closed tickets",IF(AND(ABS(K371-L371)&gt;=$S$3,ABS(K371-L371)&gt;=$S$4*MAX(L371,1)),"FAR OFF","OK"))))</f>
        <v>OK</v>
      </c>
      <c r="N371" s="7" t="n">
        <f aca="false">D371/SUMIFS($D$2:$D$741,$B$2:$B$741,B371)</f>
        <v>0.082091192894517</v>
      </c>
      <c r="O371" s="7" t="n">
        <f aca="false">SUMIFS($D$2:D371,$B$2:B371,B371)/SUMIFS($D$2:$D$741,$B$2:$B$741,B371)</f>
        <v>0.184071289334447</v>
      </c>
      <c r="P371" s="8" t="b">
        <f aca="false">O371-N371&lt;$S$2</f>
        <v>1</v>
      </c>
      <c r="Q371" s="2"/>
      <c r="R371" s="2"/>
      <c r="S371" s="2"/>
    </row>
    <row r="372" customFormat="false" ht="14.25" hidden="false" customHeight="false" outlineLevel="0" collapsed="false">
      <c r="A372" s="4" t="s">
        <v>435</v>
      </c>
      <c r="B372" s="4" t="s">
        <v>433</v>
      </c>
      <c r="C372" s="5" t="n">
        <v>2</v>
      </c>
      <c r="D372" s="5" t="n">
        <v>24787</v>
      </c>
      <c r="E372" s="5" t="n">
        <v>6096</v>
      </c>
      <c r="F372" s="5" t="n">
        <v>1454</v>
      </c>
      <c r="G372" s="5" t="n">
        <v>1262</v>
      </c>
      <c r="H372" s="5" t="n">
        <v>22427</v>
      </c>
      <c r="I372" s="6" t="n">
        <v>1</v>
      </c>
      <c r="J372" s="6" t="n">
        <v>13.3</v>
      </c>
      <c r="K372" s="6" t="n">
        <v>24</v>
      </c>
      <c r="L372" s="6" t="n">
        <v>24</v>
      </c>
      <c r="M372" s="4" t="str">
        <f aca="false">IF(AND(K372="",L372=""),"No closed tickets",IF(K372="","MISSING in catalog",IF(L372="","No valid closed tickets",IF(AND(ABS(K372-L372)&gt;=$S$3,ABS(K372-L372)&gt;=$S$4*MAX(L372,1)),"FAR OFF","OK"))))</f>
        <v>OK</v>
      </c>
      <c r="N372" s="7" t="n">
        <f aca="false">D372/SUMIFS($D$2:$D$741,$B$2:$B$741,B372)</f>
        <v>0.0726582538216887</v>
      </c>
      <c r="O372" s="7" t="n">
        <f aca="false">SUMIFS($D$2:D372,$B$2:B372,B372)/SUMIFS($D$2:$D$741,$B$2:$B$741,B372)</f>
        <v>0.256729543156136</v>
      </c>
      <c r="P372" s="8" t="b">
        <f aca="false">O372-N372&lt;$S$2</f>
        <v>1</v>
      </c>
      <c r="Q372" s="2"/>
      <c r="R372" s="2"/>
      <c r="S372" s="2"/>
    </row>
    <row r="373" customFormat="false" ht="14.25" hidden="false" customHeight="false" outlineLevel="0" collapsed="false">
      <c r="A373" s="4" t="s">
        <v>436</v>
      </c>
      <c r="B373" s="4" t="s">
        <v>433</v>
      </c>
      <c r="C373" s="5" t="n">
        <v>2</v>
      </c>
      <c r="D373" s="5" t="n">
        <v>22676</v>
      </c>
      <c r="E373" s="5" t="n">
        <v>5375</v>
      </c>
      <c r="F373" s="5" t="n">
        <v>3812</v>
      </c>
      <c r="G373" s="5" t="n">
        <v>3328</v>
      </c>
      <c r="H373" s="5" t="n">
        <v>18864</v>
      </c>
      <c r="I373" s="6" t="n">
        <v>145</v>
      </c>
      <c r="J373" s="6" t="n">
        <v>166.9</v>
      </c>
      <c r="K373" s="6" t="n">
        <v>393</v>
      </c>
      <c r="L373" s="6" t="n">
        <v>393</v>
      </c>
      <c r="M373" s="4" t="str">
        <f aca="false">IF(AND(K373="",L373=""),"No closed tickets",IF(K373="","MISSING in catalog",IF(L373="","No valid closed tickets",IF(AND(ABS(K373-L373)&gt;=$S$3,ABS(K373-L373)&gt;=$S$4*MAX(L373,1)),"FAR OFF","OK"))))</f>
        <v>OK</v>
      </c>
      <c r="N373" s="7" t="n">
        <f aca="false">D373/SUMIFS($D$2:$D$741,$B$2:$B$741,B373)</f>
        <v>0.0664702692403524</v>
      </c>
      <c r="O373" s="7" t="n">
        <f aca="false">SUMIFS($D$2:D373,$B$2:B373,B373)/SUMIFS($D$2:$D$741,$B$2:$B$741,B373)</f>
        <v>0.323199812396488</v>
      </c>
      <c r="P373" s="8" t="b">
        <f aca="false">O373-N373&lt;$S$2</f>
        <v>1</v>
      </c>
      <c r="Q373" s="2"/>
      <c r="R373" s="2"/>
      <c r="S373" s="2"/>
    </row>
    <row r="374" customFormat="false" ht="14.25" hidden="false" customHeight="false" outlineLevel="0" collapsed="false">
      <c r="A374" s="4" t="s">
        <v>437</v>
      </c>
      <c r="B374" s="4" t="s">
        <v>433</v>
      </c>
      <c r="C374" s="5" t="n">
        <v>2</v>
      </c>
      <c r="D374" s="5" t="n">
        <v>22223</v>
      </c>
      <c r="E374" s="5" t="n">
        <v>2743</v>
      </c>
      <c r="F374" s="5" t="n">
        <v>11</v>
      </c>
      <c r="G374" s="5" t="n">
        <v>2</v>
      </c>
      <c r="H374" s="5" t="n">
        <v>21717</v>
      </c>
      <c r="I374" s="6" t="n">
        <v>0</v>
      </c>
      <c r="J374" s="6" t="n">
        <v>4.2</v>
      </c>
      <c r="K374" s="6" t="n">
        <v>1</v>
      </c>
      <c r="L374" s="6" t="n">
        <v>1</v>
      </c>
      <c r="M374" s="4" t="str">
        <f aca="false">IF(AND(K374="",L374=""),"No closed tickets",IF(K374="","MISSING in catalog",IF(L374="","No valid closed tickets",IF(AND(ABS(K374-L374)&gt;=$S$3,ABS(K374-L374)&gt;=$S$4*MAX(L374,1)),"FAR OFF","OK"))))</f>
        <v>OK</v>
      </c>
      <c r="N374" s="7" t="n">
        <f aca="false">D374/SUMIFS($D$2:$D$741,$B$2:$B$741,B374)</f>
        <v>0.0651423881340779</v>
      </c>
      <c r="O374" s="7" t="n">
        <f aca="false">SUMIFS($D$2:D374,$B$2:B374,B374)/SUMIFS($D$2:$D$741,$B$2:$B$741,B374)</f>
        <v>0.388342200530566</v>
      </c>
      <c r="P374" s="8" t="b">
        <f aca="false">O374-N374&lt;$S$2</f>
        <v>1</v>
      </c>
      <c r="Q374" s="2"/>
      <c r="R374" s="2"/>
      <c r="S374" s="2"/>
    </row>
    <row r="375" customFormat="false" ht="14.25" hidden="false" customHeight="false" outlineLevel="0" collapsed="false">
      <c r="A375" s="4" t="s">
        <v>438</v>
      </c>
      <c r="B375" s="4" t="s">
        <v>433</v>
      </c>
      <c r="C375" s="5" t="n">
        <v>2</v>
      </c>
      <c r="D375" s="5" t="n">
        <v>21509</v>
      </c>
      <c r="E375" s="5" t="n">
        <v>4256</v>
      </c>
      <c r="F375" s="5" t="n">
        <v>2949</v>
      </c>
      <c r="G375" s="5" t="n">
        <v>2667</v>
      </c>
      <c r="H375" s="5" t="n">
        <v>16640</v>
      </c>
      <c r="I375" s="6" t="n">
        <v>3</v>
      </c>
      <c r="J375" s="6" t="n">
        <v>37.1</v>
      </c>
      <c r="K375" s="6" t="n">
        <v>108</v>
      </c>
      <c r="L375" s="6" t="n">
        <v>107</v>
      </c>
      <c r="M375" s="4" t="str">
        <f aca="false">IF(AND(K375="",L375=""),"No closed tickets",IF(K375="","MISSING in catalog",IF(L375="","No valid closed tickets",IF(AND(ABS(K375-L375)&gt;=$S$3,ABS(K375-L375)&gt;=$S$4*MAX(L375,1)),"FAR OFF","OK"))))</f>
        <v>OK</v>
      </c>
      <c r="N375" s="7" t="n">
        <f aca="false">D375/SUMIFS($D$2:$D$741,$B$2:$B$741,B375)</f>
        <v>0.0630494364566387</v>
      </c>
      <c r="O375" s="7" t="n">
        <f aca="false">SUMIFS($D$2:D375,$B$2:B375,B375)/SUMIFS($D$2:$D$741,$B$2:$B$741,B375)</f>
        <v>0.451391636987205</v>
      </c>
      <c r="P375" s="8" t="b">
        <f aca="false">O375-N375&lt;$S$2</f>
        <v>1</v>
      </c>
      <c r="Q375" s="2"/>
      <c r="R375" s="2"/>
      <c r="S375" s="2"/>
    </row>
    <row r="376" customFormat="false" ht="14.25" hidden="false" customHeight="false" outlineLevel="0" collapsed="false">
      <c r="A376" s="4" t="s">
        <v>439</v>
      </c>
      <c r="B376" s="4" t="s">
        <v>433</v>
      </c>
      <c r="C376" s="5" t="n">
        <v>2</v>
      </c>
      <c r="D376" s="5" t="n">
        <v>19741</v>
      </c>
      <c r="E376" s="5" t="n">
        <v>5296</v>
      </c>
      <c r="F376" s="5" t="n">
        <v>18</v>
      </c>
      <c r="G376" s="5" t="n">
        <v>9</v>
      </c>
      <c r="H376" s="5" t="n">
        <v>18744</v>
      </c>
      <c r="I376" s="6" t="n">
        <v>0</v>
      </c>
      <c r="J376" s="6" t="n">
        <v>0.3</v>
      </c>
      <c r="K376" s="6" t="n">
        <v>1</v>
      </c>
      <c r="L376" s="6" t="n">
        <v>1</v>
      </c>
      <c r="M376" s="4" t="str">
        <f aca="false">IF(AND(K376="",L376=""),"No closed tickets",IF(K376="","MISSING in catalog",IF(L376="","No valid closed tickets",IF(AND(ABS(K376-L376)&gt;=$S$3,ABS(K376-L376)&gt;=$S$4*MAX(L376,1)),"FAR OFF","OK"))))</f>
        <v>OK</v>
      </c>
      <c r="N376" s="7" t="n">
        <f aca="false">D376/SUMIFS($D$2:$D$741,$B$2:$B$741,B376)</f>
        <v>0.0578668894458368</v>
      </c>
      <c r="O376" s="7" t="n">
        <f aca="false">SUMIFS($D$2:D376,$B$2:B376,B376)/SUMIFS($D$2:$D$741,$B$2:$B$741,B376)</f>
        <v>0.509258526433042</v>
      </c>
      <c r="P376" s="8" t="b">
        <f aca="false">O376-N376&lt;$S$2</f>
        <v>1</v>
      </c>
      <c r="Q376" s="2"/>
      <c r="R376" s="2"/>
      <c r="S376" s="2"/>
    </row>
    <row r="377" customFormat="false" ht="14.25" hidden="false" customHeight="false" outlineLevel="0" collapsed="false">
      <c r="A377" s="4" t="s">
        <v>440</v>
      </c>
      <c r="B377" s="4" t="s">
        <v>433</v>
      </c>
      <c r="C377" s="5" t="n">
        <v>2</v>
      </c>
      <c r="D377" s="5" t="n">
        <v>19032</v>
      </c>
      <c r="E377" s="5" t="n">
        <v>3089</v>
      </c>
      <c r="F377" s="5" t="n">
        <v>4690</v>
      </c>
      <c r="G377" s="5" t="n">
        <v>4680</v>
      </c>
      <c r="H377" s="5" t="n">
        <v>13968</v>
      </c>
      <c r="I377" s="6" t="n">
        <v>4</v>
      </c>
      <c r="J377" s="6" t="n">
        <v>46.7</v>
      </c>
      <c r="K377" s="6" t="n">
        <v>133</v>
      </c>
      <c r="L377" s="6" t="n">
        <v>133</v>
      </c>
      <c r="M377" s="4" t="str">
        <f aca="false">IF(AND(K377="",L377=""),"No closed tickets",IF(K377="","MISSING in catalog",IF(L377="","No valid closed tickets",IF(AND(ABS(K377-L377)&gt;=$S$3,ABS(K377-L377)&gt;=$S$4*MAX(L377,1)),"FAR OFF","OK"))))</f>
        <v>OK</v>
      </c>
      <c r="N377" s="7" t="n">
        <f aca="false">D377/SUMIFS($D$2:$D$741,$B$2:$B$741,B377)</f>
        <v>0.0557885942927494</v>
      </c>
      <c r="O377" s="7" t="n">
        <f aca="false">SUMIFS($D$2:D377,$B$2:B377,B377)/SUMIFS($D$2:$D$741,$B$2:$B$741,B377)</f>
        <v>0.565047120725791</v>
      </c>
      <c r="P377" s="8" t="b">
        <f aca="false">O377-N377&lt;$S$2</f>
        <v>1</v>
      </c>
      <c r="Q377" s="2"/>
      <c r="R377" s="2"/>
      <c r="S377" s="2"/>
    </row>
    <row r="378" customFormat="false" ht="14.25" hidden="false" customHeight="false" outlineLevel="0" collapsed="false">
      <c r="A378" s="4" t="s">
        <v>441</v>
      </c>
      <c r="B378" s="4" t="s">
        <v>433</v>
      </c>
      <c r="C378" s="5" t="n">
        <v>2</v>
      </c>
      <c r="D378" s="5" t="n">
        <v>17883</v>
      </c>
      <c r="E378" s="5" t="n">
        <v>3770</v>
      </c>
      <c r="F378" s="5" t="n">
        <v>2268</v>
      </c>
      <c r="G378" s="5" t="n">
        <v>2095</v>
      </c>
      <c r="H378" s="5" t="n">
        <v>14022</v>
      </c>
      <c r="I378" s="6" t="n">
        <v>2</v>
      </c>
      <c r="J378" s="6" t="n">
        <v>23.2</v>
      </c>
      <c r="K378" s="6" t="n">
        <v>38</v>
      </c>
      <c r="L378" s="6" t="n">
        <v>38</v>
      </c>
      <c r="M378" s="4" t="str">
        <f aca="false">IF(AND(K378="",L378=""),"No closed tickets",IF(K378="","MISSING in catalog",IF(L378="","No valid closed tickets",IF(AND(ABS(K378-L378)&gt;=$S$3,ABS(K378-L378)&gt;=$S$4*MAX(L378,1)),"FAR OFF","OK"))))</f>
        <v>OK</v>
      </c>
      <c r="N378" s="7" t="n">
        <f aca="false">D378/SUMIFS($D$2:$D$741,$B$2:$B$741,B378)</f>
        <v>0.0524205249967023</v>
      </c>
      <c r="O378" s="7" t="n">
        <f aca="false">SUMIFS($D$2:D378,$B$2:B378,B378)/SUMIFS($D$2:$D$741,$B$2:$B$741,B378)</f>
        <v>0.617467645722493</v>
      </c>
      <c r="P378" s="8" t="b">
        <f aca="false">O378-N378&lt;$S$2</f>
        <v>1</v>
      </c>
      <c r="Q378" s="2"/>
      <c r="R378" s="2"/>
      <c r="S378" s="2"/>
    </row>
    <row r="379" customFormat="false" ht="14.25" hidden="false" customHeight="false" outlineLevel="0" collapsed="false">
      <c r="A379" s="4" t="s">
        <v>442</v>
      </c>
      <c r="B379" s="4" t="s">
        <v>433</v>
      </c>
      <c r="C379" s="5" t="n">
        <v>2</v>
      </c>
      <c r="D379" s="5" t="n">
        <v>17517</v>
      </c>
      <c r="E379" s="5" t="n">
        <v>4320</v>
      </c>
      <c r="F379" s="5" t="n">
        <v>64</v>
      </c>
      <c r="G379" s="5" t="n">
        <v>61</v>
      </c>
      <c r="H379" s="5" t="n">
        <v>13848</v>
      </c>
      <c r="I379" s="6" t="n">
        <v>0</v>
      </c>
      <c r="J379" s="6" t="n">
        <v>0.7</v>
      </c>
      <c r="K379" s="6" t="n">
        <v>1</v>
      </c>
      <c r="L379" s="6" t="n">
        <v>1</v>
      </c>
      <c r="M379" s="4" t="str">
        <f aca="false">IF(AND(K379="",L379=""),"No closed tickets",IF(K379="","MISSING in catalog",IF(L379="","No valid closed tickets",IF(AND(ABS(K379-L379)&gt;=$S$3,ABS(K379-L379)&gt;=$S$4*MAX(L379,1)),"FAR OFF","OK"))))</f>
        <v>OK</v>
      </c>
      <c r="N379" s="7" t="n">
        <f aca="false">D379/SUMIFS($D$2:$D$741,$B$2:$B$741,B379)</f>
        <v>0.0513476674141494</v>
      </c>
      <c r="O379" s="7" t="n">
        <f aca="false">SUMIFS($D$2:D379,$B$2:B379,B379)/SUMIFS($D$2:$D$741,$B$2:$B$741,B379)</f>
        <v>0.668815313136643</v>
      </c>
      <c r="P379" s="8" t="b">
        <f aca="false">O379-N379&lt;$S$2</f>
        <v>1</v>
      </c>
      <c r="Q379" s="2"/>
      <c r="R379" s="2"/>
      <c r="S379" s="2"/>
    </row>
    <row r="380" customFormat="false" ht="14.25" hidden="false" customHeight="false" outlineLevel="0" collapsed="false">
      <c r="A380" s="4" t="s">
        <v>443</v>
      </c>
      <c r="B380" s="4" t="s">
        <v>433</v>
      </c>
      <c r="C380" s="5" t="n">
        <v>2</v>
      </c>
      <c r="D380" s="5" t="n">
        <v>12093</v>
      </c>
      <c r="E380" s="5" t="n">
        <v>2844</v>
      </c>
      <c r="F380" s="5" t="n">
        <v>1636</v>
      </c>
      <c r="G380" s="5" t="n">
        <v>1065</v>
      </c>
      <c r="H380" s="5" t="n">
        <v>10456</v>
      </c>
      <c r="I380" s="6" t="n">
        <v>4</v>
      </c>
      <c r="J380" s="6" t="n">
        <v>170.3</v>
      </c>
      <c r="K380" s="6" t="n">
        <v>679</v>
      </c>
      <c r="L380" s="6" t="n">
        <v>679</v>
      </c>
      <c r="M380" s="4" t="str">
        <f aca="false">IF(AND(K380="",L380=""),"No closed tickets",IF(K380="","MISSING in catalog",IF(L380="","No valid closed tickets",IF(AND(ABS(K380-L380)&gt;=$S$3,ABS(K380-L380)&gt;=$S$4*MAX(L380,1)),"FAR OFF","OK"))))</f>
        <v>OK</v>
      </c>
      <c r="N380" s="7" t="n">
        <f aca="false">D380/SUMIFS($D$2:$D$741,$B$2:$B$741,B380)</f>
        <v>0.0354482697973003</v>
      </c>
      <c r="O380" s="7" t="n">
        <f aca="false">SUMIFS($D$2:D380,$B$2:B380,B380)/SUMIFS($D$2:$D$741,$B$2:$B$741,B380)</f>
        <v>0.704263582933943</v>
      </c>
      <c r="P380" s="8" t="b">
        <f aca="false">O380-N380&lt;$S$2</f>
        <v>1</v>
      </c>
      <c r="Q380" s="2"/>
      <c r="R380" s="2"/>
      <c r="S380" s="2"/>
    </row>
    <row r="381" customFormat="false" ht="14.25" hidden="false" customHeight="false" outlineLevel="0" collapsed="false">
      <c r="A381" s="4" t="s">
        <v>444</v>
      </c>
      <c r="B381" s="4" t="s">
        <v>433</v>
      </c>
      <c r="C381" s="5" t="n">
        <v>2</v>
      </c>
      <c r="D381" s="5" t="n">
        <v>11999</v>
      </c>
      <c r="E381" s="5" t="n">
        <v>2495</v>
      </c>
      <c r="F381" s="5" t="n">
        <v>1048</v>
      </c>
      <c r="G381" s="5" t="n">
        <v>762</v>
      </c>
      <c r="H381" s="5" t="n">
        <v>10951</v>
      </c>
      <c r="I381" s="6" t="n">
        <v>4</v>
      </c>
      <c r="J381" s="6" t="n">
        <v>78.3</v>
      </c>
      <c r="K381" s="6" t="n">
        <v>257</v>
      </c>
      <c r="L381" s="6" t="n">
        <v>257</v>
      </c>
      <c r="M381" s="4" t="str">
        <f aca="false">IF(AND(K381="",L381=""),"No closed tickets",IF(K381="","MISSING in catalog",IF(L381="","No valid closed tickets",IF(AND(ABS(K381-L381)&gt;=$S$3,ABS(K381-L381)&gt;=$S$4*MAX(L381,1)),"FAR OFF","OK"))))</f>
        <v>OK</v>
      </c>
      <c r="N381" s="7" t="n">
        <f aca="false">D381/SUMIFS($D$2:$D$741,$B$2:$B$741,B381)</f>
        <v>0.0351727271394861</v>
      </c>
      <c r="O381" s="7" t="n">
        <f aca="false">SUMIFS($D$2:D381,$B$2:B381,B381)/SUMIFS($D$2:$D$741,$B$2:$B$741,B381)</f>
        <v>0.739436310073429</v>
      </c>
      <c r="P381" s="8" t="b">
        <f aca="false">O381-N381&lt;$S$2</f>
        <v>1</v>
      </c>
      <c r="Q381" s="2"/>
      <c r="R381" s="2"/>
      <c r="S381" s="2"/>
    </row>
    <row r="382" customFormat="false" ht="14.25" hidden="false" customHeight="false" outlineLevel="0" collapsed="false">
      <c r="A382" s="4" t="s">
        <v>445</v>
      </c>
      <c r="B382" s="4" t="s">
        <v>433</v>
      </c>
      <c r="C382" s="5" t="n">
        <v>2</v>
      </c>
      <c r="D382" s="5" t="n">
        <v>11775</v>
      </c>
      <c r="E382" s="5" t="n">
        <v>2472</v>
      </c>
      <c r="F382" s="5" t="n">
        <v>109</v>
      </c>
      <c r="G382" s="5" t="n">
        <v>91</v>
      </c>
      <c r="H382" s="5" t="n">
        <v>11666</v>
      </c>
      <c r="I382" s="6" t="n">
        <v>1</v>
      </c>
      <c r="J382" s="6" t="n">
        <v>13.7</v>
      </c>
      <c r="K382" s="6" t="n">
        <v>9</v>
      </c>
      <c r="L382" s="6" t="n">
        <v>9</v>
      </c>
      <c r="M382" s="4" t="str">
        <f aca="false">IF(AND(K382="",L382=""),"No closed tickets",IF(K382="","MISSING in catalog",IF(L382="","No valid closed tickets",IF(AND(ABS(K382-L382)&gt;=$S$3,ABS(K382-L382)&gt;=$S$4*MAX(L382,1)),"FAR OFF","OK"))))</f>
        <v>OK</v>
      </c>
      <c r="N382" s="7" t="n">
        <f aca="false">D382/SUMIFS($D$2:$D$741,$B$2:$B$741,B382)</f>
        <v>0.0345161148485248</v>
      </c>
      <c r="O382" s="7" t="n">
        <f aca="false">SUMIFS($D$2:D382,$B$2:B382,B382)/SUMIFS($D$2:$D$741,$B$2:$B$741,B382)</f>
        <v>0.773952424921954</v>
      </c>
      <c r="P382" s="8" t="b">
        <f aca="false">O382-N382&lt;$S$2</f>
        <v>1</v>
      </c>
      <c r="Q382" s="2"/>
      <c r="R382" s="2"/>
      <c r="S382" s="2"/>
    </row>
    <row r="383" customFormat="false" ht="14.25" hidden="false" customHeight="false" outlineLevel="0" collapsed="false">
      <c r="A383" s="4" t="s">
        <v>446</v>
      </c>
      <c r="B383" s="4" t="s">
        <v>433</v>
      </c>
      <c r="C383" s="5" t="n">
        <v>1</v>
      </c>
      <c r="D383" s="5" t="n">
        <v>9325</v>
      </c>
      <c r="E383" s="5" t="n">
        <v>2616</v>
      </c>
      <c r="F383" s="5" t="n">
        <v>120</v>
      </c>
      <c r="G383" s="5" t="n">
        <v>5</v>
      </c>
      <c r="H383" s="5" t="n">
        <v>9205</v>
      </c>
      <c r="I383" s="6" t="n">
        <v>4</v>
      </c>
      <c r="J383" s="6" t="n">
        <v>11</v>
      </c>
      <c r="K383" s="6" t="n">
        <v>25</v>
      </c>
      <c r="L383" s="6" t="n">
        <v>25</v>
      </c>
      <c r="M383" s="4" t="str">
        <f aca="false">IF(AND(K383="",L383=""),"No closed tickets",IF(K383="","MISSING in catalog",IF(L383="","No valid closed tickets",IF(AND(ABS(K383-L383)&gt;=$S$3,ABS(K383-L383)&gt;=$S$4*MAX(L383,1)),"FAR OFF","OK"))))</f>
        <v>OK</v>
      </c>
      <c r="N383" s="7" t="n">
        <f aca="false">D383/SUMIFS($D$2:$D$741,$B$2:$B$741,B383)</f>
        <v>0.0273344179161354</v>
      </c>
      <c r="O383" s="7" t="n">
        <f aca="false">SUMIFS($D$2:D383,$B$2:B383,B383)/SUMIFS($D$2:$D$741,$B$2:$B$741,B383)</f>
        <v>0.801286842838089</v>
      </c>
      <c r="P383" s="8" t="b">
        <f aca="false">O383-N383&lt;$S$2</f>
        <v>1</v>
      </c>
      <c r="Q383" s="2"/>
      <c r="R383" s="2"/>
      <c r="S383" s="2"/>
    </row>
    <row r="384" customFormat="false" ht="14.25" hidden="false" customHeight="false" outlineLevel="0" collapsed="false">
      <c r="A384" s="4" t="s">
        <v>447</v>
      </c>
      <c r="B384" s="4" t="s">
        <v>433</v>
      </c>
      <c r="C384" s="5" t="n">
        <v>2</v>
      </c>
      <c r="D384" s="5" t="n">
        <v>6995</v>
      </c>
      <c r="E384" s="5" t="n">
        <v>1807</v>
      </c>
      <c r="F384" s="5" t="n">
        <v>86</v>
      </c>
      <c r="G384" s="5" t="n">
        <v>61</v>
      </c>
      <c r="H384" s="5" t="n">
        <v>6909</v>
      </c>
      <c r="I384" s="6" t="n">
        <v>2</v>
      </c>
      <c r="J384" s="6" t="n">
        <v>6</v>
      </c>
      <c r="K384" s="6" t="n">
        <v>13</v>
      </c>
      <c r="L384" s="6" t="n">
        <v>13</v>
      </c>
      <c r="M384" s="4" t="str">
        <f aca="false">IF(AND(K384="",L384=""),"No closed tickets",IF(K384="","MISSING in catalog",IF(L384="","No valid closed tickets",IF(AND(ABS(K384-L384)&gt;=$S$3,ABS(K384-L384)&gt;=$S$4*MAX(L384,1)),"FAR OFF","OK"))))</f>
        <v>OK</v>
      </c>
      <c r="N384" s="7" t="n">
        <f aca="false">D384/SUMIFS($D$2:$D$741,$B$2:$B$741,B384)</f>
        <v>0.0205044775681895</v>
      </c>
      <c r="O384" s="7" t="n">
        <f aca="false">SUMIFS($D$2:D384,$B$2:B384,B384)/SUMIFS($D$2:$D$741,$B$2:$B$741,B384)</f>
        <v>0.821791320406279</v>
      </c>
      <c r="P384" s="8" t="b">
        <f aca="false">O384-N384&lt;$S$2</f>
        <v>1</v>
      </c>
      <c r="Q384" s="2"/>
      <c r="R384" s="2"/>
      <c r="S384" s="2"/>
    </row>
    <row r="385" customFormat="false" ht="14.25" hidden="false" customHeight="false" outlineLevel="0" collapsed="false">
      <c r="A385" s="4" t="s">
        <v>448</v>
      </c>
      <c r="B385" s="4" t="s">
        <v>433</v>
      </c>
      <c r="C385" s="5" t="n">
        <v>1</v>
      </c>
      <c r="D385" s="5" t="n">
        <v>6103</v>
      </c>
      <c r="E385" s="5" t="n">
        <v>2109</v>
      </c>
      <c r="F385" s="5" t="n">
        <v>20</v>
      </c>
      <c r="G385" s="5" t="n">
        <v>1</v>
      </c>
      <c r="H385" s="5" t="n">
        <v>6083</v>
      </c>
      <c r="I385" s="6" t="n">
        <v>1</v>
      </c>
      <c r="J385" s="6" t="n">
        <v>6.5</v>
      </c>
      <c r="K385" s="6" t="n">
        <v>9</v>
      </c>
      <c r="L385" s="6" t="n">
        <v>9</v>
      </c>
      <c r="M385" s="4" t="str">
        <f aca="false">IF(AND(K385="",L385=""),"No closed tickets",IF(K385="","MISSING in catalog",IF(L385="","No valid closed tickets",IF(AND(ABS(K385-L385)&gt;=$S$3,ABS(K385-L385)&gt;=$S$4*MAX(L385,1)),"FAR OFF","OK"))))</f>
        <v>OK</v>
      </c>
      <c r="N385" s="7" t="n">
        <f aca="false">D385/SUMIFS($D$2:$D$741,$B$2:$B$741,B385)</f>
        <v>0.0178897536238256</v>
      </c>
      <c r="O385" s="7" t="n">
        <f aca="false">SUMIFS($D$2:D385,$B$2:B385,B385)/SUMIFS($D$2:$D$741,$B$2:$B$741,B385)</f>
        <v>0.839681074030105</v>
      </c>
      <c r="P385" s="8" t="b">
        <f aca="false">O385-N385&lt;$S$2</f>
        <v>1</v>
      </c>
      <c r="Q385" s="2"/>
      <c r="R385" s="2"/>
      <c r="S385" s="2"/>
    </row>
    <row r="386" customFormat="false" ht="14.25" hidden="false" customHeight="false" outlineLevel="0" collapsed="false">
      <c r="A386" s="4" t="s">
        <v>449</v>
      </c>
      <c r="B386" s="4" t="s">
        <v>433</v>
      </c>
      <c r="C386" s="5" t="n">
        <v>2</v>
      </c>
      <c r="D386" s="5" t="n">
        <v>5693</v>
      </c>
      <c r="E386" s="5" t="n">
        <v>1353</v>
      </c>
      <c r="F386" s="5" t="n">
        <v>34</v>
      </c>
      <c r="G386" s="5" t="n">
        <v>17</v>
      </c>
      <c r="H386" s="5" t="n">
        <v>5659</v>
      </c>
      <c r="I386" s="6" t="n">
        <v>2</v>
      </c>
      <c r="J386" s="6" t="n">
        <v>15.8</v>
      </c>
      <c r="K386" s="6" t="n">
        <v>15</v>
      </c>
      <c r="L386" s="6" t="n">
        <v>15</v>
      </c>
      <c r="M386" s="4" t="str">
        <f aca="false">IF(AND(K386="",L386=""),"No closed tickets",IF(K386="","MISSING in catalog",IF(L386="","No valid closed tickets",IF(AND(ABS(K386-L386)&gt;=$S$3,ABS(K386-L386)&gt;=$S$4*MAX(L386,1)),"FAR OFF","OK"))))</f>
        <v>OK</v>
      </c>
      <c r="N386" s="7" t="n">
        <f aca="false">D386/SUMIFS($D$2:$D$741,$B$2:$B$741,B386)</f>
        <v>0.0166879186269768</v>
      </c>
      <c r="O386" s="7" t="n">
        <f aca="false">SUMIFS($D$2:D386,$B$2:B386,B386)/SUMIFS($D$2:$D$741,$B$2:$B$741,B386)</f>
        <v>0.856368992657081</v>
      </c>
      <c r="P386" s="8" t="b">
        <f aca="false">O386-N386&lt;$S$2</f>
        <v>1</v>
      </c>
      <c r="Q386" s="2"/>
      <c r="R386" s="2"/>
      <c r="S386" s="2"/>
    </row>
    <row r="387" customFormat="false" ht="14.25" hidden="false" customHeight="false" outlineLevel="0" collapsed="false">
      <c r="A387" s="4" t="s">
        <v>450</v>
      </c>
      <c r="B387" s="4" t="s">
        <v>433</v>
      </c>
      <c r="C387" s="5" t="n">
        <v>2</v>
      </c>
      <c r="D387" s="5" t="n">
        <v>4893</v>
      </c>
      <c r="E387" s="5" t="n">
        <v>930</v>
      </c>
      <c r="F387" s="5" t="n">
        <v>351</v>
      </c>
      <c r="G387" s="5" t="n">
        <v>351</v>
      </c>
      <c r="H387" s="5" t="n">
        <v>4218</v>
      </c>
      <c r="I387" s="6" t="n">
        <v>2</v>
      </c>
      <c r="J387" s="6" t="n">
        <v>23.2</v>
      </c>
      <c r="K387" s="6" t="n">
        <v>53</v>
      </c>
      <c r="L387" s="6" t="n">
        <v>53</v>
      </c>
      <c r="M387" s="4" t="str">
        <f aca="false">IF(AND(K387="",L387=""),"No closed tickets",IF(K387="","MISSING in catalog",IF(L387="","No valid closed tickets",IF(AND(ABS(K387-L387)&gt;=$S$3,ABS(K387-L387)&gt;=$S$4*MAX(L387,1)),"FAR OFF","OK"))))</f>
        <v>OK</v>
      </c>
      <c r="N387" s="7" t="n">
        <f aca="false">D387/SUMIFS($D$2:$D$741,$B$2:$B$741,B387)</f>
        <v>0.0143428747306864</v>
      </c>
      <c r="O387" s="7" t="n">
        <f aca="false">SUMIFS($D$2:D387,$B$2:B387,B387)/SUMIFS($D$2:$D$741,$B$2:$B$741,B387)</f>
        <v>0.870711867387768</v>
      </c>
      <c r="P387" s="8" t="b">
        <f aca="false">O387-N387&lt;$S$2</f>
        <v>1</v>
      </c>
      <c r="Q387" s="2"/>
      <c r="R387" s="2"/>
      <c r="S387" s="2"/>
    </row>
    <row r="388" customFormat="false" ht="14.25" hidden="false" customHeight="false" outlineLevel="0" collapsed="false">
      <c r="A388" s="4" t="s">
        <v>451</v>
      </c>
      <c r="B388" s="4" t="s">
        <v>433</v>
      </c>
      <c r="C388" s="5" t="n">
        <v>1</v>
      </c>
      <c r="D388" s="5" t="n">
        <v>4710</v>
      </c>
      <c r="E388" s="5" t="n">
        <v>1285</v>
      </c>
      <c r="F388" s="5" t="n">
        <v>2004</v>
      </c>
      <c r="G388" s="5" t="n">
        <v>1778</v>
      </c>
      <c r="H388" s="5" t="n">
        <v>2705</v>
      </c>
      <c r="I388" s="6" t="n">
        <v>28</v>
      </c>
      <c r="J388" s="6" t="n">
        <v>70.1</v>
      </c>
      <c r="K388" s="6" t="n">
        <v>196</v>
      </c>
      <c r="L388" s="6" t="n">
        <v>195</v>
      </c>
      <c r="M388" s="4" t="str">
        <f aca="false">IF(AND(K388="",L388=""),"No closed tickets",IF(K388="","MISSING in catalog",IF(L388="","No valid closed tickets",IF(AND(ABS(K388-L388)&gt;=$S$3,ABS(K388-L388)&gt;=$S$4*MAX(L388,1)),"FAR OFF","OK"))))</f>
        <v>OK</v>
      </c>
      <c r="N388" s="7" t="n">
        <f aca="false">D388/SUMIFS($D$2:$D$741,$B$2:$B$741,B388)</f>
        <v>0.0138064459394099</v>
      </c>
      <c r="O388" s="7" t="n">
        <f aca="false">SUMIFS($D$2:D388,$B$2:B388,B388)/SUMIFS($D$2:$D$741,$B$2:$B$741,B388)</f>
        <v>0.884518313327178</v>
      </c>
      <c r="P388" s="8" t="b">
        <f aca="false">O388-N388&lt;$S$2</f>
        <v>1</v>
      </c>
      <c r="Q388" s="2"/>
      <c r="R388" s="2"/>
      <c r="S388" s="2"/>
    </row>
    <row r="389" customFormat="false" ht="14.25" hidden="false" customHeight="false" outlineLevel="0" collapsed="false">
      <c r="A389" s="4" t="s">
        <v>452</v>
      </c>
      <c r="B389" s="4" t="s">
        <v>433</v>
      </c>
      <c r="C389" s="5" t="n">
        <v>1</v>
      </c>
      <c r="D389" s="5" t="n">
        <v>4633</v>
      </c>
      <c r="E389" s="5" t="n">
        <v>1634</v>
      </c>
      <c r="F389" s="5" t="n">
        <v>0</v>
      </c>
      <c r="G389" s="5" t="n">
        <v>0</v>
      </c>
      <c r="H389" s="5" t="n">
        <v>4633</v>
      </c>
      <c r="I389" s="6" t="n">
        <v>2</v>
      </c>
      <c r="J389" s="6" t="n">
        <v>6.1</v>
      </c>
      <c r="K389" s="6" t="n">
        <v>13</v>
      </c>
      <c r="L389" s="6" t="n">
        <v>13</v>
      </c>
      <c r="M389" s="4" t="str">
        <f aca="false">IF(AND(K389="",L389=""),"No closed tickets",IF(K389="","MISSING in catalog",IF(L389="","No valid closed tickets",IF(AND(ABS(K389-L389)&gt;=$S$3,ABS(K389-L389)&gt;=$S$4*MAX(L389,1)),"FAR OFF","OK"))))</f>
        <v>OK</v>
      </c>
      <c r="N389" s="7" t="n">
        <f aca="false">D389/SUMIFS($D$2:$D$741,$B$2:$B$741,B389)</f>
        <v>0.013580735464392</v>
      </c>
      <c r="O389" s="7" t="n">
        <f aca="false">SUMIFS($D$2:D389,$B$2:B389,B389)/SUMIFS($D$2:$D$741,$B$2:$B$741,B389)</f>
        <v>0.89809904879157</v>
      </c>
      <c r="P389" s="8" t="b">
        <f aca="false">O389-N389&lt;$S$2</f>
        <v>1</v>
      </c>
      <c r="Q389" s="2"/>
      <c r="R389" s="2"/>
      <c r="S389" s="2"/>
    </row>
    <row r="390" customFormat="false" ht="14.25" hidden="false" customHeight="false" outlineLevel="0" collapsed="false">
      <c r="A390" s="4" t="s">
        <v>453</v>
      </c>
      <c r="B390" s="4" t="s">
        <v>433</v>
      </c>
      <c r="C390" s="5" t="n">
        <v>2</v>
      </c>
      <c r="D390" s="5" t="n">
        <v>4548</v>
      </c>
      <c r="E390" s="5" t="n">
        <v>911</v>
      </c>
      <c r="F390" s="5" t="n">
        <v>453</v>
      </c>
      <c r="G390" s="5" t="n">
        <v>402</v>
      </c>
      <c r="H390" s="5" t="n">
        <v>3784</v>
      </c>
      <c r="I390" s="6" t="n">
        <v>3</v>
      </c>
      <c r="J390" s="6" t="n">
        <v>50.8</v>
      </c>
      <c r="K390" s="6" t="n">
        <v>157</v>
      </c>
      <c r="L390" s="6" t="n">
        <v>157</v>
      </c>
      <c r="M390" s="4" t="str">
        <f aca="false">IF(AND(K390="",L390=""),"No closed tickets",IF(K390="","MISSING in catalog",IF(L390="","No valid closed tickets",IF(AND(ABS(K390-L390)&gt;=$S$3,ABS(K390-L390)&gt;=$S$4*MAX(L390,1)),"FAR OFF","OK"))))</f>
        <v>OK</v>
      </c>
      <c r="N390" s="7" t="n">
        <f aca="false">D390/SUMIFS($D$2:$D$741,$B$2:$B$741,B390)</f>
        <v>0.0133315745504111</v>
      </c>
      <c r="O390" s="7" t="n">
        <f aca="false">SUMIFS($D$2:D390,$B$2:B390,B390)/SUMIFS($D$2:$D$741,$B$2:$B$741,B390)</f>
        <v>0.911430623341981</v>
      </c>
      <c r="P390" s="8" t="b">
        <f aca="false">O390-N390&lt;$S$2</f>
        <v>1</v>
      </c>
      <c r="Q390" s="2"/>
      <c r="R390" s="2"/>
      <c r="S390" s="2"/>
    </row>
    <row r="391" customFormat="false" ht="14.25" hidden="false" customHeight="false" outlineLevel="0" collapsed="false">
      <c r="A391" s="4" t="s">
        <v>454</v>
      </c>
      <c r="B391" s="4" t="s">
        <v>433</v>
      </c>
      <c r="C391" s="5" t="n">
        <v>2</v>
      </c>
      <c r="D391" s="5" t="n">
        <v>4346</v>
      </c>
      <c r="E391" s="5" t="n">
        <v>780</v>
      </c>
      <c r="F391" s="5" t="n">
        <v>2071</v>
      </c>
      <c r="G391" s="5" t="n">
        <v>2071</v>
      </c>
      <c r="H391" s="5" t="n">
        <v>2265</v>
      </c>
      <c r="I391" s="6" t="n">
        <v>325</v>
      </c>
      <c r="J391" s="6" t="n">
        <v>309.6</v>
      </c>
      <c r="K391" s="6" t="n">
        <v>586</v>
      </c>
      <c r="L391" s="6" t="n">
        <v>582</v>
      </c>
      <c r="M391" s="4" t="str">
        <f aca="false">IF(AND(K391="",L391=""),"No closed tickets",IF(K391="","MISSING in catalog",IF(L391="","No valid closed tickets",IF(AND(ABS(K391-L391)&gt;=$S$3,ABS(K391-L391)&gt;=$S$4*MAX(L391,1)),"FAR OFF","OK"))))</f>
        <v>OK</v>
      </c>
      <c r="N391" s="7" t="n">
        <f aca="false">D391/SUMIFS($D$2:$D$741,$B$2:$B$741,B391)</f>
        <v>0.0127394509665978</v>
      </c>
      <c r="O391" s="7" t="n">
        <f aca="false">SUMIFS($D$2:D391,$B$2:B391,B391)/SUMIFS($D$2:$D$741,$B$2:$B$741,B391)</f>
        <v>0.924170074308578</v>
      </c>
      <c r="P391" s="8" t="b">
        <f aca="false">O391-N391&lt;$S$2</f>
        <v>1</v>
      </c>
      <c r="Q391" s="2"/>
      <c r="R391" s="2"/>
      <c r="S391" s="2"/>
    </row>
    <row r="392" customFormat="false" ht="14.25" hidden="false" customHeight="false" outlineLevel="0" collapsed="false">
      <c r="A392" s="4" t="s">
        <v>455</v>
      </c>
      <c r="B392" s="4" t="s">
        <v>433</v>
      </c>
      <c r="C392" s="5" t="n">
        <v>1</v>
      </c>
      <c r="D392" s="5" t="n">
        <v>3438</v>
      </c>
      <c r="E392" s="5" t="n">
        <v>856</v>
      </c>
      <c r="F392" s="5" t="n">
        <v>46</v>
      </c>
      <c r="G392" s="5" t="n">
        <v>42</v>
      </c>
      <c r="H392" s="5" t="n">
        <v>3392</v>
      </c>
      <c r="I392" s="6" t="n">
        <v>2</v>
      </c>
      <c r="J392" s="6" t="n">
        <v>4.2</v>
      </c>
      <c r="K392" s="6" t="n">
        <v>9</v>
      </c>
      <c r="L392" s="6" t="n">
        <v>9</v>
      </c>
      <c r="M392" s="4" t="str">
        <f aca="false">IF(AND(K392="",L392=""),"No closed tickets",IF(K392="","MISSING in catalog",IF(L392="","No valid closed tickets",IF(AND(ABS(K392-L392)&gt;=$S$3,ABS(K392-L392)&gt;=$S$4*MAX(L392,1)),"FAR OFF","OK"))))</f>
        <v>OK</v>
      </c>
      <c r="N392" s="7" t="n">
        <f aca="false">D392/SUMIFS($D$2:$D$741,$B$2:$B$741,B392)</f>
        <v>0.0100778261443081</v>
      </c>
      <c r="O392" s="7" t="n">
        <f aca="false">SUMIFS($D$2:D392,$B$2:B392,B392)/SUMIFS($D$2:$D$741,$B$2:$B$741,B392)</f>
        <v>0.934247900452887</v>
      </c>
      <c r="P392" s="8" t="b">
        <f aca="false">O392-N392&lt;$S$2</f>
        <v>1</v>
      </c>
      <c r="Q392" s="2"/>
      <c r="R392" s="2"/>
      <c r="S392" s="2"/>
    </row>
    <row r="393" customFormat="false" ht="14.25" hidden="false" customHeight="false" outlineLevel="0" collapsed="false">
      <c r="A393" s="4" t="s">
        <v>456</v>
      </c>
      <c r="B393" s="4" t="s">
        <v>433</v>
      </c>
      <c r="C393" s="5" t="n">
        <v>2</v>
      </c>
      <c r="D393" s="5" t="n">
        <v>2418</v>
      </c>
      <c r="E393" s="5" t="n">
        <v>622</v>
      </c>
      <c r="F393" s="5" t="n">
        <v>0</v>
      </c>
      <c r="G393" s="5" t="n">
        <v>0</v>
      </c>
      <c r="H393" s="5" t="n">
        <v>2391</v>
      </c>
      <c r="I393" s="6" t="n">
        <v>0</v>
      </c>
      <c r="J393" s="6" t="n">
        <v>18.1</v>
      </c>
      <c r="K393" s="6" t="n">
        <v>58</v>
      </c>
      <c r="L393" s="6" t="n">
        <v>58</v>
      </c>
      <c r="M393" s="4" t="str">
        <f aca="false">IF(AND(K393="",L393=""),"No closed tickets",IF(K393="","MISSING in catalog",IF(L393="","No valid closed tickets",IF(AND(ABS(K393-L393)&gt;=$S$3,ABS(K393-L393)&gt;=$S$4*MAX(L393,1)),"FAR OFF","OK"))))</f>
        <v>OK</v>
      </c>
      <c r="N393" s="7" t="n">
        <f aca="false">D393/SUMIFS($D$2:$D$741,$B$2:$B$741,B393)</f>
        <v>0.00708789517653784</v>
      </c>
      <c r="O393" s="7" t="n">
        <f aca="false">SUMIFS($D$2:D393,$B$2:B393,B393)/SUMIFS($D$2:$D$741,$B$2:$B$741,B393)</f>
        <v>0.941335795629425</v>
      </c>
      <c r="P393" s="8" t="b">
        <f aca="false">O393-N393&lt;$S$2</f>
        <v>1</v>
      </c>
      <c r="Q393" s="2"/>
      <c r="R393" s="2"/>
      <c r="S393" s="2"/>
    </row>
    <row r="394" customFormat="false" ht="14.25" hidden="false" customHeight="false" outlineLevel="0" collapsed="false">
      <c r="A394" s="4" t="s">
        <v>457</v>
      </c>
      <c r="B394" s="4" t="s">
        <v>433</v>
      </c>
      <c r="C394" s="5" t="n">
        <v>2</v>
      </c>
      <c r="D394" s="5" t="n">
        <v>2033</v>
      </c>
      <c r="E394" s="5" t="n">
        <v>419</v>
      </c>
      <c r="F394" s="5" t="n">
        <v>50</v>
      </c>
      <c r="G394" s="5" t="n">
        <v>7</v>
      </c>
      <c r="H394" s="5" t="n">
        <v>1983</v>
      </c>
      <c r="I394" s="6" t="n">
        <v>26</v>
      </c>
      <c r="J394" s="6" t="n">
        <v>36.5</v>
      </c>
      <c r="K394" s="6" t="n">
        <v>76</v>
      </c>
      <c r="L394" s="6" t="n">
        <v>76</v>
      </c>
      <c r="M394" s="4" t="str">
        <f aca="false">IF(AND(K394="",L394=""),"No closed tickets",IF(K394="","MISSING in catalog",IF(L394="","No valid closed tickets",IF(AND(ABS(K394-L394)&gt;=$S$3,ABS(K394-L394)&gt;=$S$4*MAX(L394,1)),"FAR OFF","OK"))))</f>
        <v>OK</v>
      </c>
      <c r="N394" s="7" t="n">
        <f aca="false">D394/SUMIFS($D$2:$D$741,$B$2:$B$741,B394)</f>
        <v>0.00595934280144806</v>
      </c>
      <c r="O394" s="7" t="n">
        <f aca="false">SUMIFS($D$2:D394,$B$2:B394,B394)/SUMIFS($D$2:$D$741,$B$2:$B$741,B394)</f>
        <v>0.947295138430873</v>
      </c>
      <c r="P394" s="8" t="b">
        <f aca="false">O394-N394&lt;$S$2</f>
        <v>1</v>
      </c>
      <c r="Q394" s="2"/>
      <c r="R394" s="2"/>
      <c r="S394" s="2"/>
    </row>
    <row r="395" customFormat="false" ht="14.25" hidden="false" customHeight="false" outlineLevel="0" collapsed="false">
      <c r="A395" s="4" t="s">
        <v>458</v>
      </c>
      <c r="B395" s="4" t="s">
        <v>433</v>
      </c>
      <c r="C395" s="5" t="n">
        <v>1</v>
      </c>
      <c r="D395" s="5" t="n">
        <v>1719</v>
      </c>
      <c r="E395" s="5" t="n">
        <v>455</v>
      </c>
      <c r="F395" s="5" t="n">
        <v>46</v>
      </c>
      <c r="G395" s="5" t="n">
        <v>45</v>
      </c>
      <c r="H395" s="5" t="n">
        <v>1673</v>
      </c>
      <c r="I395" s="6" t="n">
        <v>0</v>
      </c>
      <c r="J395" s="6" t="n">
        <v>9.2</v>
      </c>
      <c r="K395" s="6" t="n">
        <v>7</v>
      </c>
      <c r="L395" s="6" t="n">
        <v>7</v>
      </c>
      <c r="M395" s="4" t="str">
        <f aca="false">IF(AND(K395="",L395=""),"No closed tickets",IF(K395="","MISSING in catalog",IF(L395="","No valid closed tickets",IF(AND(ABS(K395-L395)&gt;=$S$3,ABS(K395-L395)&gt;=$S$4*MAX(L395,1)),"FAR OFF","OK"))))</f>
        <v>OK</v>
      </c>
      <c r="N395" s="7" t="n">
        <f aca="false">D395/SUMIFS($D$2:$D$741,$B$2:$B$741,B395)</f>
        <v>0.00503891307215407</v>
      </c>
      <c r="O395" s="7" t="n">
        <f aca="false">SUMIFS($D$2:D395,$B$2:B395,B395)/SUMIFS($D$2:$D$741,$B$2:$B$741,B395)</f>
        <v>0.952334051503027</v>
      </c>
      <c r="P395" s="8" t="b">
        <f aca="false">O395-N395&lt;$S$2</f>
        <v>1</v>
      </c>
      <c r="Q395" s="2"/>
      <c r="R395" s="2"/>
      <c r="S395" s="2"/>
    </row>
    <row r="396" customFormat="false" ht="14.25" hidden="false" customHeight="false" outlineLevel="0" collapsed="false">
      <c r="A396" s="4" t="s">
        <v>459</v>
      </c>
      <c r="B396" s="4" t="s">
        <v>433</v>
      </c>
      <c r="C396" s="5" t="n">
        <v>2</v>
      </c>
      <c r="D396" s="5" t="n">
        <v>1554</v>
      </c>
      <c r="E396" s="5" t="n">
        <v>398</v>
      </c>
      <c r="F396" s="5" t="n">
        <v>205</v>
      </c>
      <c r="G396" s="5" t="n">
        <v>93</v>
      </c>
      <c r="H396" s="5" t="n">
        <v>1349</v>
      </c>
      <c r="I396" s="6" t="n">
        <v>5</v>
      </c>
      <c r="J396" s="6" t="n">
        <v>13.9</v>
      </c>
      <c r="K396" s="6" t="n">
        <v>28</v>
      </c>
      <c r="L396" s="6" t="n">
        <v>28</v>
      </c>
      <c r="M396" s="4" t="str">
        <f aca="false">IF(AND(K396="",L396=""),"No closed tickets",IF(K396="","MISSING in catalog",IF(L396="","No valid closed tickets",IF(AND(ABS(K396-L396)&gt;=$S$3,ABS(K396-L396)&gt;=$S$4*MAX(L396,1)),"FAR OFF","OK"))))</f>
        <v>OK</v>
      </c>
      <c r="N396" s="7" t="n">
        <f aca="false">D396/SUMIFS($D$2:$D$741,$B$2:$B$741,B396)</f>
        <v>0.00455524776854417</v>
      </c>
      <c r="O396" s="7" t="n">
        <f aca="false">SUMIFS($D$2:D396,$B$2:B396,B396)/SUMIFS($D$2:$D$741,$B$2:$B$741,B396)</f>
        <v>0.956889299271571</v>
      </c>
      <c r="P396" s="8" t="b">
        <f aca="false">O396-N396&lt;$S$2</f>
        <v>0</v>
      </c>
      <c r="Q396" s="2"/>
      <c r="R396" s="2"/>
      <c r="S396" s="2"/>
    </row>
    <row r="397" customFormat="false" ht="14.25" hidden="false" customHeight="false" outlineLevel="0" collapsed="false">
      <c r="A397" s="4" t="s">
        <v>460</v>
      </c>
      <c r="B397" s="4" t="s">
        <v>433</v>
      </c>
      <c r="C397" s="5" t="n">
        <v>1</v>
      </c>
      <c r="D397" s="5" t="n">
        <v>1456</v>
      </c>
      <c r="E397" s="5" t="n">
        <v>1456</v>
      </c>
      <c r="F397" s="5" t="n">
        <v>970</v>
      </c>
      <c r="G397" s="5" t="n">
        <v>207</v>
      </c>
      <c r="H397" s="5" t="n">
        <v>470</v>
      </c>
      <c r="I397" s="6" t="n">
        <v>13</v>
      </c>
      <c r="J397" s="6" t="n">
        <v>13.9</v>
      </c>
      <c r="K397" s="6" t="n">
        <v>21</v>
      </c>
      <c r="L397" s="6" t="n">
        <v>21</v>
      </c>
      <c r="M397" s="4" t="str">
        <f aca="false">IF(AND(K397="",L397=""),"No closed tickets",IF(K397="","MISSING in catalog",IF(L397="","No valid closed tickets",IF(AND(ABS(K397-L397)&gt;=$S$3,ABS(K397-L397)&gt;=$S$4*MAX(L397,1)),"FAR OFF","OK"))))</f>
        <v>OK</v>
      </c>
      <c r="N397" s="7" t="n">
        <f aca="false">D397/SUMIFS($D$2:$D$741,$B$2:$B$741,B397)</f>
        <v>0.00426797989124859</v>
      </c>
      <c r="O397" s="7" t="n">
        <f aca="false">SUMIFS($D$2:D397,$B$2:B397,B397)/SUMIFS($D$2:$D$741,$B$2:$B$741,B397)</f>
        <v>0.961157279162819</v>
      </c>
      <c r="P397" s="8" t="b">
        <f aca="false">O397-N397&lt;$S$2</f>
        <v>0</v>
      </c>
      <c r="Q397" s="2"/>
      <c r="R397" s="2"/>
      <c r="S397" s="2"/>
    </row>
    <row r="398" customFormat="false" ht="14.25" hidden="false" customHeight="false" outlineLevel="0" collapsed="false">
      <c r="A398" s="4" t="s">
        <v>461</v>
      </c>
      <c r="B398" s="4" t="s">
        <v>433</v>
      </c>
      <c r="C398" s="5" t="n">
        <v>2</v>
      </c>
      <c r="D398" s="5" t="n">
        <v>1395</v>
      </c>
      <c r="E398" s="5" t="n">
        <v>0</v>
      </c>
      <c r="F398" s="5" t="n">
        <v>34</v>
      </c>
      <c r="G398" s="5" t="n">
        <v>34</v>
      </c>
      <c r="H398" s="5" t="n">
        <v>1361</v>
      </c>
      <c r="I398" s="6" t="n">
        <v>6</v>
      </c>
      <c r="J398" s="6" t="n">
        <v>10</v>
      </c>
      <c r="K398" s="6" t="n">
        <v>23</v>
      </c>
      <c r="L398" s="6" t="n">
        <v>23</v>
      </c>
      <c r="M398" s="4" t="str">
        <f aca="false">IF(AND(K398="",L398=""),"No closed tickets",IF(K398="","MISSING in catalog",IF(L398="","No valid closed tickets",IF(AND(ABS(K398-L398)&gt;=$S$3,ABS(K398-L398)&gt;=$S$4*MAX(L398,1)),"FAR OFF","OK"))))</f>
        <v>OK</v>
      </c>
      <c r="N398" s="7" t="n">
        <f aca="false">D398/SUMIFS($D$2:$D$741,$B$2:$B$741,B398)</f>
        <v>0.00408917029415644</v>
      </c>
      <c r="O398" s="7" t="n">
        <f aca="false">SUMIFS($D$2:D398,$B$2:B398,B398)/SUMIFS($D$2:$D$741,$B$2:$B$741,B398)</f>
        <v>0.965246449456976</v>
      </c>
      <c r="P398" s="8" t="b">
        <f aca="false">O398-N398&lt;$S$2</f>
        <v>0</v>
      </c>
      <c r="Q398" s="2"/>
      <c r="R398" s="2"/>
      <c r="S398" s="2"/>
    </row>
    <row r="399" customFormat="false" ht="14.25" hidden="false" customHeight="false" outlineLevel="0" collapsed="false">
      <c r="A399" s="4" t="s">
        <v>462</v>
      </c>
      <c r="B399" s="4" t="s">
        <v>433</v>
      </c>
      <c r="C399" s="5" t="n">
        <v>2</v>
      </c>
      <c r="D399" s="5" t="n">
        <v>1357</v>
      </c>
      <c r="E399" s="5" t="n">
        <v>313</v>
      </c>
      <c r="F399" s="5" t="n">
        <v>34</v>
      </c>
      <c r="G399" s="5" t="n">
        <v>16</v>
      </c>
      <c r="H399" s="5" t="n">
        <v>1323</v>
      </c>
      <c r="I399" s="6" t="n">
        <v>82</v>
      </c>
      <c r="J399" s="6" t="n">
        <v>126.2</v>
      </c>
      <c r="K399" s="6" t="n">
        <v>410</v>
      </c>
      <c r="L399" s="6" t="n">
        <v>410</v>
      </c>
      <c r="M399" s="4" t="str">
        <f aca="false">IF(AND(K399="",L399=""),"No closed tickets",IF(K399="","MISSING in catalog",IF(L399="","No valid closed tickets",IF(AND(ABS(K399-L399)&gt;=$S$3,ABS(K399-L399)&gt;=$S$4*MAX(L399,1)),"FAR OFF","OK"))))</f>
        <v>OK</v>
      </c>
      <c r="N399" s="7" t="n">
        <f aca="false">D399/SUMIFS($D$2:$D$741,$B$2:$B$741,B399)</f>
        <v>0.00397778070908265</v>
      </c>
      <c r="O399" s="7" t="n">
        <f aca="false">SUMIFS($D$2:D399,$B$2:B399,B399)/SUMIFS($D$2:$D$741,$B$2:$B$741,B399)</f>
        <v>0.969224230166058</v>
      </c>
      <c r="P399" s="8" t="b">
        <f aca="false">O399-N399&lt;$S$2</f>
        <v>0</v>
      </c>
      <c r="Q399" s="2"/>
      <c r="R399" s="2"/>
      <c r="S399" s="2"/>
    </row>
    <row r="400" customFormat="false" ht="14.25" hidden="false" customHeight="false" outlineLevel="0" collapsed="false">
      <c r="A400" s="4" t="s">
        <v>463</v>
      </c>
      <c r="B400" s="4" t="s">
        <v>433</v>
      </c>
      <c r="C400" s="5" t="n">
        <v>2</v>
      </c>
      <c r="D400" s="5" t="n">
        <v>1210</v>
      </c>
      <c r="E400" s="5" t="n">
        <v>254</v>
      </c>
      <c r="F400" s="5" t="n">
        <v>32</v>
      </c>
      <c r="G400" s="5" t="n">
        <v>13</v>
      </c>
      <c r="H400" s="5" t="n">
        <v>1178</v>
      </c>
      <c r="I400" s="6" t="n">
        <v>20</v>
      </c>
      <c r="J400" s="6" t="n">
        <v>27.2</v>
      </c>
      <c r="K400" s="6" t="n">
        <v>67</v>
      </c>
      <c r="L400" s="6" t="n">
        <v>67</v>
      </c>
      <c r="M400" s="4" t="str">
        <f aca="false">IF(AND(K400="",L400=""),"No closed tickets",IF(K400="","MISSING in catalog",IF(L400="","No valid closed tickets",IF(AND(ABS(K400-L400)&gt;=$S$3,ABS(K400-L400)&gt;=$S$4*MAX(L400,1)),"FAR OFF","OK"))))</f>
        <v>OK</v>
      </c>
      <c r="N400" s="7" t="n">
        <f aca="false">D400/SUMIFS($D$2:$D$741,$B$2:$B$741,B400)</f>
        <v>0.00354687889313928</v>
      </c>
      <c r="O400" s="7" t="n">
        <f aca="false">SUMIFS($D$2:D400,$B$2:B400,B400)/SUMIFS($D$2:$D$741,$B$2:$B$741,B400)</f>
        <v>0.972771109059198</v>
      </c>
      <c r="P400" s="8" t="b">
        <f aca="false">O400-N400&lt;$S$2</f>
        <v>0</v>
      </c>
      <c r="Q400" s="2"/>
      <c r="R400" s="2"/>
      <c r="S400" s="2"/>
    </row>
    <row r="401" customFormat="false" ht="14.25" hidden="false" customHeight="false" outlineLevel="0" collapsed="false">
      <c r="A401" s="4" t="s">
        <v>464</v>
      </c>
      <c r="B401" s="4" t="s">
        <v>433</v>
      </c>
      <c r="C401" s="5" t="n">
        <v>2</v>
      </c>
      <c r="D401" s="5" t="n">
        <v>942</v>
      </c>
      <c r="E401" s="5" t="n">
        <v>0</v>
      </c>
      <c r="F401" s="5" t="n">
        <v>4</v>
      </c>
      <c r="G401" s="5" t="n">
        <v>4</v>
      </c>
      <c r="H401" s="5" t="n">
        <v>906</v>
      </c>
      <c r="I401" s="6" t="n">
        <v>3</v>
      </c>
      <c r="J401" s="6" t="n">
        <v>8.9</v>
      </c>
      <c r="K401" s="6" t="n">
        <v>13</v>
      </c>
      <c r="L401" s="6" t="n">
        <v>13</v>
      </c>
      <c r="M401" s="4" t="str">
        <f aca="false">IF(AND(K401="",L401=""),"No closed tickets",IF(K401="","MISSING in catalog",IF(L401="","No valid closed tickets",IF(AND(ABS(K401-L401)&gt;=$S$3,ABS(K401-L401)&gt;=$S$4*MAX(L401,1)),"FAR OFF","OK"))))</f>
        <v>OK</v>
      </c>
      <c r="N401" s="7" t="n">
        <f aca="false">D401/SUMIFS($D$2:$D$741,$B$2:$B$741,B401)</f>
        <v>0.00276128918788199</v>
      </c>
      <c r="O401" s="7" t="n">
        <f aca="false">SUMIFS($D$2:D401,$B$2:B401,B401)/SUMIFS($D$2:$D$741,$B$2:$B$741,B401)</f>
        <v>0.97553239824708</v>
      </c>
      <c r="P401" s="8" t="b">
        <f aca="false">O401-N401&lt;$S$2</f>
        <v>0</v>
      </c>
      <c r="Q401" s="2"/>
      <c r="R401" s="2"/>
      <c r="S401" s="2"/>
    </row>
    <row r="402" customFormat="false" ht="14.25" hidden="false" customHeight="false" outlineLevel="0" collapsed="false">
      <c r="A402" s="4" t="s">
        <v>465</v>
      </c>
      <c r="B402" s="4" t="s">
        <v>433</v>
      </c>
      <c r="C402" s="5" t="n">
        <v>2</v>
      </c>
      <c r="D402" s="5" t="n">
        <v>805</v>
      </c>
      <c r="E402" s="5" t="n">
        <v>154</v>
      </c>
      <c r="F402" s="5" t="n">
        <v>492</v>
      </c>
      <c r="G402" s="5" t="n">
        <v>476</v>
      </c>
      <c r="H402" s="5" t="n">
        <v>313</v>
      </c>
      <c r="I402" s="6" t="n">
        <v>10</v>
      </c>
      <c r="J402" s="6" t="n">
        <v>121.6</v>
      </c>
      <c r="K402" s="6" t="n">
        <v>542</v>
      </c>
      <c r="L402" s="6" t="n">
        <v>541.8</v>
      </c>
      <c r="M402" s="4" t="str">
        <f aca="false">IF(AND(K402="",L402=""),"No closed tickets",IF(K402="","MISSING in catalog",IF(L402="","No valid closed tickets",IF(AND(ABS(K402-L402)&gt;=$S$3,ABS(K402-L402)&gt;=$S$4*MAX(L402,1)),"FAR OFF","OK"))))</f>
        <v>OK</v>
      </c>
      <c r="N402" s="7" t="n">
        <f aca="false">D402/SUMIFS($D$2:$D$741,$B$2:$B$741,B402)</f>
        <v>0.00235970042064225</v>
      </c>
      <c r="O402" s="7" t="n">
        <f aca="false">SUMIFS($D$2:D402,$B$2:B402,B402)/SUMIFS($D$2:$D$741,$B$2:$B$741,B402)</f>
        <v>0.977892098667722</v>
      </c>
      <c r="P402" s="8" t="b">
        <f aca="false">O402-N402&lt;$S$2</f>
        <v>0</v>
      </c>
      <c r="Q402" s="2"/>
      <c r="R402" s="2"/>
      <c r="S402" s="2"/>
    </row>
    <row r="403" customFormat="false" ht="14.25" hidden="false" customHeight="false" outlineLevel="0" collapsed="false">
      <c r="A403" s="4" t="s">
        <v>466</v>
      </c>
      <c r="B403" s="4" t="s">
        <v>433</v>
      </c>
      <c r="C403" s="5" t="n">
        <v>1</v>
      </c>
      <c r="D403" s="5" t="n">
        <v>770</v>
      </c>
      <c r="E403" s="5" t="n">
        <v>412</v>
      </c>
      <c r="F403" s="5" t="n">
        <v>490</v>
      </c>
      <c r="G403" s="5" t="n">
        <v>224</v>
      </c>
      <c r="H403" s="5" t="n">
        <v>280</v>
      </c>
      <c r="I403" s="6" t="n">
        <v>303</v>
      </c>
      <c r="J403" s="6" t="n">
        <v>293.7</v>
      </c>
      <c r="K403" s="6" t="n">
        <v>470</v>
      </c>
      <c r="L403" s="6" t="n">
        <v>470.3</v>
      </c>
      <c r="M403" s="4" t="str">
        <f aca="false">IF(AND(K403="",L403=""),"No closed tickets",IF(K403="","MISSING in catalog",IF(L403="","No valid closed tickets",IF(AND(ABS(K403-L403)&gt;=$S$3,ABS(K403-L403)&gt;=$S$4*MAX(L403,1)),"FAR OFF","OK"))))</f>
        <v>OK</v>
      </c>
      <c r="N403" s="7" t="n">
        <f aca="false">D403/SUMIFS($D$2:$D$741,$B$2:$B$741,B403)</f>
        <v>0.00225710475017954</v>
      </c>
      <c r="O403" s="7" t="n">
        <f aca="false">SUMIFS($D$2:D403,$B$2:B403,B403)/SUMIFS($D$2:$D$741,$B$2:$B$741,B403)</f>
        <v>0.980149203417902</v>
      </c>
      <c r="P403" s="8" t="b">
        <f aca="false">O403-N403&lt;$S$2</f>
        <v>0</v>
      </c>
      <c r="Q403" s="2"/>
      <c r="R403" s="2"/>
      <c r="S403" s="2"/>
    </row>
    <row r="404" customFormat="false" ht="14.25" hidden="false" customHeight="false" outlineLevel="0" collapsed="false">
      <c r="A404" s="4" t="s">
        <v>467</v>
      </c>
      <c r="B404" s="4" t="s">
        <v>433</v>
      </c>
      <c r="C404" s="5" t="n">
        <v>1</v>
      </c>
      <c r="D404" s="5" t="n">
        <v>597</v>
      </c>
      <c r="E404" s="5" t="n">
        <v>164</v>
      </c>
      <c r="F404" s="5" t="n">
        <v>74</v>
      </c>
      <c r="G404" s="5" t="n">
        <v>73</v>
      </c>
      <c r="H404" s="5" t="n">
        <v>523</v>
      </c>
      <c r="I404" s="6" t="n">
        <v>46</v>
      </c>
      <c r="J404" s="6" t="n">
        <v>203.7</v>
      </c>
      <c r="K404" s="6" t="n">
        <v>461</v>
      </c>
      <c r="L404" s="6" t="n">
        <v>460.8</v>
      </c>
      <c r="M404" s="4" t="str">
        <f aca="false">IF(AND(K404="",L404=""),"No closed tickets",IF(K404="","MISSING in catalog",IF(L404="","No valid closed tickets",IF(AND(ABS(K404-L404)&gt;=$S$3,ABS(K404-L404)&gt;=$S$4*MAX(L404,1)),"FAR OFF","OK"))))</f>
        <v>OK</v>
      </c>
      <c r="N404" s="7" t="n">
        <f aca="false">D404/SUMIFS($D$2:$D$741,$B$2:$B$741,B404)</f>
        <v>0.00174998900760674</v>
      </c>
      <c r="O404" s="7" t="n">
        <f aca="false">SUMIFS($D$2:D404,$B$2:B404,B404)/SUMIFS($D$2:$D$741,$B$2:$B$741,B404)</f>
        <v>0.981899192425508</v>
      </c>
      <c r="P404" s="8" t="b">
        <f aca="false">O404-N404&lt;$S$2</f>
        <v>0</v>
      </c>
      <c r="Q404" s="2"/>
      <c r="R404" s="2"/>
      <c r="S404" s="2"/>
    </row>
    <row r="405" customFormat="false" ht="14.25" hidden="false" customHeight="false" outlineLevel="0" collapsed="false">
      <c r="A405" s="4" t="s">
        <v>468</v>
      </c>
      <c r="B405" s="4" t="s">
        <v>433</v>
      </c>
      <c r="C405" s="5" t="n">
        <v>1</v>
      </c>
      <c r="D405" s="5" t="n">
        <v>522</v>
      </c>
      <c r="E405" s="5" t="n">
        <v>64</v>
      </c>
      <c r="F405" s="5" t="n">
        <v>4</v>
      </c>
      <c r="G405" s="5" t="n">
        <v>4</v>
      </c>
      <c r="H405" s="5" t="n">
        <v>518</v>
      </c>
      <c r="I405" s="6" t="n">
        <v>0</v>
      </c>
      <c r="J405" s="6" t="n">
        <v>3.8</v>
      </c>
      <c r="K405" s="6" t="n">
        <v>0</v>
      </c>
      <c r="L405" s="6" t="n">
        <v>0</v>
      </c>
      <c r="M405" s="4" t="str">
        <f aca="false">IF(AND(K405="",L405=""),"No closed tickets",IF(K405="","MISSING in catalog",IF(L405="","No valid closed tickets",IF(AND(ABS(K405-L405)&gt;=$S$3,ABS(K405-L405)&gt;=$S$4*MAX(L405,1)),"FAR OFF","OK"))))</f>
        <v>OK</v>
      </c>
      <c r="N405" s="7" t="n">
        <f aca="false">D405/SUMIFS($D$2:$D$741,$B$2:$B$741,B405)</f>
        <v>0.00153014114232951</v>
      </c>
      <c r="O405" s="7" t="n">
        <f aca="false">SUMIFS($D$2:D405,$B$2:B405,B405)/SUMIFS($D$2:$D$741,$B$2:$B$741,B405)</f>
        <v>0.983429333567838</v>
      </c>
      <c r="P405" s="8" t="b">
        <f aca="false">O405-N405&lt;$S$2</f>
        <v>0</v>
      </c>
      <c r="Q405" s="2"/>
      <c r="R405" s="2"/>
      <c r="S405" s="2"/>
    </row>
    <row r="406" customFormat="false" ht="14.25" hidden="false" customHeight="false" outlineLevel="0" collapsed="false">
      <c r="A406" s="4" t="s">
        <v>469</v>
      </c>
      <c r="B406" s="4" t="s">
        <v>433</v>
      </c>
      <c r="C406" s="5" t="n">
        <v>2</v>
      </c>
      <c r="D406" s="5" t="n">
        <v>481</v>
      </c>
      <c r="E406" s="5" t="n">
        <v>0</v>
      </c>
      <c r="F406" s="5" t="n">
        <v>0</v>
      </c>
      <c r="G406" s="5" t="n">
        <v>0</v>
      </c>
      <c r="H406" s="5" t="n">
        <v>481</v>
      </c>
      <c r="I406" s="6" t="n">
        <v>12</v>
      </c>
      <c r="J406" s="6" t="n">
        <v>33</v>
      </c>
      <c r="K406" s="6" t="n">
        <v>70</v>
      </c>
      <c r="L406" s="6" t="n">
        <v>70</v>
      </c>
      <c r="M406" s="4" t="str">
        <f aca="false">IF(AND(K406="",L406=""),"No closed tickets",IF(K406="","MISSING in catalog",IF(L406="","No valid closed tickets",IF(AND(ABS(K406-L406)&gt;=$S$3,ABS(K406-L406)&gt;=$S$4*MAX(L406,1)),"FAR OFF","OK"))))</f>
        <v>OK</v>
      </c>
      <c r="N406" s="7" t="n">
        <f aca="false">D406/SUMIFS($D$2:$D$741,$B$2:$B$741,B406)</f>
        <v>0.00140995764264462</v>
      </c>
      <c r="O406" s="7" t="n">
        <f aca="false">SUMIFS($D$2:D406,$B$2:B406,B406)/SUMIFS($D$2:$D$741,$B$2:$B$741,B406)</f>
        <v>0.984839291210482</v>
      </c>
      <c r="P406" s="8" t="b">
        <f aca="false">O406-N406&lt;$S$2</f>
        <v>0</v>
      </c>
      <c r="Q406" s="2"/>
      <c r="R406" s="2"/>
      <c r="S406" s="2"/>
    </row>
    <row r="407" customFormat="false" ht="14.25" hidden="false" customHeight="false" outlineLevel="0" collapsed="false">
      <c r="A407" s="4" t="s">
        <v>470</v>
      </c>
      <c r="B407" s="4" t="s">
        <v>433</v>
      </c>
      <c r="C407" s="5" t="n">
        <v>2</v>
      </c>
      <c r="D407" s="5" t="n">
        <v>466</v>
      </c>
      <c r="E407" s="5" t="n">
        <v>96</v>
      </c>
      <c r="F407" s="5" t="n">
        <v>110</v>
      </c>
      <c r="G407" s="5" t="n">
        <v>102</v>
      </c>
      <c r="H407" s="5" t="n">
        <v>356</v>
      </c>
      <c r="I407" s="6" t="n">
        <v>2</v>
      </c>
      <c r="J407" s="6" t="n">
        <v>14.8</v>
      </c>
      <c r="K407" s="6" t="n">
        <v>22</v>
      </c>
      <c r="L407" s="6" t="n">
        <v>22</v>
      </c>
      <c r="M407" s="4" t="str">
        <f aca="false">IF(AND(K407="",L407=""),"No closed tickets",IF(K407="","MISSING in catalog",IF(L407="","No valid closed tickets",IF(AND(ABS(K407-L407)&gt;=$S$3,ABS(K407-L407)&gt;=$S$4*MAX(L407,1)),"FAR OFF","OK"))))</f>
        <v>OK</v>
      </c>
      <c r="N407" s="7" t="n">
        <f aca="false">D407/SUMIFS($D$2:$D$741,$B$2:$B$741,B407)</f>
        <v>0.00136598806958918</v>
      </c>
      <c r="O407" s="7" t="n">
        <f aca="false">SUMIFS($D$2:D407,$B$2:B407,B407)/SUMIFS($D$2:$D$741,$B$2:$B$741,B407)</f>
        <v>0.986205279280072</v>
      </c>
      <c r="P407" s="8" t="b">
        <f aca="false">O407-N407&lt;$S$2</f>
        <v>0</v>
      </c>
      <c r="Q407" s="2"/>
      <c r="R407" s="2"/>
      <c r="S407" s="2"/>
    </row>
    <row r="408" customFormat="false" ht="14.25" hidden="false" customHeight="false" outlineLevel="0" collapsed="false">
      <c r="A408" s="4" t="s">
        <v>471</v>
      </c>
      <c r="B408" s="4" t="s">
        <v>433</v>
      </c>
      <c r="C408" s="5" t="n">
        <v>2</v>
      </c>
      <c r="D408" s="5" t="n">
        <v>388</v>
      </c>
      <c r="E408" s="5" t="n">
        <v>0</v>
      </c>
      <c r="F408" s="5" t="n">
        <v>0</v>
      </c>
      <c r="G408" s="5" t="n">
        <v>0</v>
      </c>
      <c r="H408" s="5" t="n">
        <v>388</v>
      </c>
      <c r="I408" s="6" t="n">
        <v>7</v>
      </c>
      <c r="J408" s="6" t="n">
        <v>11.3</v>
      </c>
      <c r="K408" s="6" t="n">
        <v>27</v>
      </c>
      <c r="L408" s="6" t="n">
        <v>27</v>
      </c>
      <c r="M408" s="4" t="str">
        <f aca="false">IF(AND(K408="",L408=""),"No closed tickets",IF(K408="","MISSING in catalog",IF(L408="","No valid closed tickets",IF(AND(ABS(K408-L408)&gt;=$S$3,ABS(K408-L408)&gt;=$S$4*MAX(L408,1)),"FAR OFF","OK"))))</f>
        <v>OK</v>
      </c>
      <c r="N408" s="7" t="n">
        <f aca="false">D408/SUMIFS($D$2:$D$741,$B$2:$B$741,B408)</f>
        <v>0.00113734628970086</v>
      </c>
      <c r="O408" s="7" t="n">
        <f aca="false">SUMIFS($D$2:D408,$B$2:B408,B408)/SUMIFS($D$2:$D$741,$B$2:$B$741,B408)</f>
        <v>0.987342625569772</v>
      </c>
      <c r="P408" s="8" t="b">
        <f aca="false">O408-N408&lt;$S$2</f>
        <v>0</v>
      </c>
      <c r="Q408" s="2"/>
      <c r="R408" s="2"/>
      <c r="S408" s="2"/>
    </row>
    <row r="409" customFormat="false" ht="14.25" hidden="false" customHeight="false" outlineLevel="0" collapsed="false">
      <c r="A409" s="4" t="s">
        <v>472</v>
      </c>
      <c r="B409" s="4" t="s">
        <v>433</v>
      </c>
      <c r="C409" s="5" t="n">
        <v>2</v>
      </c>
      <c r="D409" s="5" t="n">
        <v>366</v>
      </c>
      <c r="E409" s="5" t="n">
        <v>0</v>
      </c>
      <c r="F409" s="5" t="n">
        <v>0</v>
      </c>
      <c r="G409" s="5" t="n">
        <v>0</v>
      </c>
      <c r="H409" s="5" t="n">
        <v>366</v>
      </c>
      <c r="I409" s="6" t="n">
        <v>2</v>
      </c>
      <c r="J409" s="6" t="n">
        <v>8.8</v>
      </c>
      <c r="K409" s="6" t="n">
        <v>21</v>
      </c>
      <c r="L409" s="6" t="n">
        <v>21</v>
      </c>
      <c r="M409" s="4" t="str">
        <f aca="false">IF(AND(K409="",L409=""),"No closed tickets",IF(K409="","MISSING in catalog",IF(L409="","No valid closed tickets",IF(AND(ABS(K409-L409)&gt;=$S$3,ABS(K409-L409)&gt;=$S$4*MAX(L409,1)),"FAR OFF","OK"))))</f>
        <v>OK</v>
      </c>
      <c r="N409" s="7" t="n">
        <f aca="false">D409/SUMIFS($D$2:$D$741,$B$2:$B$741,B409)</f>
        <v>0.00107285758255287</v>
      </c>
      <c r="O409" s="7" t="n">
        <f aca="false">SUMIFS($D$2:D409,$B$2:B409,B409)/SUMIFS($D$2:$D$741,$B$2:$B$741,B409)</f>
        <v>0.988415483152325</v>
      </c>
      <c r="P409" s="8" t="b">
        <f aca="false">O409-N409&lt;$S$2</f>
        <v>0</v>
      </c>
      <c r="Q409" s="2"/>
      <c r="R409" s="2"/>
      <c r="S409" s="2"/>
    </row>
    <row r="410" customFormat="false" ht="14.25" hidden="false" customHeight="false" outlineLevel="0" collapsed="false">
      <c r="A410" s="4" t="s">
        <v>473</v>
      </c>
      <c r="B410" s="4" t="s">
        <v>433</v>
      </c>
      <c r="C410" s="5" t="n">
        <v>1</v>
      </c>
      <c r="D410" s="5" t="n">
        <v>347</v>
      </c>
      <c r="E410" s="5" t="n">
        <v>70</v>
      </c>
      <c r="F410" s="5" t="n">
        <v>53</v>
      </c>
      <c r="G410" s="5" t="n">
        <v>40</v>
      </c>
      <c r="H410" s="5" t="n">
        <v>294</v>
      </c>
      <c r="I410" s="6" t="n">
        <v>148</v>
      </c>
      <c r="J410" s="6" t="n">
        <v>202.4</v>
      </c>
      <c r="K410" s="6" t="n">
        <v>568</v>
      </c>
      <c r="L410" s="6" t="n">
        <v>567.6</v>
      </c>
      <c r="M410" s="4" t="str">
        <f aca="false">IF(AND(K410="",L410=""),"No closed tickets",IF(K410="","MISSING in catalog",IF(L410="","No valid closed tickets",IF(AND(ABS(K410-L410)&gt;=$S$3,ABS(K410-L410)&gt;=$S$4*MAX(L410,1)),"FAR OFF","OK"))))</f>
        <v>OK</v>
      </c>
      <c r="N410" s="7" t="n">
        <f aca="false">D410/SUMIFS($D$2:$D$741,$B$2:$B$741,B410)</f>
        <v>0.00101716279001598</v>
      </c>
      <c r="O410" s="7" t="n">
        <f aca="false">SUMIFS($D$2:D410,$B$2:B410,B410)/SUMIFS($D$2:$D$741,$B$2:$B$741,B410)</f>
        <v>0.989432645942341</v>
      </c>
      <c r="P410" s="8" t="b">
        <f aca="false">O410-N410&lt;$S$2</f>
        <v>0</v>
      </c>
      <c r="Q410" s="2"/>
      <c r="R410" s="2"/>
      <c r="S410" s="2"/>
    </row>
    <row r="411" customFormat="false" ht="14.25" hidden="false" customHeight="false" outlineLevel="0" collapsed="false">
      <c r="A411" s="4" t="s">
        <v>474</v>
      </c>
      <c r="B411" s="4" t="s">
        <v>433</v>
      </c>
      <c r="C411" s="5" t="n">
        <v>2</v>
      </c>
      <c r="D411" s="5" t="n">
        <v>329</v>
      </c>
      <c r="E411" s="5" t="n">
        <v>17</v>
      </c>
      <c r="F411" s="5" t="n">
        <v>1</v>
      </c>
      <c r="G411" s="5" t="n">
        <v>1</v>
      </c>
      <c r="H411" s="5" t="n">
        <v>328</v>
      </c>
      <c r="I411" s="6" t="n">
        <v>27</v>
      </c>
      <c r="J411" s="6" t="n">
        <v>29.1</v>
      </c>
      <c r="K411" s="6" t="n">
        <v>50</v>
      </c>
      <c r="L411" s="6" t="n">
        <v>50</v>
      </c>
      <c r="M411" s="4" t="str">
        <f aca="false">IF(AND(K411="",L411=""),"No closed tickets",IF(K411="","MISSING in catalog",IF(L411="","No valid closed tickets",IF(AND(ABS(K411-L411)&gt;=$S$3,ABS(K411-L411)&gt;=$S$4*MAX(L411,1)),"FAR OFF","OK"))))</f>
        <v>OK</v>
      </c>
      <c r="N411" s="7" t="n">
        <f aca="false">D411/SUMIFS($D$2:$D$741,$B$2:$B$741,B411)</f>
        <v>0.000964399302349441</v>
      </c>
      <c r="O411" s="7" t="n">
        <f aca="false">SUMIFS($D$2:D411,$B$2:B411,B411)/SUMIFS($D$2:$D$741,$B$2:$B$741,B411)</f>
        <v>0.990397045244691</v>
      </c>
      <c r="P411" s="8" t="b">
        <f aca="false">O411-N411&lt;$S$2</f>
        <v>0</v>
      </c>
      <c r="Q411" s="2"/>
      <c r="R411" s="2"/>
      <c r="S411" s="2"/>
    </row>
    <row r="412" customFormat="false" ht="14.25" hidden="false" customHeight="false" outlineLevel="0" collapsed="false">
      <c r="A412" s="4" t="s">
        <v>475</v>
      </c>
      <c r="B412" s="4" t="s">
        <v>433</v>
      </c>
      <c r="C412" s="5" t="n">
        <v>2</v>
      </c>
      <c r="D412" s="5" t="n">
        <v>320</v>
      </c>
      <c r="E412" s="5" t="n">
        <v>60</v>
      </c>
      <c r="F412" s="5" t="n">
        <v>31</v>
      </c>
      <c r="G412" s="5" t="n">
        <v>18</v>
      </c>
      <c r="H412" s="5" t="n">
        <v>289</v>
      </c>
      <c r="I412" s="6" t="n">
        <v>7</v>
      </c>
      <c r="J412" s="6" t="n">
        <v>18.3</v>
      </c>
      <c r="K412" s="6" t="n">
        <v>41</v>
      </c>
      <c r="L412" s="6" t="n">
        <v>41</v>
      </c>
      <c r="M412" s="4" t="str">
        <f aca="false">IF(AND(K412="",L412=""),"No closed tickets",IF(K412="","MISSING in catalog",IF(L412="","No valid closed tickets",IF(AND(ABS(K412-L412)&gt;=$S$3,ABS(K412-L412)&gt;=$S$4*MAX(L412,1)),"FAR OFF","OK"))))</f>
        <v>OK</v>
      </c>
      <c r="N412" s="7" t="n">
        <f aca="false">D412/SUMIFS($D$2:$D$741,$B$2:$B$741,B412)</f>
        <v>0.000938017558516174</v>
      </c>
      <c r="O412" s="7" t="n">
        <f aca="false">SUMIFS($D$2:D412,$B$2:B412,B412)/SUMIFS($D$2:$D$741,$B$2:$B$741,B412)</f>
        <v>0.991335062803207</v>
      </c>
      <c r="P412" s="8" t="b">
        <f aca="false">O412-N412&lt;$S$2</f>
        <v>0</v>
      </c>
      <c r="Q412" s="2"/>
      <c r="R412" s="2"/>
      <c r="S412" s="2"/>
    </row>
    <row r="413" customFormat="false" ht="14.25" hidden="false" customHeight="false" outlineLevel="0" collapsed="false">
      <c r="A413" s="4" t="s">
        <v>476</v>
      </c>
      <c r="B413" s="4" t="s">
        <v>433</v>
      </c>
      <c r="C413" s="5" t="n">
        <v>2</v>
      </c>
      <c r="D413" s="5" t="n">
        <v>319</v>
      </c>
      <c r="E413" s="5" t="n">
        <v>110</v>
      </c>
      <c r="F413" s="5" t="n">
        <v>33</v>
      </c>
      <c r="G413" s="5" t="n">
        <v>29</v>
      </c>
      <c r="H413" s="5" t="n">
        <v>283</v>
      </c>
      <c r="I413" s="6" t="n">
        <v>2</v>
      </c>
      <c r="J413" s="6" t="n">
        <v>8.6</v>
      </c>
      <c r="K413" s="6" t="n">
        <v>13</v>
      </c>
      <c r="L413" s="6" t="n">
        <v>12.6</v>
      </c>
      <c r="M413" s="4" t="str">
        <f aca="false">IF(AND(K413="",L413=""),"No closed tickets",IF(K413="","MISSING in catalog",IF(L413="","No valid closed tickets",IF(AND(ABS(K413-L413)&gt;=$S$3,ABS(K413-L413)&gt;=$S$4*MAX(L413,1)),"FAR OFF","OK"))))</f>
        <v>OK</v>
      </c>
      <c r="N413" s="7" t="n">
        <f aca="false">D413/SUMIFS($D$2:$D$741,$B$2:$B$741,B413)</f>
        <v>0.00093508625364581</v>
      </c>
      <c r="O413" s="7" t="n">
        <f aca="false">SUMIFS($D$2:D413,$B$2:B413,B413)/SUMIFS($D$2:$D$741,$B$2:$B$741,B413)</f>
        <v>0.992270149056853</v>
      </c>
      <c r="P413" s="8" t="b">
        <f aca="false">O413-N413&lt;$S$2</f>
        <v>0</v>
      </c>
      <c r="Q413" s="2"/>
      <c r="R413" s="2"/>
      <c r="S413" s="2"/>
    </row>
    <row r="414" customFormat="false" ht="14.25" hidden="false" customHeight="false" outlineLevel="0" collapsed="false">
      <c r="A414" s="4" t="s">
        <v>477</v>
      </c>
      <c r="B414" s="4" t="s">
        <v>433</v>
      </c>
      <c r="C414" s="5" t="n">
        <v>2</v>
      </c>
      <c r="D414" s="5" t="n">
        <v>268</v>
      </c>
      <c r="E414" s="5" t="n">
        <v>25</v>
      </c>
      <c r="F414" s="5" t="n">
        <v>8</v>
      </c>
      <c r="G414" s="5" t="n">
        <v>8</v>
      </c>
      <c r="H414" s="5" t="n">
        <v>260</v>
      </c>
      <c r="I414" s="6" t="n">
        <v>0</v>
      </c>
      <c r="J414" s="6" t="n">
        <v>1.5</v>
      </c>
      <c r="K414" s="6" t="n">
        <v>4</v>
      </c>
      <c r="L414" s="6" t="n">
        <v>4</v>
      </c>
      <c r="M414" s="4" t="str">
        <f aca="false">IF(AND(K414="",L414=""),"No closed tickets",IF(K414="","MISSING in catalog",IF(L414="","No valid closed tickets",IF(AND(ABS(K414-L414)&gt;=$S$3,ABS(K414-L414)&gt;=$S$4*MAX(L414,1)),"FAR OFF","OK"))))</f>
        <v>OK</v>
      </c>
      <c r="N414" s="7" t="n">
        <f aca="false">D414/SUMIFS($D$2:$D$741,$B$2:$B$741,B414)</f>
        <v>0.000785589705257295</v>
      </c>
      <c r="O414" s="7" t="n">
        <f aca="false">SUMIFS($D$2:D414,$B$2:B414,B414)/SUMIFS($D$2:$D$741,$B$2:$B$741,B414)</f>
        <v>0.99305573876211</v>
      </c>
      <c r="P414" s="8" t="b">
        <f aca="false">O414-N414&lt;$S$2</f>
        <v>0</v>
      </c>
      <c r="Q414" s="2"/>
      <c r="R414" s="2"/>
      <c r="S414" s="2"/>
    </row>
    <row r="415" customFormat="false" ht="14.25" hidden="false" customHeight="false" outlineLevel="0" collapsed="false">
      <c r="A415" s="4" t="s">
        <v>478</v>
      </c>
      <c r="B415" s="4" t="s">
        <v>433</v>
      </c>
      <c r="C415" s="5" t="n">
        <v>2</v>
      </c>
      <c r="D415" s="5" t="n">
        <v>246</v>
      </c>
      <c r="E415" s="5" t="n">
        <v>0</v>
      </c>
      <c r="F415" s="5" t="n">
        <v>24</v>
      </c>
      <c r="G415" s="5" t="n">
        <v>24</v>
      </c>
      <c r="H415" s="5" t="n">
        <v>222</v>
      </c>
      <c r="I415" s="6" t="n">
        <v>0</v>
      </c>
      <c r="J415" s="6" t="n">
        <v>2</v>
      </c>
      <c r="K415" s="6" t="n">
        <v>3</v>
      </c>
      <c r="L415" s="6" t="n">
        <v>3</v>
      </c>
      <c r="M415" s="4" t="str">
        <f aca="false">IF(AND(K415="",L415=""),"No closed tickets",IF(K415="","MISSING in catalog",IF(L415="","No valid closed tickets",IF(AND(ABS(K415-L415)&gt;=$S$3,ABS(K415-L415)&gt;=$S$4*MAX(L415,1)),"FAR OFF","OK"))))</f>
        <v>OK</v>
      </c>
      <c r="N415" s="7" t="n">
        <f aca="false">D415/SUMIFS($D$2:$D$741,$B$2:$B$741,B415)</f>
        <v>0.000721100998109308</v>
      </c>
      <c r="O415" s="7" t="n">
        <f aca="false">SUMIFS($D$2:D415,$B$2:B415,B415)/SUMIFS($D$2:$D$741,$B$2:$B$741,B415)</f>
        <v>0.993776839760219</v>
      </c>
      <c r="P415" s="8" t="b">
        <f aca="false">O415-N415&lt;$S$2</f>
        <v>0</v>
      </c>
      <c r="Q415" s="2"/>
      <c r="R415" s="2"/>
      <c r="S415" s="2"/>
    </row>
    <row r="416" customFormat="false" ht="14.25" hidden="false" customHeight="false" outlineLevel="0" collapsed="false">
      <c r="A416" s="4" t="s">
        <v>479</v>
      </c>
      <c r="B416" s="4" t="s">
        <v>433</v>
      </c>
      <c r="C416" s="5" t="n">
        <v>2</v>
      </c>
      <c r="D416" s="5" t="n">
        <v>213</v>
      </c>
      <c r="E416" s="5" t="n">
        <v>0</v>
      </c>
      <c r="F416" s="5" t="n">
        <v>0</v>
      </c>
      <c r="G416" s="5" t="n">
        <v>0</v>
      </c>
      <c r="H416" s="5" t="n">
        <v>213</v>
      </c>
      <c r="I416" s="6" t="n">
        <v>3</v>
      </c>
      <c r="J416" s="6" t="n">
        <v>14</v>
      </c>
      <c r="K416" s="6" t="n">
        <v>36</v>
      </c>
      <c r="L416" s="6" t="n">
        <v>35.6</v>
      </c>
      <c r="M416" s="4" t="str">
        <f aca="false">IF(AND(K416="",L416=""),"No closed tickets",IF(K416="","MISSING in catalog",IF(L416="","No valid closed tickets",IF(AND(ABS(K416-L416)&gt;=$S$3,ABS(K416-L416)&gt;=$S$4*MAX(L416,1)),"FAR OFF","OK"))))</f>
        <v>OK</v>
      </c>
      <c r="N416" s="7" t="n">
        <f aca="false">D416/SUMIFS($D$2:$D$741,$B$2:$B$741,B416)</f>
        <v>0.000624367937387328</v>
      </c>
      <c r="O416" s="7" t="n">
        <f aca="false">SUMIFS($D$2:D416,$B$2:B416,B416)/SUMIFS($D$2:$D$741,$B$2:$B$741,B416)</f>
        <v>0.994401207697607</v>
      </c>
      <c r="P416" s="8" t="b">
        <f aca="false">O416-N416&lt;$S$2</f>
        <v>0</v>
      </c>
      <c r="Q416" s="2"/>
      <c r="R416" s="2"/>
      <c r="S416" s="2"/>
    </row>
    <row r="417" customFormat="false" ht="14.25" hidden="false" customHeight="false" outlineLevel="0" collapsed="false">
      <c r="A417" s="4" t="s">
        <v>480</v>
      </c>
      <c r="B417" s="4" t="s">
        <v>433</v>
      </c>
      <c r="C417" s="5" t="n">
        <v>2</v>
      </c>
      <c r="D417" s="5" t="n">
        <v>183</v>
      </c>
      <c r="E417" s="5" t="n">
        <v>0</v>
      </c>
      <c r="F417" s="5" t="n">
        <v>10</v>
      </c>
      <c r="G417" s="5" t="n">
        <v>10</v>
      </c>
      <c r="H417" s="5" t="n">
        <v>173</v>
      </c>
      <c r="I417" s="6" t="n">
        <v>9</v>
      </c>
      <c r="J417" s="6" t="n">
        <v>21.1</v>
      </c>
      <c r="K417" s="6" t="n">
        <v>62</v>
      </c>
      <c r="L417" s="6" t="n">
        <v>61.6</v>
      </c>
      <c r="M417" s="4" t="str">
        <f aca="false">IF(AND(K417="",L417=""),"No closed tickets",IF(K417="","MISSING in catalog",IF(L417="","No valid closed tickets",IF(AND(ABS(K417-L417)&gt;=$S$3,ABS(K417-L417)&gt;=$S$4*MAX(L417,1)),"FAR OFF","OK"))))</f>
        <v>OK</v>
      </c>
      <c r="N417" s="7" t="n">
        <f aca="false">D417/SUMIFS($D$2:$D$741,$B$2:$B$741,B417)</f>
        <v>0.000536428791276437</v>
      </c>
      <c r="O417" s="7" t="n">
        <f aca="false">SUMIFS($D$2:D417,$B$2:B417,B417)/SUMIFS($D$2:$D$741,$B$2:$B$741,B417)</f>
        <v>0.994937636488883</v>
      </c>
      <c r="P417" s="8" t="b">
        <f aca="false">O417-N417&lt;$S$2</f>
        <v>0</v>
      </c>
      <c r="Q417" s="2"/>
      <c r="R417" s="2"/>
      <c r="S417" s="2"/>
    </row>
    <row r="418" customFormat="false" ht="14.25" hidden="false" customHeight="false" outlineLevel="0" collapsed="false">
      <c r="A418" s="4" t="s">
        <v>481</v>
      </c>
      <c r="B418" s="4" t="s">
        <v>433</v>
      </c>
      <c r="C418" s="5" t="n">
        <v>2</v>
      </c>
      <c r="D418" s="5" t="n">
        <v>166</v>
      </c>
      <c r="E418" s="5" t="n">
        <v>0</v>
      </c>
      <c r="F418" s="5" t="n">
        <v>0</v>
      </c>
      <c r="G418" s="5" t="n">
        <v>0</v>
      </c>
      <c r="H418" s="5" t="n">
        <v>166</v>
      </c>
      <c r="I418" s="6" t="n">
        <v>3</v>
      </c>
      <c r="J418" s="6" t="n">
        <v>5.8</v>
      </c>
      <c r="K418" s="6" t="n">
        <v>10</v>
      </c>
      <c r="L418" s="6" t="n">
        <v>10</v>
      </c>
      <c r="M418" s="4" t="str">
        <f aca="false">IF(AND(K418="",L418=""),"No closed tickets",IF(K418="","MISSING in catalog",IF(L418="","No valid closed tickets",IF(AND(ABS(K418-L418)&gt;=$S$3,ABS(K418-L418)&gt;=$S$4*MAX(L418,1)),"FAR OFF","OK"))))</f>
        <v>OK</v>
      </c>
      <c r="N418" s="7" t="n">
        <f aca="false">D418/SUMIFS($D$2:$D$741,$B$2:$B$741,B418)</f>
        <v>0.000486596608480265</v>
      </c>
      <c r="O418" s="7" t="n">
        <f aca="false">SUMIFS($D$2:D418,$B$2:B418,B418)/SUMIFS($D$2:$D$741,$B$2:$B$741,B418)</f>
        <v>0.995424233097363</v>
      </c>
      <c r="P418" s="8" t="b">
        <f aca="false">O418-N418&lt;$S$2</f>
        <v>0</v>
      </c>
      <c r="Q418" s="2"/>
      <c r="R418" s="2"/>
      <c r="S418" s="2"/>
    </row>
    <row r="419" customFormat="false" ht="14.25" hidden="false" customHeight="false" outlineLevel="0" collapsed="false">
      <c r="A419" s="4" t="s">
        <v>482</v>
      </c>
      <c r="B419" s="4" t="s">
        <v>433</v>
      </c>
      <c r="C419" s="5" t="n">
        <v>1</v>
      </c>
      <c r="D419" s="5" t="n">
        <v>159</v>
      </c>
      <c r="E419" s="5" t="n">
        <v>59</v>
      </c>
      <c r="F419" s="5" t="n">
        <v>6</v>
      </c>
      <c r="G419" s="5" t="n">
        <v>5</v>
      </c>
      <c r="H419" s="5" t="n">
        <v>153</v>
      </c>
      <c r="I419" s="6" t="n">
        <v>3</v>
      </c>
      <c r="J419" s="6" t="n">
        <v>5.2</v>
      </c>
      <c r="K419" s="6" t="n">
        <v>12</v>
      </c>
      <c r="L419" s="6" t="n">
        <v>12</v>
      </c>
      <c r="M419" s="4" t="str">
        <f aca="false">IF(AND(K419="",L419=""),"No closed tickets",IF(K419="","MISSING in catalog",IF(L419="","No valid closed tickets",IF(AND(ABS(K419-L419)&gt;=$S$3,ABS(K419-L419)&gt;=$S$4*MAX(L419,1)),"FAR OFF","OK"))))</f>
        <v>OK</v>
      </c>
      <c r="N419" s="7" t="n">
        <f aca="false">D419/SUMIFS($D$2:$D$741,$B$2:$B$741,B419)</f>
        <v>0.000466077474387724</v>
      </c>
      <c r="O419" s="7" t="n">
        <f aca="false">SUMIFS($D$2:D419,$B$2:B419,B419)/SUMIFS($D$2:$D$741,$B$2:$B$741,B419)</f>
        <v>0.995890310571751</v>
      </c>
      <c r="P419" s="8" t="b">
        <f aca="false">O419-N419&lt;$S$2</f>
        <v>0</v>
      </c>
      <c r="Q419" s="2"/>
      <c r="R419" s="2"/>
      <c r="S419" s="2"/>
    </row>
    <row r="420" customFormat="false" ht="14.25" hidden="false" customHeight="false" outlineLevel="0" collapsed="false">
      <c r="A420" s="4" t="s">
        <v>483</v>
      </c>
      <c r="B420" s="4" t="s">
        <v>433</v>
      </c>
      <c r="C420" s="5" t="n">
        <v>2</v>
      </c>
      <c r="D420" s="5" t="n">
        <v>132</v>
      </c>
      <c r="E420" s="5" t="n">
        <v>0</v>
      </c>
      <c r="F420" s="5" t="n">
        <v>0</v>
      </c>
      <c r="G420" s="5" t="n">
        <v>0</v>
      </c>
      <c r="H420" s="5" t="n">
        <v>132</v>
      </c>
      <c r="I420" s="6" t="n">
        <v>4</v>
      </c>
      <c r="J420" s="6" t="n">
        <v>7.5</v>
      </c>
      <c r="K420" s="6" t="n">
        <v>12</v>
      </c>
      <c r="L420" s="6" t="n">
        <v>11.9</v>
      </c>
      <c r="M420" s="4" t="str">
        <f aca="false">IF(AND(K420="",L420=""),"No closed tickets",IF(K420="","MISSING in catalog",IF(L420="","No valid closed tickets",IF(AND(ABS(K420-L420)&gt;=$S$3,ABS(K420-L420)&gt;=$S$4*MAX(L420,1)),"FAR OFF","OK"))))</f>
        <v>OK</v>
      </c>
      <c r="N420" s="7" t="n">
        <f aca="false">D420/SUMIFS($D$2:$D$741,$B$2:$B$741,B420)</f>
        <v>0.000386932242887922</v>
      </c>
      <c r="O420" s="7" t="n">
        <f aca="false">SUMIFS($D$2:D420,$B$2:B420,B420)/SUMIFS($D$2:$D$741,$B$2:$B$741,B420)</f>
        <v>0.996277242814639</v>
      </c>
      <c r="P420" s="8" t="b">
        <f aca="false">O420-N420&lt;$S$2</f>
        <v>0</v>
      </c>
      <c r="Q420" s="2"/>
      <c r="R420" s="2"/>
      <c r="S420" s="2"/>
    </row>
    <row r="421" customFormat="false" ht="14.25" hidden="false" customHeight="false" outlineLevel="0" collapsed="false">
      <c r="A421" s="4" t="s">
        <v>484</v>
      </c>
      <c r="B421" s="4" t="s">
        <v>433</v>
      </c>
      <c r="C421" s="5" t="n">
        <v>2</v>
      </c>
      <c r="D421" s="5" t="n">
        <v>131</v>
      </c>
      <c r="E421" s="5" t="n">
        <v>0</v>
      </c>
      <c r="F421" s="5" t="n">
        <v>0</v>
      </c>
      <c r="G421" s="5" t="n">
        <v>0</v>
      </c>
      <c r="H421" s="5" t="n">
        <v>131</v>
      </c>
      <c r="I421" s="6" t="n">
        <v>3</v>
      </c>
      <c r="J421" s="6" t="n">
        <v>7.3</v>
      </c>
      <c r="K421" s="6" t="n">
        <v>15</v>
      </c>
      <c r="L421" s="6" t="n">
        <v>15</v>
      </c>
      <c r="M421" s="4" t="str">
        <f aca="false">IF(AND(K421="",L421=""),"No closed tickets",IF(K421="","MISSING in catalog",IF(L421="","No valid closed tickets",IF(AND(ABS(K421-L421)&gt;=$S$3,ABS(K421-L421)&gt;=$S$4*MAX(L421,1)),"FAR OFF","OK"))))</f>
        <v>OK</v>
      </c>
      <c r="N421" s="7" t="n">
        <f aca="false">D421/SUMIFS($D$2:$D$741,$B$2:$B$741,B421)</f>
        <v>0.000384000938017559</v>
      </c>
      <c r="O421" s="7" t="n">
        <f aca="false">SUMIFS($D$2:D421,$B$2:B421,B421)/SUMIFS($D$2:$D$741,$B$2:$B$741,B421)</f>
        <v>0.996661243752657</v>
      </c>
      <c r="P421" s="8" t="b">
        <f aca="false">O421-N421&lt;$S$2</f>
        <v>0</v>
      </c>
      <c r="Q421" s="2"/>
      <c r="R421" s="2"/>
      <c r="S421" s="2"/>
    </row>
    <row r="422" customFormat="false" ht="14.25" hidden="false" customHeight="false" outlineLevel="0" collapsed="false">
      <c r="A422" s="4" t="s">
        <v>485</v>
      </c>
      <c r="B422" s="4" t="s">
        <v>433</v>
      </c>
      <c r="C422" s="5" t="n">
        <v>2</v>
      </c>
      <c r="D422" s="5" t="n">
        <v>117</v>
      </c>
      <c r="E422" s="5" t="n">
        <v>0</v>
      </c>
      <c r="F422" s="5" t="n">
        <v>1</v>
      </c>
      <c r="G422" s="5" t="n">
        <v>1</v>
      </c>
      <c r="H422" s="5" t="n">
        <v>116</v>
      </c>
      <c r="I422" s="6" t="n">
        <v>1</v>
      </c>
      <c r="J422" s="6" t="n">
        <v>34.6</v>
      </c>
      <c r="K422" s="6" t="n">
        <v>150</v>
      </c>
      <c r="L422" s="6" t="n">
        <v>150.5</v>
      </c>
      <c r="M422" s="4" t="str">
        <f aca="false">IF(AND(K422="",L422=""),"No closed tickets",IF(K422="","MISSING in catalog",IF(L422="","No valid closed tickets",IF(AND(ABS(K422-L422)&gt;=$S$3,ABS(K422-L422)&gt;=$S$4*MAX(L422,1)),"FAR OFF","OK"))))</f>
        <v>OK</v>
      </c>
      <c r="N422" s="7" t="n">
        <f aca="false">D422/SUMIFS($D$2:$D$741,$B$2:$B$741,B422)</f>
        <v>0.000342962669832476</v>
      </c>
      <c r="O422" s="7" t="n">
        <f aca="false">SUMIFS($D$2:D422,$B$2:B422,B422)/SUMIFS($D$2:$D$741,$B$2:$B$741,B422)</f>
        <v>0.997004206422489</v>
      </c>
      <c r="P422" s="8" t="b">
        <f aca="false">O422-N422&lt;$S$2</f>
        <v>0</v>
      </c>
      <c r="Q422" s="2"/>
      <c r="R422" s="2"/>
      <c r="S422" s="2"/>
    </row>
    <row r="423" customFormat="false" ht="14.25" hidden="false" customHeight="false" outlineLevel="0" collapsed="false">
      <c r="A423" s="4" t="s">
        <v>486</v>
      </c>
      <c r="B423" s="4" t="s">
        <v>433</v>
      </c>
      <c r="C423" s="5" t="n">
        <v>1</v>
      </c>
      <c r="D423" s="5" t="n">
        <v>110</v>
      </c>
      <c r="E423" s="5" t="n">
        <v>55</v>
      </c>
      <c r="F423" s="5" t="n">
        <v>56</v>
      </c>
      <c r="G423" s="5" t="n">
        <v>54</v>
      </c>
      <c r="H423" s="5" t="n">
        <v>54</v>
      </c>
      <c r="I423" s="6" t="n">
        <v>26</v>
      </c>
      <c r="J423" s="6" t="n">
        <v>103.2</v>
      </c>
      <c r="K423" s="6" t="n">
        <v>329</v>
      </c>
      <c r="L423" s="6" t="n">
        <v>328.6</v>
      </c>
      <c r="M423" s="4" t="str">
        <f aca="false">IF(AND(K423="",L423=""),"No closed tickets",IF(K423="","MISSING in catalog",IF(L423="","No valid closed tickets",IF(AND(ABS(K423-L423)&gt;=$S$3,ABS(K423-L423)&gt;=$S$4*MAX(L423,1)),"FAR OFF","OK"))))</f>
        <v>OK</v>
      </c>
      <c r="N423" s="7" t="n">
        <f aca="false">D423/SUMIFS($D$2:$D$741,$B$2:$B$741,B423)</f>
        <v>0.000322443535739935</v>
      </c>
      <c r="O423" s="7" t="n">
        <f aca="false">SUMIFS($D$2:D423,$B$2:B423,B423)/SUMIFS($D$2:$D$741,$B$2:$B$741,B423)</f>
        <v>0.997326649958229</v>
      </c>
      <c r="P423" s="8" t="b">
        <f aca="false">O423-N423&lt;$S$2</f>
        <v>0</v>
      </c>
      <c r="Q423" s="2"/>
      <c r="R423" s="2"/>
      <c r="S423" s="2"/>
    </row>
    <row r="424" customFormat="false" ht="14.25" hidden="false" customHeight="false" outlineLevel="0" collapsed="false">
      <c r="A424" s="4" t="s">
        <v>487</v>
      </c>
      <c r="B424" s="4" t="s">
        <v>433</v>
      </c>
      <c r="C424" s="5" t="n">
        <v>2</v>
      </c>
      <c r="D424" s="5" t="n">
        <v>103</v>
      </c>
      <c r="E424" s="5" t="n">
        <v>23</v>
      </c>
      <c r="F424" s="5" t="n">
        <v>18</v>
      </c>
      <c r="G424" s="5" t="n">
        <v>17</v>
      </c>
      <c r="H424" s="5" t="n">
        <v>85</v>
      </c>
      <c r="I424" s="6" t="n">
        <v>2</v>
      </c>
      <c r="J424" s="6" t="n">
        <v>33</v>
      </c>
      <c r="K424" s="6" t="n">
        <v>26</v>
      </c>
      <c r="L424" s="6" t="n">
        <v>26.2</v>
      </c>
      <c r="M424" s="4" t="str">
        <f aca="false">IF(AND(K424="",L424=""),"No closed tickets",IF(K424="","MISSING in catalog",IF(L424="","No valid closed tickets",IF(AND(ABS(K424-L424)&gt;=$S$3,ABS(K424-L424)&gt;=$S$4*MAX(L424,1)),"FAR OFF","OK"))))</f>
        <v>OK</v>
      </c>
      <c r="N424" s="7" t="n">
        <f aca="false">D424/SUMIFS($D$2:$D$741,$B$2:$B$741,B424)</f>
        <v>0.000301924401647393</v>
      </c>
      <c r="O424" s="7" t="n">
        <f aca="false">SUMIFS($D$2:D424,$B$2:B424,B424)/SUMIFS($D$2:$D$741,$B$2:$B$741,B424)</f>
        <v>0.997628574359876</v>
      </c>
      <c r="P424" s="8" t="b">
        <f aca="false">O424-N424&lt;$S$2</f>
        <v>0</v>
      </c>
      <c r="Q424" s="2"/>
      <c r="R424" s="2"/>
      <c r="S424" s="2"/>
    </row>
    <row r="425" customFormat="false" ht="14.25" hidden="false" customHeight="false" outlineLevel="0" collapsed="false">
      <c r="A425" s="4" t="s">
        <v>488</v>
      </c>
      <c r="B425" s="4" t="s">
        <v>433</v>
      </c>
      <c r="C425" s="5" t="n">
        <v>2</v>
      </c>
      <c r="D425" s="5" t="n">
        <v>98</v>
      </c>
      <c r="E425" s="5" t="n">
        <v>27</v>
      </c>
      <c r="F425" s="5" t="n">
        <v>1</v>
      </c>
      <c r="G425" s="5" t="n">
        <v>1</v>
      </c>
      <c r="H425" s="5" t="n">
        <v>97</v>
      </c>
      <c r="I425" s="6" t="n">
        <v>1</v>
      </c>
      <c r="J425" s="6" t="n">
        <v>4.7</v>
      </c>
      <c r="K425" s="6" t="n">
        <v>17</v>
      </c>
      <c r="L425" s="6" t="n">
        <v>17.4</v>
      </c>
      <c r="M425" s="4" t="str">
        <f aca="false">IF(AND(K425="",L425=""),"No closed tickets",IF(K425="","MISSING in catalog",IF(L425="","No valid closed tickets",IF(AND(ABS(K425-L425)&gt;=$S$3,ABS(K425-L425)&gt;=$S$4*MAX(L425,1)),"FAR OFF","OK"))))</f>
        <v>OK</v>
      </c>
      <c r="N425" s="7" t="n">
        <f aca="false">D425/SUMIFS($D$2:$D$741,$B$2:$B$741,B425)</f>
        <v>0.000287267877295578</v>
      </c>
      <c r="O425" s="7" t="n">
        <f aca="false">SUMIFS($D$2:D425,$B$2:B425,B425)/SUMIFS($D$2:$D$741,$B$2:$B$741,B425)</f>
        <v>0.997915842237172</v>
      </c>
      <c r="P425" s="8" t="b">
        <f aca="false">O425-N425&lt;$S$2</f>
        <v>0</v>
      </c>
      <c r="Q425" s="2"/>
      <c r="R425" s="2"/>
      <c r="S425" s="2"/>
    </row>
    <row r="426" customFormat="false" ht="14.25" hidden="false" customHeight="false" outlineLevel="0" collapsed="false">
      <c r="A426" s="4" t="s">
        <v>489</v>
      </c>
      <c r="B426" s="4" t="s">
        <v>433</v>
      </c>
      <c r="C426" s="5" t="n">
        <v>1</v>
      </c>
      <c r="D426" s="5" t="n">
        <v>95</v>
      </c>
      <c r="E426" s="5" t="n">
        <v>23</v>
      </c>
      <c r="F426" s="5" t="n">
        <v>70</v>
      </c>
      <c r="G426" s="5" t="n">
        <v>65</v>
      </c>
      <c r="H426" s="5" t="n">
        <v>25</v>
      </c>
      <c r="I426" s="6" t="n">
        <v>143</v>
      </c>
      <c r="J426" s="6" t="n">
        <v>208.9</v>
      </c>
      <c r="K426" s="6" t="n">
        <v>595</v>
      </c>
      <c r="L426" s="6" t="n">
        <v>595</v>
      </c>
      <c r="M426" s="4" t="str">
        <f aca="false">IF(AND(K426="",L426=""),"No closed tickets",IF(K426="","MISSING in catalog",IF(L426="","No valid closed tickets",IF(AND(ABS(K426-L426)&gt;=$S$3,ABS(K426-L426)&gt;=$S$4*MAX(L426,1)),"FAR OFF","OK"))))</f>
        <v>OK</v>
      </c>
      <c r="N426" s="7" t="n">
        <f aca="false">D426/SUMIFS($D$2:$D$741,$B$2:$B$741,B426)</f>
        <v>0.000278473962684489</v>
      </c>
      <c r="O426" s="7" t="n">
        <f aca="false">SUMIFS($D$2:D426,$B$2:B426,B426)/SUMIFS($D$2:$D$741,$B$2:$B$741,B426)</f>
        <v>0.998194316199856</v>
      </c>
      <c r="P426" s="8" t="b">
        <f aca="false">O426-N426&lt;$S$2</f>
        <v>0</v>
      </c>
      <c r="Q426" s="2"/>
      <c r="R426" s="2"/>
      <c r="S426" s="2"/>
    </row>
    <row r="427" customFormat="false" ht="14.25" hidden="false" customHeight="false" outlineLevel="0" collapsed="false">
      <c r="A427" s="4" t="s">
        <v>490</v>
      </c>
      <c r="B427" s="4" t="s">
        <v>433</v>
      </c>
      <c r="C427" s="5" t="n">
        <v>2</v>
      </c>
      <c r="D427" s="5" t="n">
        <v>95</v>
      </c>
      <c r="E427" s="5" t="n">
        <v>0</v>
      </c>
      <c r="F427" s="5" t="n">
        <v>0</v>
      </c>
      <c r="G427" s="5" t="n">
        <v>0</v>
      </c>
      <c r="H427" s="5" t="n">
        <v>95</v>
      </c>
      <c r="I427" s="6" t="n">
        <v>1</v>
      </c>
      <c r="J427" s="6" t="n">
        <v>13.6</v>
      </c>
      <c r="K427" s="6" t="n">
        <v>32</v>
      </c>
      <c r="L427" s="6" t="n">
        <v>32.4</v>
      </c>
      <c r="M427" s="4" t="str">
        <f aca="false">IF(AND(K427="",L427=""),"No closed tickets",IF(K427="","MISSING in catalog",IF(L427="","No valid closed tickets",IF(AND(ABS(K427-L427)&gt;=$S$3,ABS(K427-L427)&gt;=$S$4*MAX(L427,1)),"FAR OFF","OK"))))</f>
        <v>OK</v>
      </c>
      <c r="N427" s="7" t="n">
        <f aca="false">D427/SUMIFS($D$2:$D$741,$B$2:$B$741,B427)</f>
        <v>0.000278473962684489</v>
      </c>
      <c r="O427" s="7" t="n">
        <f aca="false">SUMIFS($D$2:D427,$B$2:B427,B427)/SUMIFS($D$2:$D$741,$B$2:$B$741,B427)</f>
        <v>0.998472790162541</v>
      </c>
      <c r="P427" s="8" t="b">
        <f aca="false">O427-N427&lt;$S$2</f>
        <v>0</v>
      </c>
      <c r="Q427" s="2"/>
      <c r="R427" s="2"/>
      <c r="S427" s="2"/>
    </row>
    <row r="428" customFormat="false" ht="14.25" hidden="false" customHeight="false" outlineLevel="0" collapsed="false">
      <c r="A428" s="4" t="s">
        <v>491</v>
      </c>
      <c r="B428" s="4" t="s">
        <v>433</v>
      </c>
      <c r="C428" s="5" t="n">
        <v>2</v>
      </c>
      <c r="D428" s="5" t="n">
        <v>78</v>
      </c>
      <c r="E428" s="5" t="n">
        <v>0</v>
      </c>
      <c r="F428" s="5" t="n">
        <v>2</v>
      </c>
      <c r="G428" s="5" t="n">
        <v>2</v>
      </c>
      <c r="H428" s="5" t="n">
        <v>76</v>
      </c>
      <c r="I428" s="6" t="n">
        <v>2</v>
      </c>
      <c r="J428" s="6" t="n">
        <v>7.9</v>
      </c>
      <c r="K428" s="6" t="n">
        <v>26</v>
      </c>
      <c r="L428" s="6" t="n">
        <v>26.5</v>
      </c>
      <c r="M428" s="4" t="str">
        <f aca="false">IF(AND(K428="",L428=""),"No closed tickets",IF(K428="","MISSING in catalog",IF(L428="","No valid closed tickets",IF(AND(ABS(K428-L428)&gt;=$S$3,ABS(K428-L428)&gt;=$S$4*MAX(L428,1)),"FAR OFF","OK"))))</f>
        <v>OK</v>
      </c>
      <c r="N428" s="7" t="n">
        <f aca="false">D428/SUMIFS($D$2:$D$741,$B$2:$B$741,B428)</f>
        <v>0.000228641779888317</v>
      </c>
      <c r="O428" s="7" t="n">
        <f aca="false">SUMIFS($D$2:D428,$B$2:B428,B428)/SUMIFS($D$2:$D$741,$B$2:$B$741,B428)</f>
        <v>0.998701431942429</v>
      </c>
      <c r="P428" s="8" t="b">
        <f aca="false">O428-N428&lt;$S$2</f>
        <v>0</v>
      </c>
      <c r="Q428" s="2"/>
      <c r="R428" s="2"/>
      <c r="S428" s="2"/>
    </row>
    <row r="429" customFormat="false" ht="14.25" hidden="false" customHeight="false" outlineLevel="0" collapsed="false">
      <c r="A429" s="4" t="s">
        <v>492</v>
      </c>
      <c r="B429" s="4" t="s">
        <v>433</v>
      </c>
      <c r="C429" s="5" t="n">
        <v>1</v>
      </c>
      <c r="D429" s="5" t="n">
        <v>74</v>
      </c>
      <c r="E429" s="5" t="n">
        <v>67</v>
      </c>
      <c r="F429" s="5" t="n">
        <v>12</v>
      </c>
      <c r="G429" s="5" t="n">
        <v>0</v>
      </c>
      <c r="H429" s="5" t="n">
        <v>62</v>
      </c>
      <c r="I429" s="6" t="n">
        <v>27</v>
      </c>
      <c r="J429" s="6" t="n">
        <v>37.6</v>
      </c>
      <c r="K429" s="6" t="n">
        <v>56</v>
      </c>
      <c r="L429" s="6" t="n">
        <v>55.8</v>
      </c>
      <c r="M429" s="4" t="str">
        <f aca="false">IF(AND(K429="",L429=""),"No closed tickets",IF(K429="","MISSING in catalog",IF(L429="","No valid closed tickets",IF(AND(ABS(K429-L429)&gt;=$S$3,ABS(K429-L429)&gt;=$S$4*MAX(L429,1)),"FAR OFF","OK"))))</f>
        <v>OK</v>
      </c>
      <c r="N429" s="7" t="n">
        <f aca="false">D429/SUMIFS($D$2:$D$741,$B$2:$B$741,B429)</f>
        <v>0.000216916560406865</v>
      </c>
      <c r="O429" s="7" t="n">
        <f aca="false">SUMIFS($D$2:D429,$B$2:B429,B429)/SUMIFS($D$2:$D$741,$B$2:$B$741,B429)</f>
        <v>0.998918348502836</v>
      </c>
      <c r="P429" s="8" t="b">
        <f aca="false">O429-N429&lt;$S$2</f>
        <v>0</v>
      </c>
      <c r="Q429" s="2"/>
      <c r="R429" s="2"/>
      <c r="S429" s="2"/>
    </row>
    <row r="430" customFormat="false" ht="14.25" hidden="false" customHeight="false" outlineLevel="0" collapsed="false">
      <c r="A430" s="4" t="s">
        <v>493</v>
      </c>
      <c r="B430" s="4" t="s">
        <v>433</v>
      </c>
      <c r="C430" s="5" t="n">
        <v>2</v>
      </c>
      <c r="D430" s="5" t="n">
        <v>72</v>
      </c>
      <c r="E430" s="5" t="n">
        <v>19</v>
      </c>
      <c r="F430" s="5" t="n">
        <v>3</v>
      </c>
      <c r="G430" s="5" t="n">
        <v>1</v>
      </c>
      <c r="H430" s="5" t="n">
        <v>69</v>
      </c>
      <c r="I430" s="6" t="n">
        <v>7</v>
      </c>
      <c r="J430" s="6" t="n">
        <v>16.3</v>
      </c>
      <c r="K430" s="6" t="n">
        <v>21</v>
      </c>
      <c r="L430" s="6" t="n">
        <v>21.2</v>
      </c>
      <c r="M430" s="4" t="str">
        <f aca="false">IF(AND(K430="",L430=""),"No closed tickets",IF(K430="","MISSING in catalog",IF(L430="","No valid closed tickets",IF(AND(ABS(K430-L430)&gt;=$S$3,ABS(K430-L430)&gt;=$S$4*MAX(L430,1)),"FAR OFF","OK"))))</f>
        <v>OK</v>
      </c>
      <c r="N430" s="7" t="n">
        <f aca="false">D430/SUMIFS($D$2:$D$741,$B$2:$B$741,B430)</f>
        <v>0.000211053950666139</v>
      </c>
      <c r="O430" s="7" t="n">
        <f aca="false">SUMIFS($D$2:D430,$B$2:B430,B430)/SUMIFS($D$2:$D$741,$B$2:$B$741,B430)</f>
        <v>0.999129402453502</v>
      </c>
      <c r="P430" s="8" t="b">
        <f aca="false">O430-N430&lt;$S$2</f>
        <v>0</v>
      </c>
      <c r="Q430" s="2"/>
      <c r="R430" s="2"/>
      <c r="S430" s="2"/>
    </row>
    <row r="431" customFormat="false" ht="14.25" hidden="false" customHeight="false" outlineLevel="0" collapsed="false">
      <c r="A431" s="4" t="s">
        <v>494</v>
      </c>
      <c r="B431" s="4" t="s">
        <v>433</v>
      </c>
      <c r="C431" s="5" t="n">
        <v>1</v>
      </c>
      <c r="D431" s="5" t="n">
        <v>69</v>
      </c>
      <c r="E431" s="5" t="n">
        <v>20</v>
      </c>
      <c r="F431" s="5" t="n">
        <v>10</v>
      </c>
      <c r="G431" s="5" t="n">
        <v>9</v>
      </c>
      <c r="H431" s="5" t="n">
        <v>59</v>
      </c>
      <c r="I431" s="6" t="n">
        <v>4</v>
      </c>
      <c r="J431" s="6" t="n">
        <v>58.8</v>
      </c>
      <c r="K431" s="6" t="n">
        <v>220</v>
      </c>
      <c r="L431" s="6" t="n">
        <v>220.2</v>
      </c>
      <c r="M431" s="4" t="str">
        <f aca="false">IF(AND(K431="",L431=""),"No closed tickets",IF(K431="","MISSING in catalog",IF(L431="","No valid closed tickets",IF(AND(ABS(K431-L431)&gt;=$S$3,ABS(K431-L431)&gt;=$S$4*MAX(L431,1)),"FAR OFF","OK"))))</f>
        <v>OK</v>
      </c>
      <c r="N431" s="7" t="n">
        <f aca="false">D431/SUMIFS($D$2:$D$741,$B$2:$B$741,B431)</f>
        <v>0.00020226003605505</v>
      </c>
      <c r="O431" s="7" t="n">
        <f aca="false">SUMIFS($D$2:D431,$B$2:B431,B431)/SUMIFS($D$2:$D$741,$B$2:$B$741,B431)</f>
        <v>0.999331662489557</v>
      </c>
      <c r="P431" s="8" t="b">
        <f aca="false">O431-N431&lt;$S$2</f>
        <v>0</v>
      </c>
      <c r="Q431" s="2"/>
      <c r="R431" s="2"/>
      <c r="S431" s="2"/>
    </row>
    <row r="432" customFormat="false" ht="14.25" hidden="false" customHeight="false" outlineLevel="0" collapsed="false">
      <c r="A432" s="4" t="s">
        <v>495</v>
      </c>
      <c r="B432" s="4" t="s">
        <v>433</v>
      </c>
      <c r="C432" s="5" t="n">
        <v>2</v>
      </c>
      <c r="D432" s="5" t="n">
        <v>61</v>
      </c>
      <c r="E432" s="5" t="n">
        <v>5</v>
      </c>
      <c r="F432" s="5" t="n">
        <v>0</v>
      </c>
      <c r="G432" s="5" t="n">
        <v>0</v>
      </c>
      <c r="H432" s="5" t="n">
        <v>61</v>
      </c>
      <c r="I432" s="6" t="n">
        <v>0</v>
      </c>
      <c r="J432" s="6" t="n">
        <v>6.3</v>
      </c>
      <c r="K432" s="6" t="n">
        <v>34</v>
      </c>
      <c r="L432" s="6" t="n">
        <v>34</v>
      </c>
      <c r="M432" s="4" t="str">
        <f aca="false">IF(AND(K432="",L432=""),"No closed tickets",IF(K432="","MISSING in catalog",IF(L432="","No valid closed tickets",IF(AND(ABS(K432-L432)&gt;=$S$3,ABS(K432-L432)&gt;=$S$4*MAX(L432,1)),"FAR OFF","OK"))))</f>
        <v>OK</v>
      </c>
      <c r="N432" s="7" t="n">
        <f aca="false">D432/SUMIFS($D$2:$D$741,$B$2:$B$741,B432)</f>
        <v>0.000178809597092146</v>
      </c>
      <c r="O432" s="7" t="n">
        <f aca="false">SUMIFS($D$2:D432,$B$2:B432,B432)/SUMIFS($D$2:$D$741,$B$2:$B$741,B432)</f>
        <v>0.999510472086649</v>
      </c>
      <c r="P432" s="8" t="b">
        <f aca="false">O432-N432&lt;$S$2</f>
        <v>0</v>
      </c>
      <c r="Q432" s="2"/>
      <c r="R432" s="2"/>
      <c r="S432" s="2"/>
    </row>
    <row r="433" customFormat="false" ht="14.25" hidden="false" customHeight="false" outlineLevel="0" collapsed="false">
      <c r="A433" s="4" t="s">
        <v>496</v>
      </c>
      <c r="B433" s="4" t="s">
        <v>433</v>
      </c>
      <c r="C433" s="5" t="n">
        <v>2</v>
      </c>
      <c r="D433" s="5" t="n">
        <v>61</v>
      </c>
      <c r="E433" s="5" t="n">
        <v>11</v>
      </c>
      <c r="F433" s="5" t="n">
        <v>4</v>
      </c>
      <c r="G433" s="5" t="n">
        <v>4</v>
      </c>
      <c r="H433" s="5" t="n">
        <v>57</v>
      </c>
      <c r="I433" s="6" t="n">
        <v>6</v>
      </c>
      <c r="J433" s="6" t="n">
        <v>46</v>
      </c>
      <c r="K433" s="6" t="n">
        <v>181</v>
      </c>
      <c r="L433" s="6" t="n">
        <v>180.8</v>
      </c>
      <c r="M433" s="4" t="str">
        <f aca="false">IF(AND(K433="",L433=""),"No closed tickets",IF(K433="","MISSING in catalog",IF(L433="","No valid closed tickets",IF(AND(ABS(K433-L433)&gt;=$S$3,ABS(K433-L433)&gt;=$S$4*MAX(L433,1)),"FAR OFF","OK"))))</f>
        <v>OK</v>
      </c>
      <c r="N433" s="7" t="n">
        <f aca="false">D433/SUMIFS($D$2:$D$741,$B$2:$B$741,B433)</f>
        <v>0.000178809597092146</v>
      </c>
      <c r="O433" s="7" t="n">
        <f aca="false">SUMIFS($D$2:D433,$B$2:B433,B433)/SUMIFS($D$2:$D$741,$B$2:$B$741,B433)</f>
        <v>0.999689281683742</v>
      </c>
      <c r="P433" s="8" t="b">
        <f aca="false">O433-N433&lt;$S$2</f>
        <v>0</v>
      </c>
      <c r="Q433" s="2"/>
      <c r="R433" s="2"/>
      <c r="S433" s="2"/>
    </row>
    <row r="434" customFormat="false" ht="14.25" hidden="false" customHeight="false" outlineLevel="0" collapsed="false">
      <c r="A434" s="4" t="s">
        <v>497</v>
      </c>
      <c r="B434" s="4" t="s">
        <v>433</v>
      </c>
      <c r="C434" s="5" t="n">
        <v>1</v>
      </c>
      <c r="D434" s="5" t="n">
        <v>56</v>
      </c>
      <c r="E434" s="5" t="n">
        <v>56</v>
      </c>
      <c r="F434" s="5" t="n">
        <v>38</v>
      </c>
      <c r="G434" s="5" t="n">
        <v>0</v>
      </c>
      <c r="H434" s="5" t="n">
        <v>18</v>
      </c>
      <c r="I434" s="6" t="n">
        <v>0</v>
      </c>
      <c r="J434" s="6" t="n">
        <v>0.1</v>
      </c>
      <c r="K434" s="6" t="n">
        <v>0</v>
      </c>
      <c r="L434" s="6" t="n">
        <v>0</v>
      </c>
      <c r="M434" s="4" t="str">
        <f aca="false">IF(AND(K434="",L434=""),"No closed tickets",IF(K434="","MISSING in catalog",IF(L434="","No valid closed tickets",IF(AND(ABS(K434-L434)&gt;=$S$3,ABS(K434-L434)&gt;=$S$4*MAX(L434,1)),"FAR OFF","OK"))))</f>
        <v>OK</v>
      </c>
      <c r="N434" s="7" t="n">
        <f aca="false">D434/SUMIFS($D$2:$D$741,$B$2:$B$741,B434)</f>
        <v>0.00016415307274033</v>
      </c>
      <c r="O434" s="7" t="n">
        <f aca="false">SUMIFS($D$2:D434,$B$2:B434,B434)/SUMIFS($D$2:$D$741,$B$2:$B$741,B434)</f>
        <v>0.999853434756482</v>
      </c>
      <c r="P434" s="8" t="b">
        <f aca="false">O434-N434&lt;$S$2</f>
        <v>0</v>
      </c>
      <c r="Q434" s="2"/>
      <c r="R434" s="2"/>
      <c r="S434" s="2"/>
    </row>
    <row r="435" customFormat="false" ht="14.25" hidden="false" customHeight="false" outlineLevel="0" collapsed="false">
      <c r="A435" s="4" t="s">
        <v>498</v>
      </c>
      <c r="B435" s="4" t="s">
        <v>433</v>
      </c>
      <c r="C435" s="5" t="n">
        <v>1</v>
      </c>
      <c r="D435" s="5" t="n">
        <v>14</v>
      </c>
      <c r="E435" s="5" t="n">
        <v>1</v>
      </c>
      <c r="F435" s="5" t="n">
        <v>1</v>
      </c>
      <c r="G435" s="5" t="n">
        <v>0</v>
      </c>
      <c r="H435" s="5" t="n">
        <v>13</v>
      </c>
      <c r="I435" s="6" t="n">
        <v>1</v>
      </c>
      <c r="J435" s="6" t="n">
        <v>2.4</v>
      </c>
      <c r="K435" s="6" t="n">
        <v>4</v>
      </c>
      <c r="L435" s="6" t="n">
        <v>4</v>
      </c>
      <c r="M435" s="4" t="str">
        <f aca="false">IF(AND(K435="",L435=""),"No closed tickets",IF(K435="","MISSING in catalog",IF(L435="","No valid closed tickets",IF(AND(ABS(K435-L435)&gt;=$S$3,ABS(K435-L435)&gt;=$S$4*MAX(L435,1)),"FAR OFF","OK"))))</f>
        <v>OK</v>
      </c>
      <c r="N435" s="7" t="n">
        <f aca="false">D435/SUMIFS($D$2:$D$741,$B$2:$B$741,B435)</f>
        <v>4.10382681850826E-005</v>
      </c>
      <c r="O435" s="7" t="n">
        <f aca="false">SUMIFS($D$2:D435,$B$2:B435,B435)/SUMIFS($D$2:$D$741,$B$2:$B$741,B435)</f>
        <v>0.999894473024667</v>
      </c>
      <c r="P435" s="8" t="b">
        <f aca="false">O435-N435&lt;$S$2</f>
        <v>0</v>
      </c>
      <c r="Q435" s="2"/>
      <c r="R435" s="2"/>
      <c r="S435" s="2"/>
    </row>
    <row r="436" customFormat="false" ht="14.25" hidden="false" customHeight="false" outlineLevel="0" collapsed="false">
      <c r="A436" s="4" t="s">
        <v>499</v>
      </c>
      <c r="B436" s="4" t="s">
        <v>433</v>
      </c>
      <c r="C436" s="5" t="n">
        <v>1</v>
      </c>
      <c r="D436" s="5" t="n">
        <v>14</v>
      </c>
      <c r="E436" s="5" t="n">
        <v>14</v>
      </c>
      <c r="F436" s="5" t="n">
        <v>10</v>
      </c>
      <c r="G436" s="5" t="n">
        <v>0</v>
      </c>
      <c r="H436" s="5" t="n">
        <v>4</v>
      </c>
      <c r="I436" s="6" t="n">
        <v>0</v>
      </c>
      <c r="J436" s="6" t="n">
        <v>0</v>
      </c>
      <c r="K436" s="6" t="n">
        <v>0</v>
      </c>
      <c r="L436" s="6" t="n">
        <v>0</v>
      </c>
      <c r="M436" s="4" t="str">
        <f aca="false">IF(AND(K436="",L436=""),"No closed tickets",IF(K436="","MISSING in catalog",IF(L436="","No valid closed tickets",IF(AND(ABS(K436-L436)&gt;=$S$3,ABS(K436-L436)&gt;=$S$4*MAX(L436,1)),"FAR OFF","OK"))))</f>
        <v>OK</v>
      </c>
      <c r="N436" s="7" t="n">
        <f aca="false">D436/SUMIFS($D$2:$D$741,$B$2:$B$741,B436)</f>
        <v>4.10382681850826E-005</v>
      </c>
      <c r="O436" s="7" t="n">
        <f aca="false">SUMIFS($D$2:D436,$B$2:B436,B436)/SUMIFS($D$2:$D$741,$B$2:$B$741,B436)</f>
        <v>0.999935511292852</v>
      </c>
      <c r="P436" s="8" t="b">
        <f aca="false">O436-N436&lt;$S$2</f>
        <v>0</v>
      </c>
      <c r="Q436" s="2"/>
      <c r="R436" s="2"/>
      <c r="S436" s="2"/>
    </row>
    <row r="437" customFormat="false" ht="14.25" hidden="false" customHeight="false" outlineLevel="0" collapsed="false">
      <c r="A437" s="4" t="s">
        <v>500</v>
      </c>
      <c r="B437" s="4" t="s">
        <v>433</v>
      </c>
      <c r="C437" s="5" t="n">
        <v>2</v>
      </c>
      <c r="D437" s="5" t="n">
        <v>10</v>
      </c>
      <c r="E437" s="5" t="n">
        <v>0</v>
      </c>
      <c r="F437" s="5" t="n">
        <v>0</v>
      </c>
      <c r="G437" s="5" t="n">
        <v>0</v>
      </c>
      <c r="H437" s="5" t="n">
        <v>10</v>
      </c>
      <c r="I437" s="6" t="n">
        <v>2</v>
      </c>
      <c r="J437" s="6" t="n">
        <v>13.8</v>
      </c>
      <c r="K437" s="6" t="n">
        <v>30</v>
      </c>
      <c r="L437" s="6" t="n">
        <v>30.4</v>
      </c>
      <c r="M437" s="4" t="str">
        <f aca="false">IF(AND(K437="",L437=""),"No closed tickets",IF(K437="","MISSING in catalog",IF(L437="","No valid closed tickets",IF(AND(ABS(K437-L437)&gt;=$S$3,ABS(K437-L437)&gt;=$S$4*MAX(L437,1)),"FAR OFF","OK"))))</f>
        <v>OK</v>
      </c>
      <c r="N437" s="7" t="n">
        <f aca="false">D437/SUMIFS($D$2:$D$741,$B$2:$B$741,B437)</f>
        <v>2.93130487036304E-005</v>
      </c>
      <c r="O437" s="7" t="n">
        <f aca="false">SUMIFS($D$2:D437,$B$2:B437,B437)/SUMIFS($D$2:$D$741,$B$2:$B$741,B437)</f>
        <v>0.999964824341556</v>
      </c>
      <c r="P437" s="8" t="b">
        <f aca="false">O437-N437&lt;$S$2</f>
        <v>0</v>
      </c>
      <c r="Q437" s="2"/>
      <c r="R437" s="2"/>
      <c r="S437" s="2"/>
    </row>
    <row r="438" customFormat="false" ht="14.25" hidden="false" customHeight="false" outlineLevel="0" collapsed="false">
      <c r="A438" s="4" t="s">
        <v>501</v>
      </c>
      <c r="B438" s="4" t="s">
        <v>433</v>
      </c>
      <c r="C438" s="5" t="n">
        <v>2</v>
      </c>
      <c r="D438" s="5" t="n">
        <v>7</v>
      </c>
      <c r="E438" s="5" t="n">
        <v>0</v>
      </c>
      <c r="F438" s="5" t="n">
        <v>0</v>
      </c>
      <c r="G438" s="5" t="n">
        <v>0</v>
      </c>
      <c r="H438" s="5" t="n">
        <v>7</v>
      </c>
      <c r="I438" s="6" t="n">
        <v>25</v>
      </c>
      <c r="J438" s="6" t="n">
        <v>33.7</v>
      </c>
      <c r="K438" s="6" t="n">
        <v>80</v>
      </c>
      <c r="L438" s="6" t="n">
        <v>80</v>
      </c>
      <c r="M438" s="4" t="str">
        <f aca="false">IF(AND(K438="",L438=""),"No closed tickets",IF(K438="","MISSING in catalog",IF(L438="","No valid closed tickets",IF(AND(ABS(K438-L438)&gt;=$S$3,ABS(K438-L438)&gt;=$S$4*MAX(L438,1)),"FAR OFF","OK"))))</f>
        <v>OK</v>
      </c>
      <c r="N438" s="7" t="n">
        <f aca="false">D438/SUMIFS($D$2:$D$741,$B$2:$B$741,B438)</f>
        <v>2.05191340925413E-005</v>
      </c>
      <c r="O438" s="7" t="n">
        <f aca="false">SUMIFS($D$2:D438,$B$2:B438,B438)/SUMIFS($D$2:$D$741,$B$2:$B$741,B438)</f>
        <v>0.999985343475648</v>
      </c>
      <c r="P438" s="8" t="b">
        <f aca="false">O438-N438&lt;$S$2</f>
        <v>0</v>
      </c>
      <c r="Q438" s="2"/>
      <c r="R438" s="2"/>
      <c r="S438" s="2"/>
    </row>
    <row r="439" customFormat="false" ht="14.25" hidden="false" customHeight="false" outlineLevel="0" collapsed="false">
      <c r="A439" s="4" t="s">
        <v>502</v>
      </c>
      <c r="B439" s="4" t="s">
        <v>433</v>
      </c>
      <c r="C439" s="5" t="n">
        <v>1</v>
      </c>
      <c r="D439" s="5" t="n">
        <v>5</v>
      </c>
      <c r="E439" s="5" t="n">
        <v>0</v>
      </c>
      <c r="F439" s="5" t="n">
        <v>0</v>
      </c>
      <c r="G439" s="5" t="n">
        <v>0</v>
      </c>
      <c r="H439" s="5" t="n">
        <v>5</v>
      </c>
      <c r="I439" s="6" t="n">
        <v>2</v>
      </c>
      <c r="J439" s="6" t="n">
        <v>12</v>
      </c>
      <c r="K439" s="6" t="n">
        <v>34</v>
      </c>
      <c r="L439" s="6" t="n">
        <v>34.2</v>
      </c>
      <c r="M439" s="4" t="str">
        <f aca="false">IF(AND(K439="",L439=""),"No closed tickets",IF(K439="","MISSING in catalog",IF(L439="","No valid closed tickets",IF(AND(ABS(K439-L439)&gt;=$S$3,ABS(K439-L439)&gt;=$S$4*MAX(L439,1)),"FAR OFF","OK"))))</f>
        <v>OK</v>
      </c>
      <c r="N439" s="7" t="n">
        <f aca="false">D439/SUMIFS($D$2:$D$741,$B$2:$B$741,B439)</f>
        <v>1.46565243518152E-005</v>
      </c>
      <c r="O439" s="7" t="n">
        <f aca="false">SUMIFS($D$2:D439,$B$2:B439,B439)/SUMIFS($D$2:$D$741,$B$2:$B$741,B439)</f>
        <v>1</v>
      </c>
      <c r="P439" s="8" t="b">
        <f aca="false">O439-N439&lt;$S$2</f>
        <v>0</v>
      </c>
      <c r="Q439" s="2"/>
      <c r="R439" s="2"/>
      <c r="S439" s="2"/>
    </row>
    <row r="440" customFormat="false" ht="14.25" hidden="false" customHeight="false" outlineLevel="0" collapsed="false">
      <c r="A440" s="10" t="s">
        <v>503</v>
      </c>
      <c r="B440" s="10" t="s">
        <v>504</v>
      </c>
      <c r="C440" s="11" t="n">
        <v>1</v>
      </c>
      <c r="D440" s="11" t="n">
        <v>92</v>
      </c>
      <c r="E440" s="11" t="n">
        <v>21</v>
      </c>
      <c r="F440" s="11" t="n">
        <v>2</v>
      </c>
      <c r="G440" s="11" t="n">
        <v>0</v>
      </c>
      <c r="H440" s="11" t="n">
        <v>90</v>
      </c>
      <c r="I440" s="12" t="n">
        <v>1</v>
      </c>
      <c r="J440" s="12" t="n">
        <v>5.2</v>
      </c>
      <c r="K440" s="12" t="n">
        <v>5</v>
      </c>
      <c r="L440" s="12" t="n">
        <v>5.2</v>
      </c>
      <c r="M440" s="10" t="str">
        <f aca="false">IF(AND(K440="",L440=""),"No closed tickets",IF(K440="","MISSING in catalog",IF(L440="","No valid closed tickets",IF(AND(ABS(K440-L440)&gt;=$S$3,ABS(K440-L440)&gt;=$S$4*MAX(L440,1)),"FAR OFF","OK"))))</f>
        <v>OK</v>
      </c>
      <c r="N440" s="13" t="n">
        <f aca="false">D440/SUMIFS($D$2:$D$741,$B$2:$B$741,B440)</f>
        <v>1</v>
      </c>
      <c r="O440" s="13" t="n">
        <f aca="false">SUMIFS($D$2:D440,$B$2:B440,B440)/SUMIFS($D$2:$D$741,$B$2:$B$741,B440)</f>
        <v>1</v>
      </c>
      <c r="P440" s="14" t="b">
        <f aca="false">O440-N440&lt;$S$2</f>
        <v>1</v>
      </c>
      <c r="Q440" s="2"/>
      <c r="R440" s="2"/>
      <c r="S440" s="2"/>
    </row>
    <row r="441" customFormat="false" ht="14.25" hidden="false" customHeight="false" outlineLevel="0" collapsed="false">
      <c r="A441" s="10" t="s">
        <v>505</v>
      </c>
      <c r="B441" s="10" t="s">
        <v>506</v>
      </c>
      <c r="C441" s="11" t="n">
        <v>1</v>
      </c>
      <c r="D441" s="11" t="n">
        <v>42457</v>
      </c>
      <c r="E441" s="11" t="n">
        <v>12952</v>
      </c>
      <c r="F441" s="11" t="n">
        <v>1192</v>
      </c>
      <c r="G441" s="11" t="n">
        <v>471</v>
      </c>
      <c r="H441" s="11" t="n">
        <v>41265</v>
      </c>
      <c r="I441" s="12" t="n">
        <v>7</v>
      </c>
      <c r="J441" s="12" t="n">
        <v>16.6</v>
      </c>
      <c r="K441" s="12" t="n">
        <v>39</v>
      </c>
      <c r="L441" s="12" t="n">
        <v>39</v>
      </c>
      <c r="M441" s="10" t="str">
        <f aca="false">IF(AND(K441="",L441=""),"No closed tickets",IF(K441="","MISSING in catalog",IF(L441="","No valid closed tickets",IF(AND(ABS(K441-L441)&gt;=$S$3,ABS(K441-L441)&gt;=$S$4*MAX(L441,1)),"FAR OFF","OK"))))</f>
        <v>OK</v>
      </c>
      <c r="N441" s="13" t="n">
        <f aca="false">D441/SUMIFS($D$2:$D$741,$B$2:$B$741,B441)</f>
        <v>0.233712974023329</v>
      </c>
      <c r="O441" s="13" t="n">
        <f aca="false">SUMIFS($D$2:D441,$B$2:B441,B441)/SUMIFS($D$2:$D$741,$B$2:$B$741,B441)</f>
        <v>0.233712974023329</v>
      </c>
      <c r="P441" s="14" t="b">
        <f aca="false">O441-N441&lt;$S$2</f>
        <v>1</v>
      </c>
      <c r="Q441" s="2"/>
      <c r="R441" s="2"/>
      <c r="S441" s="2"/>
    </row>
    <row r="442" customFormat="false" ht="14.25" hidden="false" customHeight="false" outlineLevel="0" collapsed="false">
      <c r="A442" s="4" t="s">
        <v>507</v>
      </c>
      <c r="B442" s="4" t="s">
        <v>506</v>
      </c>
      <c r="C442" s="5" t="n">
        <v>2</v>
      </c>
      <c r="D442" s="5" t="n">
        <v>15018</v>
      </c>
      <c r="E442" s="5" t="n">
        <v>0</v>
      </c>
      <c r="F442" s="5" t="n">
        <v>24</v>
      </c>
      <c r="G442" s="5" t="n">
        <v>24</v>
      </c>
      <c r="H442" s="5" t="n">
        <v>14994</v>
      </c>
      <c r="I442" s="6" t="n">
        <v>4</v>
      </c>
      <c r="J442" s="6" t="n">
        <v>9.4</v>
      </c>
      <c r="K442" s="6" t="n">
        <v>20</v>
      </c>
      <c r="L442" s="6" t="n">
        <v>20</v>
      </c>
      <c r="M442" s="4" t="str">
        <f aca="false">IF(AND(K442="",L442=""),"No closed tickets",IF(K442="","MISSING in catalog",IF(L442="","No valid closed tickets",IF(AND(ABS(K442-L442)&gt;=$S$3,ABS(K442-L442)&gt;=$S$4*MAX(L442,1)),"FAR OFF","OK"))))</f>
        <v>OK</v>
      </c>
      <c r="N442" s="7" t="n">
        <f aca="false">D442/SUMIFS($D$2:$D$741,$B$2:$B$741,B442)</f>
        <v>0.0826695584681526</v>
      </c>
      <c r="O442" s="7" t="n">
        <f aca="false">SUMIFS($D$2:D442,$B$2:B442,B442)/SUMIFS($D$2:$D$741,$B$2:$B$741,B442)</f>
        <v>0.316382532491481</v>
      </c>
      <c r="P442" s="8" t="b">
        <f aca="false">O442-N442&lt;$S$2</f>
        <v>1</v>
      </c>
      <c r="Q442" s="2"/>
      <c r="R442" s="2"/>
      <c r="S442" s="2"/>
    </row>
    <row r="443" customFormat="false" ht="14.25" hidden="false" customHeight="false" outlineLevel="0" collapsed="false">
      <c r="A443" s="4" t="s">
        <v>508</v>
      </c>
      <c r="B443" s="4" t="s">
        <v>506</v>
      </c>
      <c r="C443" s="5" t="n">
        <v>1</v>
      </c>
      <c r="D443" s="5" t="n">
        <v>13340</v>
      </c>
      <c r="E443" s="5" t="n">
        <v>4233</v>
      </c>
      <c r="F443" s="5" t="n">
        <v>65</v>
      </c>
      <c r="G443" s="5" t="n">
        <v>26</v>
      </c>
      <c r="H443" s="5" t="n">
        <v>13275</v>
      </c>
      <c r="I443" s="6" t="n">
        <v>3</v>
      </c>
      <c r="J443" s="6" t="n">
        <v>5</v>
      </c>
      <c r="K443" s="6" t="n">
        <v>10</v>
      </c>
      <c r="L443" s="6" t="n">
        <v>10</v>
      </c>
      <c r="M443" s="4" t="str">
        <f aca="false">IF(AND(K443="",L443=""),"No closed tickets",IF(K443="","MISSING in catalog",IF(L443="","No valid closed tickets",IF(AND(ABS(K443-L443)&gt;=$S$3,ABS(K443-L443)&gt;=$S$4*MAX(L443,1)),"FAR OFF","OK"))))</f>
        <v>OK</v>
      </c>
      <c r="N443" s="7" t="n">
        <f aca="false">D443/SUMIFS($D$2:$D$741,$B$2:$B$741,B443)</f>
        <v>0.0734326747879315</v>
      </c>
      <c r="O443" s="7" t="n">
        <f aca="false">SUMIFS($D$2:D443,$B$2:B443,B443)/SUMIFS($D$2:$D$741,$B$2:$B$741,B443)</f>
        <v>0.389815207279413</v>
      </c>
      <c r="P443" s="8" t="b">
        <f aca="false">O443-N443&lt;$S$2</f>
        <v>1</v>
      </c>
      <c r="Q443" s="2"/>
      <c r="R443" s="2"/>
      <c r="S443" s="2"/>
    </row>
    <row r="444" customFormat="false" ht="14.25" hidden="false" customHeight="false" outlineLevel="0" collapsed="false">
      <c r="A444" s="4" t="s">
        <v>509</v>
      </c>
      <c r="B444" s="4" t="s">
        <v>506</v>
      </c>
      <c r="C444" s="5" t="n">
        <v>2</v>
      </c>
      <c r="D444" s="5" t="n">
        <v>11358</v>
      </c>
      <c r="E444" s="5" t="n">
        <v>2081</v>
      </c>
      <c r="F444" s="5" t="n">
        <v>21</v>
      </c>
      <c r="G444" s="5" t="n">
        <v>21</v>
      </c>
      <c r="H444" s="5" t="n">
        <v>11337</v>
      </c>
      <c r="I444" s="6" t="n">
        <v>0</v>
      </c>
      <c r="J444" s="6" t="n">
        <v>0</v>
      </c>
      <c r="K444" s="6" t="n">
        <v>0</v>
      </c>
      <c r="L444" s="6" t="n">
        <v>0</v>
      </c>
      <c r="M444" s="4" t="str">
        <f aca="false">IF(AND(K444="",L444=""),"No closed tickets",IF(K444="","MISSING in catalog",IF(L444="","No valid closed tickets",IF(AND(ABS(K444-L444)&gt;=$S$3,ABS(K444-L444)&gt;=$S$4*MAX(L444,1)),"FAR OFF","OK"))))</f>
        <v>OK</v>
      </c>
      <c r="N444" s="7" t="n">
        <f aca="false">D444/SUMIFS($D$2:$D$741,$B$2:$B$741,B444)</f>
        <v>0.0625223628366811</v>
      </c>
      <c r="O444" s="7" t="n">
        <f aca="false">SUMIFS($D$2:D444,$B$2:B444,B444)/SUMIFS($D$2:$D$741,$B$2:$B$741,B444)</f>
        <v>0.452337570116094</v>
      </c>
      <c r="P444" s="8" t="b">
        <f aca="false">O444-N444&lt;$S$2</f>
        <v>1</v>
      </c>
      <c r="Q444" s="2"/>
      <c r="R444" s="2"/>
      <c r="S444" s="2"/>
    </row>
    <row r="445" customFormat="false" ht="14.25" hidden="false" customHeight="false" outlineLevel="0" collapsed="false">
      <c r="A445" s="4" t="s">
        <v>510</v>
      </c>
      <c r="B445" s="4" t="s">
        <v>506</v>
      </c>
      <c r="C445" s="5" t="n">
        <v>2</v>
      </c>
      <c r="D445" s="5" t="n">
        <v>9522</v>
      </c>
      <c r="E445" s="5" t="n">
        <v>1857</v>
      </c>
      <c r="F445" s="5" t="n">
        <v>6</v>
      </c>
      <c r="G445" s="5" t="n">
        <v>3</v>
      </c>
      <c r="H445" s="5" t="n">
        <v>9516</v>
      </c>
      <c r="I445" s="6" t="n">
        <v>0</v>
      </c>
      <c r="J445" s="6" t="n">
        <v>1</v>
      </c>
      <c r="K445" s="6" t="n">
        <v>2</v>
      </c>
      <c r="L445" s="6" t="n">
        <v>2</v>
      </c>
      <c r="M445" s="4" t="str">
        <f aca="false">IF(AND(K445="",L445=""),"No closed tickets",IF(K445="","MISSING in catalog",IF(L445="","No valid closed tickets",IF(AND(ABS(K445-L445)&gt;=$S$3,ABS(K445-L445)&gt;=$S$4*MAX(L445,1)),"FAR OFF","OK"))))</f>
        <v>OK</v>
      </c>
      <c r="N445" s="7" t="n">
        <f aca="false">D445/SUMIFS($D$2:$D$741,$B$2:$B$741,B445)</f>
        <v>0.0524157368313856</v>
      </c>
      <c r="O445" s="7" t="n">
        <f aca="false">SUMIFS($D$2:D445,$B$2:B445,B445)/SUMIFS($D$2:$D$741,$B$2:$B$741,B445)</f>
        <v>0.50475330694748</v>
      </c>
      <c r="P445" s="8" t="b">
        <f aca="false">O445-N445&lt;$S$2</f>
        <v>1</v>
      </c>
      <c r="Q445" s="2"/>
      <c r="R445" s="2"/>
      <c r="S445" s="2"/>
    </row>
    <row r="446" customFormat="false" ht="14.25" hidden="false" customHeight="false" outlineLevel="0" collapsed="false">
      <c r="A446" s="4" t="s">
        <v>511</v>
      </c>
      <c r="B446" s="4" t="s">
        <v>506</v>
      </c>
      <c r="C446" s="5" t="n">
        <v>1</v>
      </c>
      <c r="D446" s="5" t="n">
        <v>7682</v>
      </c>
      <c r="E446" s="5" t="n">
        <v>1520</v>
      </c>
      <c r="F446" s="5" t="n">
        <v>36</v>
      </c>
      <c r="G446" s="5" t="n">
        <v>29</v>
      </c>
      <c r="H446" s="5" t="n">
        <v>7646</v>
      </c>
      <c r="I446" s="6" t="n">
        <v>3</v>
      </c>
      <c r="J446" s="6" t="n">
        <v>5.9</v>
      </c>
      <c r="K446" s="6" t="n">
        <v>14</v>
      </c>
      <c r="L446" s="6" t="n">
        <v>14</v>
      </c>
      <c r="M446" s="4" t="str">
        <f aca="false">IF(AND(K446="",L446=""),"No closed tickets",IF(K446="","MISSING in catalog",IF(L446="","No valid closed tickets",IF(AND(ABS(K446-L446)&gt;=$S$3,ABS(K446-L446)&gt;=$S$4*MAX(L446,1)),"FAR OFF","OK"))))</f>
        <v>OK</v>
      </c>
      <c r="N446" s="7" t="n">
        <f aca="false">D446/SUMIFS($D$2:$D$741,$B$2:$B$741,B446)</f>
        <v>0.0422870920330502</v>
      </c>
      <c r="O446" s="7" t="n">
        <f aca="false">SUMIFS($D$2:D446,$B$2:B446,B446)/SUMIFS($D$2:$D$741,$B$2:$B$741,B446)</f>
        <v>0.54704039898053</v>
      </c>
      <c r="P446" s="8" t="b">
        <f aca="false">O446-N446&lt;$S$2</f>
        <v>1</v>
      </c>
      <c r="Q446" s="2"/>
      <c r="R446" s="2"/>
      <c r="S446" s="2"/>
    </row>
    <row r="447" customFormat="false" ht="14.25" hidden="false" customHeight="false" outlineLevel="0" collapsed="false">
      <c r="A447" s="4" t="s">
        <v>512</v>
      </c>
      <c r="B447" s="4" t="s">
        <v>506</v>
      </c>
      <c r="C447" s="5" t="n">
        <v>1</v>
      </c>
      <c r="D447" s="5" t="n">
        <v>7166</v>
      </c>
      <c r="E447" s="5" t="n">
        <v>2284</v>
      </c>
      <c r="F447" s="5" t="n">
        <v>87</v>
      </c>
      <c r="G447" s="5" t="n">
        <v>39</v>
      </c>
      <c r="H447" s="5" t="n">
        <v>7079</v>
      </c>
      <c r="I447" s="6" t="n">
        <v>3</v>
      </c>
      <c r="J447" s="6" t="n">
        <v>5</v>
      </c>
      <c r="K447" s="6" t="n">
        <v>10</v>
      </c>
      <c r="L447" s="6" t="n">
        <v>10</v>
      </c>
      <c r="M447" s="4" t="str">
        <f aca="false">IF(AND(K447="",L447=""),"No closed tickets",IF(K447="","MISSING in catalog",IF(L447="","No valid closed tickets",IF(AND(ABS(K447-L447)&gt;=$S$3,ABS(K447-L447)&gt;=$S$4*MAX(L447,1)),"FAR OFF","OK"))))</f>
        <v>OK</v>
      </c>
      <c r="N447" s="7" t="n">
        <f aca="false">D447/SUMIFS($D$2:$D$741,$B$2:$B$741,B447)</f>
        <v>0.0394466677309083</v>
      </c>
      <c r="O447" s="7" t="n">
        <f aca="false">SUMIFS($D$2:D447,$B$2:B447,B447)/SUMIFS($D$2:$D$741,$B$2:$B$741,B447)</f>
        <v>0.586487066711438</v>
      </c>
      <c r="P447" s="8" t="b">
        <f aca="false">O447-N447&lt;$S$2</f>
        <v>1</v>
      </c>
      <c r="Q447" s="2"/>
      <c r="R447" s="2"/>
      <c r="S447" s="2"/>
    </row>
    <row r="448" customFormat="false" ht="14.25" hidden="false" customHeight="false" outlineLevel="0" collapsed="false">
      <c r="A448" s="4" t="s">
        <v>513</v>
      </c>
      <c r="B448" s="4" t="s">
        <v>506</v>
      </c>
      <c r="C448" s="5" t="n">
        <v>1</v>
      </c>
      <c r="D448" s="5" t="n">
        <v>6669</v>
      </c>
      <c r="E448" s="5" t="n">
        <v>2045</v>
      </c>
      <c r="F448" s="5" t="n">
        <v>39</v>
      </c>
      <c r="G448" s="5" t="n">
        <v>19</v>
      </c>
      <c r="H448" s="5" t="n">
        <v>6630</v>
      </c>
      <c r="I448" s="6" t="n">
        <v>4</v>
      </c>
      <c r="J448" s="6" t="n">
        <v>6.3</v>
      </c>
      <c r="K448" s="6" t="n">
        <v>14</v>
      </c>
      <c r="L448" s="6" t="n">
        <v>14</v>
      </c>
      <c r="M448" s="4" t="str">
        <f aca="false">IF(AND(K448="",L448=""),"No closed tickets",IF(K448="","MISSING in catalog",IF(L448="","No valid closed tickets",IF(AND(ABS(K448-L448)&gt;=$S$3,ABS(K448-L448)&gt;=$S$4*MAX(L448,1)),"FAR OFF","OK"))))</f>
        <v>OK</v>
      </c>
      <c r="N448" s="7" t="n">
        <f aca="false">D448/SUMIFS($D$2:$D$741,$B$2:$B$741,B448)</f>
        <v>0.0367108326957058</v>
      </c>
      <c r="O448" s="7" t="n">
        <f aca="false">SUMIFS($D$2:D448,$B$2:B448,B448)/SUMIFS($D$2:$D$741,$B$2:$B$741,B448)</f>
        <v>0.623197899407144</v>
      </c>
      <c r="P448" s="8" t="b">
        <f aca="false">O448-N448&lt;$S$2</f>
        <v>1</v>
      </c>
      <c r="Q448" s="2"/>
      <c r="R448" s="2"/>
      <c r="S448" s="2"/>
    </row>
    <row r="449" customFormat="false" ht="14.25" hidden="false" customHeight="false" outlineLevel="0" collapsed="false">
      <c r="A449" s="4" t="s">
        <v>514</v>
      </c>
      <c r="B449" s="4" t="s">
        <v>506</v>
      </c>
      <c r="C449" s="5" t="n">
        <v>2</v>
      </c>
      <c r="D449" s="5" t="n">
        <v>6245</v>
      </c>
      <c r="E449" s="5" t="n">
        <v>0</v>
      </c>
      <c r="F449" s="5" t="n">
        <v>2</v>
      </c>
      <c r="G449" s="5" t="n">
        <v>2</v>
      </c>
      <c r="H449" s="5" t="n">
        <v>6243</v>
      </c>
      <c r="I449" s="6" t="n">
        <v>2</v>
      </c>
      <c r="J449" s="6" t="n">
        <v>3.7</v>
      </c>
      <c r="K449" s="6" t="n">
        <v>7</v>
      </c>
      <c r="L449" s="6" t="n">
        <v>7</v>
      </c>
      <c r="M449" s="4" t="str">
        <f aca="false">IF(AND(K449="",L449=""),"No closed tickets",IF(K449="","MISSING in catalog",IF(L449="","No valid closed tickets",IF(AND(ABS(K449-L449)&gt;=$S$3,ABS(K449-L449)&gt;=$S$4*MAX(L449,1)),"FAR OFF","OK"))))</f>
        <v>OK</v>
      </c>
      <c r="N449" s="7" t="n">
        <f aca="false">D449/SUMIFS($D$2:$D$741,$B$2:$B$741,B449)</f>
        <v>0.0343768406334807</v>
      </c>
      <c r="O449" s="7" t="n">
        <f aca="false">SUMIFS($D$2:D449,$B$2:B449,B449)/SUMIFS($D$2:$D$741,$B$2:$B$741,B449)</f>
        <v>0.657574740040625</v>
      </c>
      <c r="P449" s="8" t="b">
        <f aca="false">O449-N449&lt;$S$2</f>
        <v>1</v>
      </c>
      <c r="Q449" s="2"/>
      <c r="R449" s="2"/>
      <c r="S449" s="2"/>
    </row>
    <row r="450" customFormat="false" ht="14.25" hidden="false" customHeight="false" outlineLevel="0" collapsed="false">
      <c r="A450" s="4" t="s">
        <v>515</v>
      </c>
      <c r="B450" s="4" t="s">
        <v>506</v>
      </c>
      <c r="C450" s="5" t="n">
        <v>2</v>
      </c>
      <c r="D450" s="5" t="n">
        <v>5214</v>
      </c>
      <c r="E450" s="5" t="n">
        <v>1464</v>
      </c>
      <c r="F450" s="5" t="n">
        <v>34</v>
      </c>
      <c r="G450" s="5" t="n">
        <v>0</v>
      </c>
      <c r="H450" s="5" t="n">
        <v>5180</v>
      </c>
      <c r="I450" s="6" t="n">
        <v>2</v>
      </c>
      <c r="J450" s="6" t="n">
        <v>5.3</v>
      </c>
      <c r="K450" s="6" t="n">
        <v>8</v>
      </c>
      <c r="L450" s="6" t="n">
        <v>8</v>
      </c>
      <c r="M450" s="4" t="str">
        <f aca="false">IF(AND(K450="",L450=""),"No closed tickets",IF(K450="","MISSING in catalog",IF(L450="","No valid closed tickets",IF(AND(ABS(K450-L450)&gt;=$S$3,ABS(K450-L450)&gt;=$S$4*MAX(L450,1)),"FAR OFF","OK"))))</f>
        <v>OK</v>
      </c>
      <c r="N450" s="7" t="n">
        <f aca="false">D450/SUMIFS($D$2:$D$741,$B$2:$B$741,B450)</f>
        <v>0.0287014967274569</v>
      </c>
      <c r="O450" s="7" t="n">
        <f aca="false">SUMIFS($D$2:D450,$B$2:B450,B450)/SUMIFS($D$2:$D$741,$B$2:$B$741,B450)</f>
        <v>0.686276236768082</v>
      </c>
      <c r="P450" s="8" t="b">
        <f aca="false">O450-N450&lt;$S$2</f>
        <v>1</v>
      </c>
      <c r="Q450" s="2"/>
      <c r="R450" s="2"/>
      <c r="S450" s="2"/>
    </row>
    <row r="451" customFormat="false" ht="14.25" hidden="false" customHeight="false" outlineLevel="0" collapsed="false">
      <c r="A451" s="4" t="s">
        <v>516</v>
      </c>
      <c r="B451" s="4" t="s">
        <v>506</v>
      </c>
      <c r="C451" s="5" t="n">
        <v>2</v>
      </c>
      <c r="D451" s="5" t="n">
        <v>4916</v>
      </c>
      <c r="E451" s="5" t="n">
        <v>0</v>
      </c>
      <c r="F451" s="5" t="n">
        <v>2</v>
      </c>
      <c r="G451" s="5" t="n">
        <v>2</v>
      </c>
      <c r="H451" s="5" t="n">
        <v>4914</v>
      </c>
      <c r="I451" s="6" t="n">
        <v>3</v>
      </c>
      <c r="J451" s="6" t="n">
        <v>5</v>
      </c>
      <c r="K451" s="6" t="n">
        <v>9</v>
      </c>
      <c r="L451" s="6" t="n">
        <v>9</v>
      </c>
      <c r="M451" s="4" t="str">
        <f aca="false">IF(AND(K451="",L451=""),"No closed tickets",IF(K451="","MISSING in catalog",IF(L451="","No valid closed tickets",IF(AND(ABS(K451-L451)&gt;=$S$3,ABS(K451-L451)&gt;=$S$4*MAX(L451,1)),"FAR OFF","OK"))))</f>
        <v>OK</v>
      </c>
      <c r="N451" s="7" t="n">
        <f aca="false">D451/SUMIFS($D$2:$D$741,$B$2:$B$741,B451)</f>
        <v>0.0270610966459874</v>
      </c>
      <c r="O451" s="7" t="n">
        <f aca="false">SUMIFS($D$2:D451,$B$2:B451,B451)/SUMIFS($D$2:$D$741,$B$2:$B$741,B451)</f>
        <v>0.713337333414069</v>
      </c>
      <c r="P451" s="8" t="b">
        <f aca="false">O451-N451&lt;$S$2</f>
        <v>1</v>
      </c>
      <c r="Q451" s="2"/>
      <c r="R451" s="2"/>
      <c r="S451" s="2"/>
    </row>
    <row r="452" customFormat="false" ht="14.25" hidden="false" customHeight="false" outlineLevel="0" collapsed="false">
      <c r="A452" s="4" t="s">
        <v>517</v>
      </c>
      <c r="B452" s="4" t="s">
        <v>506</v>
      </c>
      <c r="C452" s="5" t="n">
        <v>3</v>
      </c>
      <c r="D452" s="5" t="n">
        <v>4726</v>
      </c>
      <c r="E452" s="5" t="n">
        <v>1040</v>
      </c>
      <c r="F452" s="5" t="n">
        <v>63</v>
      </c>
      <c r="G452" s="5" t="n">
        <v>27</v>
      </c>
      <c r="H452" s="5" t="n">
        <v>4663</v>
      </c>
      <c r="I452" s="6" t="n">
        <v>40</v>
      </c>
      <c r="J452" s="6" t="n">
        <v>61.4</v>
      </c>
      <c r="K452" s="6" t="n">
        <v>148</v>
      </c>
      <c r="L452" s="6" t="n">
        <v>148</v>
      </c>
      <c r="M452" s="4" t="str">
        <f aca="false">IF(AND(K452="",L452=""),"No closed tickets",IF(K452="","MISSING in catalog",IF(L452="","No valid closed tickets",IF(AND(ABS(K452-L452)&gt;=$S$3,ABS(K452-L452)&gt;=$S$4*MAX(L452,1)),"FAR OFF","OK"))))</f>
        <v>OK</v>
      </c>
      <c r="N452" s="7" t="n">
        <f aca="false">D452/SUMIFS($D$2:$D$741,$B$2:$B$741,B452)</f>
        <v>0.026015203976594</v>
      </c>
      <c r="O452" s="7" t="n">
        <f aca="false">SUMIFS($D$2:D452,$B$2:B452,B452)/SUMIFS($D$2:$D$741,$B$2:$B$741,B452)</f>
        <v>0.739352537390663</v>
      </c>
      <c r="P452" s="8" t="b">
        <f aca="false">O452-N452&lt;$S$2</f>
        <v>1</v>
      </c>
      <c r="Q452" s="2"/>
      <c r="R452" s="2"/>
      <c r="S452" s="2"/>
    </row>
    <row r="453" customFormat="false" ht="14.25" hidden="false" customHeight="false" outlineLevel="0" collapsed="false">
      <c r="A453" s="4" t="s">
        <v>518</v>
      </c>
      <c r="B453" s="4" t="s">
        <v>506</v>
      </c>
      <c r="C453" s="5" t="n">
        <v>1</v>
      </c>
      <c r="D453" s="5" t="n">
        <v>4333</v>
      </c>
      <c r="E453" s="5" t="n">
        <v>1292</v>
      </c>
      <c r="F453" s="5" t="n">
        <v>85</v>
      </c>
      <c r="G453" s="5" t="n">
        <v>35</v>
      </c>
      <c r="H453" s="5" t="n">
        <v>4248</v>
      </c>
      <c r="I453" s="6" t="n">
        <v>3</v>
      </c>
      <c r="J453" s="6" t="n">
        <v>6.6</v>
      </c>
      <c r="K453" s="6" t="n">
        <v>15</v>
      </c>
      <c r="L453" s="6" t="n">
        <v>15</v>
      </c>
      <c r="M453" s="4" t="str">
        <f aca="false">IF(AND(K453="",L453=""),"No closed tickets",IF(K453="","MISSING in catalog",IF(L453="","No valid closed tickets",IF(AND(ABS(K453-L453)&gt;=$S$3,ABS(K453-L453)&gt;=$S$4*MAX(L453,1)),"FAR OFF","OK"))))</f>
        <v>OK</v>
      </c>
      <c r="N453" s="7" t="n">
        <f aca="false">D453/SUMIFS($D$2:$D$741,$B$2:$B$741,B453)</f>
        <v>0.0238518575604278</v>
      </c>
      <c r="O453" s="7" t="n">
        <f aca="false">SUMIFS($D$2:D453,$B$2:B453,B453)/SUMIFS($D$2:$D$741,$B$2:$B$741,B453)</f>
        <v>0.763204394951091</v>
      </c>
      <c r="P453" s="8" t="b">
        <f aca="false">O453-N453&lt;$S$2</f>
        <v>1</v>
      </c>
      <c r="Q453" s="2"/>
      <c r="R453" s="2"/>
      <c r="S453" s="2"/>
    </row>
    <row r="454" customFormat="false" ht="14.25" hidden="false" customHeight="false" outlineLevel="0" collapsed="false">
      <c r="A454" s="4" t="s">
        <v>519</v>
      </c>
      <c r="B454" s="4" t="s">
        <v>506</v>
      </c>
      <c r="C454" s="5" t="n">
        <v>2</v>
      </c>
      <c r="D454" s="5" t="n">
        <v>3512</v>
      </c>
      <c r="E454" s="5" t="n">
        <v>0</v>
      </c>
      <c r="F454" s="5" t="n">
        <v>3</v>
      </c>
      <c r="G454" s="5" t="n">
        <v>3</v>
      </c>
      <c r="H454" s="5" t="n">
        <v>3509</v>
      </c>
      <c r="I454" s="6" t="n">
        <v>2</v>
      </c>
      <c r="J454" s="6" t="n">
        <v>5.3</v>
      </c>
      <c r="K454" s="6" t="n">
        <v>11</v>
      </c>
      <c r="L454" s="6" t="n">
        <v>11</v>
      </c>
      <c r="M454" s="4" t="str">
        <f aca="false">IF(AND(K454="",L454=""),"No closed tickets",IF(K454="","MISSING in catalog",IF(L454="","No valid closed tickets",IF(AND(ABS(K454-L454)&gt;=$S$3,ABS(K454-L454)&gt;=$S$4*MAX(L454,1)),"FAR OFF","OK"))))</f>
        <v>OK</v>
      </c>
      <c r="N454" s="7" t="n">
        <f aca="false">D454/SUMIFS($D$2:$D$741,$B$2:$B$741,B454)</f>
        <v>0.0193325002889967</v>
      </c>
      <c r="O454" s="7" t="n">
        <f aca="false">SUMIFS($D$2:D454,$B$2:B454,B454)/SUMIFS($D$2:$D$741,$B$2:$B$741,B454)</f>
        <v>0.782536895240087</v>
      </c>
      <c r="P454" s="8" t="b">
        <f aca="false">O454-N454&lt;$S$2</f>
        <v>1</v>
      </c>
      <c r="Q454" s="2"/>
      <c r="R454" s="2"/>
      <c r="S454" s="2"/>
    </row>
    <row r="455" customFormat="false" ht="14.25" hidden="false" customHeight="false" outlineLevel="0" collapsed="false">
      <c r="A455" s="4" t="s">
        <v>520</v>
      </c>
      <c r="B455" s="4" t="s">
        <v>506</v>
      </c>
      <c r="C455" s="5" t="n">
        <v>2</v>
      </c>
      <c r="D455" s="5" t="n">
        <v>3045</v>
      </c>
      <c r="E455" s="5" t="n">
        <v>0</v>
      </c>
      <c r="F455" s="5" t="n">
        <v>4</v>
      </c>
      <c r="G455" s="5" t="n">
        <v>4</v>
      </c>
      <c r="H455" s="5" t="n">
        <v>3041</v>
      </c>
      <c r="I455" s="6" t="n">
        <v>3</v>
      </c>
      <c r="J455" s="6" t="n">
        <v>6</v>
      </c>
      <c r="K455" s="6" t="n">
        <v>12</v>
      </c>
      <c r="L455" s="6" t="n">
        <v>12</v>
      </c>
      <c r="M455" s="4" t="str">
        <f aca="false">IF(AND(K455="",L455=""),"No closed tickets",IF(K455="","MISSING in catalog",IF(L455="","No valid closed tickets",IF(AND(ABS(K455-L455)&gt;=$S$3,ABS(K455-L455)&gt;=$S$4*MAX(L455,1)),"FAR OFF","OK"))))</f>
        <v>OK</v>
      </c>
      <c r="N455" s="7" t="n">
        <f aca="false">D455/SUMIFS($D$2:$D$741,$B$2:$B$741,B455)</f>
        <v>0.0167618062015931</v>
      </c>
      <c r="O455" s="7" t="n">
        <f aca="false">SUMIFS($D$2:D455,$B$2:B455,B455)/SUMIFS($D$2:$D$741,$B$2:$B$741,B455)</f>
        <v>0.799298701441681</v>
      </c>
      <c r="P455" s="8" t="b">
        <f aca="false">O455-N455&lt;$S$2</f>
        <v>1</v>
      </c>
      <c r="Q455" s="2"/>
      <c r="R455" s="2"/>
      <c r="S455" s="2"/>
    </row>
    <row r="456" customFormat="false" ht="14.25" hidden="false" customHeight="false" outlineLevel="0" collapsed="false">
      <c r="A456" s="4" t="s">
        <v>521</v>
      </c>
      <c r="B456" s="4" t="s">
        <v>506</v>
      </c>
      <c r="C456" s="5" t="n">
        <v>1</v>
      </c>
      <c r="D456" s="5" t="n">
        <v>2754</v>
      </c>
      <c r="E456" s="5" t="n">
        <v>969</v>
      </c>
      <c r="F456" s="5" t="n">
        <v>54</v>
      </c>
      <c r="G456" s="5" t="n">
        <v>36</v>
      </c>
      <c r="H456" s="5" t="n">
        <v>2700</v>
      </c>
      <c r="I456" s="6" t="n">
        <v>2</v>
      </c>
      <c r="J456" s="6" t="n">
        <v>6.9</v>
      </c>
      <c r="K456" s="6" t="n">
        <v>8</v>
      </c>
      <c r="L456" s="6" t="n">
        <v>8</v>
      </c>
      <c r="M456" s="4" t="str">
        <f aca="false">IF(AND(K456="",L456=""),"No closed tickets",IF(K456="","MISSING in catalog",IF(L456="","No valid closed tickets",IF(AND(ABS(K456-L456)&gt;=$S$3,ABS(K456-L456)&gt;=$S$4*MAX(L456,1)),"FAR OFF","OK"))))</f>
        <v>OK</v>
      </c>
      <c r="N456" s="7" t="n">
        <f aca="false">D456/SUMIFS($D$2:$D$741,$B$2:$B$741,B456)</f>
        <v>0.0151599390079433</v>
      </c>
      <c r="O456" s="7" t="n">
        <f aca="false">SUMIFS($D$2:D456,$B$2:B456,B456)/SUMIFS($D$2:$D$741,$B$2:$B$741,B456)</f>
        <v>0.814458640449624</v>
      </c>
      <c r="P456" s="8" t="b">
        <f aca="false">O456-N456&lt;$S$2</f>
        <v>1</v>
      </c>
      <c r="Q456" s="2"/>
      <c r="R456" s="2"/>
      <c r="S456" s="2"/>
    </row>
    <row r="457" customFormat="false" ht="14.25" hidden="false" customHeight="false" outlineLevel="0" collapsed="false">
      <c r="A457" s="4" t="s">
        <v>522</v>
      </c>
      <c r="B457" s="4" t="s">
        <v>506</v>
      </c>
      <c r="C457" s="5" t="n">
        <v>1</v>
      </c>
      <c r="D457" s="5" t="n">
        <v>2576</v>
      </c>
      <c r="E457" s="5" t="n">
        <v>1372</v>
      </c>
      <c r="F457" s="5" t="n">
        <v>33</v>
      </c>
      <c r="G457" s="5" t="n">
        <v>13</v>
      </c>
      <c r="H457" s="5" t="n">
        <v>2543</v>
      </c>
      <c r="I457" s="6" t="n">
        <v>4</v>
      </c>
      <c r="J457" s="6" t="n">
        <v>8.7</v>
      </c>
      <c r="K457" s="6" t="n">
        <v>19</v>
      </c>
      <c r="L457" s="6" t="n">
        <v>19</v>
      </c>
      <c r="M457" s="4" t="str">
        <f aca="false">IF(AND(K457="",L457=""),"No closed tickets",IF(K457="","MISSING in catalog",IF(L457="","No valid closed tickets",IF(AND(ABS(K457-L457)&gt;=$S$3,ABS(K457-L457)&gt;=$S$4*MAX(L457,1)),"FAR OFF","OK"))))</f>
        <v>OK</v>
      </c>
      <c r="N457" s="7" t="n">
        <f aca="false">D457/SUMIFS($D$2:$D$741,$B$2:$B$741,B457)</f>
        <v>0.0141801027176695</v>
      </c>
      <c r="O457" s="7" t="n">
        <f aca="false">SUMIFS($D$2:D457,$B$2:B457,B457)/SUMIFS($D$2:$D$741,$B$2:$B$741,B457)</f>
        <v>0.828638743167293</v>
      </c>
      <c r="P457" s="8" t="b">
        <f aca="false">O457-N457&lt;$S$2</f>
        <v>1</v>
      </c>
      <c r="Q457" s="2"/>
      <c r="R457" s="2"/>
      <c r="S457" s="2"/>
    </row>
    <row r="458" customFormat="false" ht="14.25" hidden="false" customHeight="false" outlineLevel="0" collapsed="false">
      <c r="A458" s="4" t="s">
        <v>523</v>
      </c>
      <c r="B458" s="4" t="s">
        <v>506</v>
      </c>
      <c r="C458" s="5" t="n">
        <v>1</v>
      </c>
      <c r="D458" s="5" t="n">
        <v>2420</v>
      </c>
      <c r="E458" s="5" t="n">
        <v>726</v>
      </c>
      <c r="F458" s="5" t="n">
        <v>4</v>
      </c>
      <c r="G458" s="5" t="n">
        <v>2</v>
      </c>
      <c r="H458" s="5" t="n">
        <v>2416</v>
      </c>
      <c r="I458" s="6" t="n">
        <v>6</v>
      </c>
      <c r="J458" s="6" t="n">
        <v>9.7</v>
      </c>
      <c r="K458" s="6" t="n">
        <v>22</v>
      </c>
      <c r="L458" s="6" t="n">
        <v>22</v>
      </c>
      <c r="M458" s="4" t="str">
        <f aca="false">IF(AND(K458="",L458=""),"No closed tickets",IF(K458="","MISSING in catalog",IF(L458="","No valid closed tickets",IF(AND(ABS(K458-L458)&gt;=$S$3,ABS(K458-L458)&gt;=$S$4*MAX(L458,1)),"FAR OFF","OK"))))</f>
        <v>OK</v>
      </c>
      <c r="N458" s="7" t="n">
        <f aca="false">D458/SUMIFS($D$2:$D$741,$B$2:$B$741,B458)</f>
        <v>0.013321369789115</v>
      </c>
      <c r="O458" s="7" t="n">
        <f aca="false">SUMIFS($D$2:D458,$B$2:B458,B458)/SUMIFS($D$2:$D$741,$B$2:$B$741,B458)</f>
        <v>0.841960112956408</v>
      </c>
      <c r="P458" s="8" t="b">
        <f aca="false">O458-N458&lt;$S$2</f>
        <v>1</v>
      </c>
      <c r="Q458" s="2"/>
      <c r="R458" s="2"/>
      <c r="S458" s="2"/>
    </row>
    <row r="459" customFormat="false" ht="14.25" hidden="false" customHeight="false" outlineLevel="0" collapsed="false">
      <c r="A459" s="4" t="s">
        <v>524</v>
      </c>
      <c r="B459" s="4" t="s">
        <v>506</v>
      </c>
      <c r="C459" s="5" t="n">
        <v>2</v>
      </c>
      <c r="D459" s="5" t="n">
        <v>2189</v>
      </c>
      <c r="E459" s="5" t="n">
        <v>0</v>
      </c>
      <c r="F459" s="5" t="n">
        <v>1</v>
      </c>
      <c r="G459" s="5" t="n">
        <v>1</v>
      </c>
      <c r="H459" s="5" t="n">
        <v>2188</v>
      </c>
      <c r="I459" s="6" t="n">
        <v>3</v>
      </c>
      <c r="J459" s="6" t="n">
        <v>4.9</v>
      </c>
      <c r="K459" s="6" t="n">
        <v>11</v>
      </c>
      <c r="L459" s="6" t="n">
        <v>11</v>
      </c>
      <c r="M459" s="4" t="str">
        <f aca="false">IF(AND(K459="",L459=""),"No closed tickets",IF(K459="","MISSING in catalog",IF(L459="","No valid closed tickets",IF(AND(ABS(K459-L459)&gt;=$S$3,ABS(K459-L459)&gt;=$S$4*MAX(L459,1)),"FAR OFF","OK"))))</f>
        <v>OK</v>
      </c>
      <c r="N459" s="7" t="n">
        <f aca="false">D459/SUMIFS($D$2:$D$741,$B$2:$B$741,B459)</f>
        <v>0.0120497844910631</v>
      </c>
      <c r="O459" s="7" t="n">
        <f aca="false">SUMIFS($D$2:D459,$B$2:B459,B459)/SUMIFS($D$2:$D$741,$B$2:$B$741,B459)</f>
        <v>0.854009897447472</v>
      </c>
      <c r="P459" s="8" t="b">
        <f aca="false">O459-N459&lt;$S$2</f>
        <v>1</v>
      </c>
      <c r="Q459" s="2"/>
      <c r="R459" s="2"/>
      <c r="S459" s="2"/>
    </row>
    <row r="460" customFormat="false" ht="14.25" hidden="false" customHeight="false" outlineLevel="0" collapsed="false">
      <c r="A460" s="4" t="s">
        <v>525</v>
      </c>
      <c r="B460" s="4" t="s">
        <v>506</v>
      </c>
      <c r="C460" s="5" t="n">
        <v>2</v>
      </c>
      <c r="D460" s="5" t="n">
        <v>2032</v>
      </c>
      <c r="E460" s="5" t="n">
        <v>0</v>
      </c>
      <c r="F460" s="5" t="n">
        <v>0</v>
      </c>
      <c r="G460" s="5" t="n">
        <v>0</v>
      </c>
      <c r="H460" s="5" t="n">
        <v>2032</v>
      </c>
      <c r="I460" s="6" t="n">
        <v>2</v>
      </c>
      <c r="J460" s="6" t="n">
        <v>3.8</v>
      </c>
      <c r="K460" s="6" t="n">
        <v>8</v>
      </c>
      <c r="L460" s="6" t="n">
        <v>8</v>
      </c>
      <c r="M460" s="4" t="str">
        <f aca="false">IF(AND(K460="",L460=""),"No closed tickets",IF(K460="","MISSING in catalog",IF(L460="","No valid closed tickets",IF(AND(ABS(K460-L460)&gt;=$S$3,ABS(K460-L460)&gt;=$S$4*MAX(L460,1)),"FAR OFF","OK"))))</f>
        <v>OK</v>
      </c>
      <c r="N460" s="7" t="n">
        <f aca="false">D460/SUMIFS($D$2:$D$741,$B$2:$B$741,B460)</f>
        <v>0.0111855468642486</v>
      </c>
      <c r="O460" s="7" t="n">
        <f aca="false">SUMIFS($D$2:D460,$B$2:B460,B460)/SUMIFS($D$2:$D$741,$B$2:$B$741,B460)</f>
        <v>0.86519544431172</v>
      </c>
      <c r="P460" s="8" t="b">
        <f aca="false">O460-N460&lt;$S$2</f>
        <v>1</v>
      </c>
      <c r="Q460" s="2"/>
      <c r="R460" s="2"/>
      <c r="S460" s="2"/>
    </row>
    <row r="461" customFormat="false" ht="14.25" hidden="false" customHeight="false" outlineLevel="0" collapsed="false">
      <c r="A461" s="4" t="s">
        <v>526</v>
      </c>
      <c r="B461" s="4" t="s">
        <v>506</v>
      </c>
      <c r="C461" s="5" t="n">
        <v>2</v>
      </c>
      <c r="D461" s="5" t="n">
        <v>1979</v>
      </c>
      <c r="E461" s="5" t="n">
        <v>363</v>
      </c>
      <c r="F461" s="5" t="n">
        <v>23</v>
      </c>
      <c r="G461" s="5" t="n">
        <v>7</v>
      </c>
      <c r="H461" s="5" t="n">
        <v>1956</v>
      </c>
      <c r="I461" s="6" t="n">
        <v>4</v>
      </c>
      <c r="J461" s="6" t="n">
        <v>12.3</v>
      </c>
      <c r="K461" s="6" t="n">
        <v>40</v>
      </c>
      <c r="L461" s="6" t="n">
        <v>40</v>
      </c>
      <c r="M461" s="4" t="str">
        <f aca="false">IF(AND(K461="",L461=""),"No closed tickets",IF(K461="","MISSING in catalog",IF(L461="","No valid closed tickets",IF(AND(ABS(K461-L461)&gt;=$S$3,ABS(K461-L461)&gt;=$S$4*MAX(L461,1)),"FAR OFF","OK"))))</f>
        <v>OK</v>
      </c>
      <c r="N461" s="7" t="n">
        <f aca="false">D461/SUMIFS($D$2:$D$741,$B$2:$B$741,B461)</f>
        <v>0.0108937978564705</v>
      </c>
      <c r="O461" s="7" t="n">
        <f aca="false">SUMIFS($D$2:D461,$B$2:B461,B461)/SUMIFS($D$2:$D$741,$B$2:$B$741,B461)</f>
        <v>0.876089242168191</v>
      </c>
      <c r="P461" s="8" t="b">
        <f aca="false">O461-N461&lt;$S$2</f>
        <v>1</v>
      </c>
      <c r="Q461" s="2"/>
      <c r="R461" s="2"/>
      <c r="S461" s="2"/>
    </row>
    <row r="462" customFormat="false" ht="14.25" hidden="false" customHeight="false" outlineLevel="0" collapsed="false">
      <c r="A462" s="4" t="s">
        <v>527</v>
      </c>
      <c r="B462" s="4" t="s">
        <v>506</v>
      </c>
      <c r="C462" s="5" t="n">
        <v>1</v>
      </c>
      <c r="D462" s="5" t="n">
        <v>1896</v>
      </c>
      <c r="E462" s="5" t="n">
        <v>1836</v>
      </c>
      <c r="F462" s="5" t="n">
        <v>136</v>
      </c>
      <c r="G462" s="5" t="n">
        <v>31</v>
      </c>
      <c r="H462" s="5" t="n">
        <v>1760</v>
      </c>
      <c r="I462" s="6" t="n">
        <v>5</v>
      </c>
      <c r="J462" s="6" t="n">
        <v>10.1</v>
      </c>
      <c r="K462" s="6" t="n">
        <v>27</v>
      </c>
      <c r="L462" s="6" t="n">
        <v>27</v>
      </c>
      <c r="M462" s="4" t="str">
        <f aca="false">IF(AND(K462="",L462=""),"No closed tickets",IF(K462="","MISSING in catalog",IF(L462="","No valid closed tickets",IF(AND(ABS(K462-L462)&gt;=$S$3,ABS(K462-L462)&gt;=$S$4*MAX(L462,1)),"FAR OFF","OK"))))</f>
        <v>OK</v>
      </c>
      <c r="N462" s="7" t="n">
        <f aca="false">D462/SUMIFS($D$2:$D$741,$B$2:$B$741,B462)</f>
        <v>0.0104369079008934</v>
      </c>
      <c r="O462" s="7" t="n">
        <f aca="false">SUMIFS($D$2:D462,$B$2:B462,B462)/SUMIFS($D$2:$D$741,$B$2:$B$741,B462)</f>
        <v>0.886526150069084</v>
      </c>
      <c r="P462" s="8" t="b">
        <f aca="false">O462-N462&lt;$S$2</f>
        <v>1</v>
      </c>
      <c r="Q462" s="2"/>
      <c r="R462" s="2"/>
      <c r="S462" s="2"/>
    </row>
    <row r="463" customFormat="false" ht="14.25" hidden="false" customHeight="false" outlineLevel="0" collapsed="false">
      <c r="A463" s="4" t="s">
        <v>528</v>
      </c>
      <c r="B463" s="4" t="s">
        <v>506</v>
      </c>
      <c r="C463" s="5" t="n">
        <v>1</v>
      </c>
      <c r="D463" s="5" t="n">
        <v>1760</v>
      </c>
      <c r="E463" s="5" t="n">
        <v>24</v>
      </c>
      <c r="F463" s="5" t="n">
        <v>24</v>
      </c>
      <c r="G463" s="5" t="n">
        <v>24</v>
      </c>
      <c r="H463" s="5" t="n">
        <v>1736</v>
      </c>
      <c r="I463" s="6" t="n">
        <v>1</v>
      </c>
      <c r="J463" s="6" t="n">
        <v>3.6</v>
      </c>
      <c r="K463" s="6" t="n">
        <v>6</v>
      </c>
      <c r="L463" s="6" t="n">
        <v>6</v>
      </c>
      <c r="M463" s="4" t="str">
        <f aca="false">IF(AND(K463="",L463=""),"No closed tickets",IF(K463="","MISSING in catalog",IF(L463="","No valid closed tickets",IF(AND(ABS(K463-L463)&gt;=$S$3,ABS(K463-L463)&gt;=$S$4*MAX(L463,1)),"FAR OFF","OK"))))</f>
        <v>OK</v>
      </c>
      <c r="N463" s="7" t="n">
        <f aca="false">D463/SUMIFS($D$2:$D$741,$B$2:$B$741,B463)</f>
        <v>0.00968826893753819</v>
      </c>
      <c r="O463" s="7" t="n">
        <f aca="false">SUMIFS($D$2:D463,$B$2:B463,B463)/SUMIFS($D$2:$D$741,$B$2:$B$741,B463)</f>
        <v>0.896214419006622</v>
      </c>
      <c r="P463" s="8" t="b">
        <f aca="false">O463-N463&lt;$S$2</f>
        <v>1</v>
      </c>
      <c r="Q463" s="2"/>
      <c r="R463" s="2"/>
      <c r="S463" s="2"/>
    </row>
    <row r="464" customFormat="false" ht="14.25" hidden="false" customHeight="false" outlineLevel="0" collapsed="false">
      <c r="A464" s="4" t="s">
        <v>529</v>
      </c>
      <c r="B464" s="4" t="s">
        <v>506</v>
      </c>
      <c r="C464" s="5" t="n">
        <v>1</v>
      </c>
      <c r="D464" s="5" t="n">
        <v>1543</v>
      </c>
      <c r="E464" s="5" t="n">
        <v>535</v>
      </c>
      <c r="F464" s="5" t="n">
        <v>7</v>
      </c>
      <c r="G464" s="5" t="n">
        <v>0</v>
      </c>
      <c r="H464" s="5" t="n">
        <v>1536</v>
      </c>
      <c r="I464" s="6" t="n">
        <v>6</v>
      </c>
      <c r="J464" s="6" t="n">
        <v>9.5</v>
      </c>
      <c r="K464" s="6" t="n">
        <v>18</v>
      </c>
      <c r="L464" s="6" t="n">
        <v>18</v>
      </c>
      <c r="M464" s="4" t="str">
        <f aca="false">IF(AND(K464="",L464=""),"No closed tickets",IF(K464="","MISSING in catalog",IF(L464="","No valid closed tickets",IF(AND(ABS(K464-L464)&gt;=$S$3,ABS(K464-L464)&gt;=$S$4*MAX(L464,1)),"FAR OFF","OK"))))</f>
        <v>OK</v>
      </c>
      <c r="N464" s="7" t="n">
        <f aca="false">D464/SUMIFS($D$2:$D$741,$B$2:$B$741,B464)</f>
        <v>0.00849374941512581</v>
      </c>
      <c r="O464" s="7" t="n">
        <f aca="false">SUMIFS($D$2:D464,$B$2:B464,B464)/SUMIFS($D$2:$D$741,$B$2:$B$741,B464)</f>
        <v>0.904708168421748</v>
      </c>
      <c r="P464" s="8" t="b">
        <f aca="false">O464-N464&lt;$S$2</f>
        <v>1</v>
      </c>
      <c r="Q464" s="2"/>
      <c r="R464" s="2"/>
      <c r="S464" s="2"/>
    </row>
    <row r="465" customFormat="false" ht="14.25" hidden="false" customHeight="false" outlineLevel="0" collapsed="false">
      <c r="A465" s="4" t="s">
        <v>530</v>
      </c>
      <c r="B465" s="4" t="s">
        <v>506</v>
      </c>
      <c r="C465" s="5" t="n">
        <v>2</v>
      </c>
      <c r="D465" s="5" t="n">
        <v>1472</v>
      </c>
      <c r="E465" s="5" t="n">
        <v>280</v>
      </c>
      <c r="F465" s="5" t="n">
        <v>24</v>
      </c>
      <c r="G465" s="5" t="n">
        <v>8</v>
      </c>
      <c r="H465" s="5" t="n">
        <v>1448</v>
      </c>
      <c r="I465" s="6" t="n">
        <v>5</v>
      </c>
      <c r="J465" s="6" t="n">
        <v>14.9</v>
      </c>
      <c r="K465" s="6" t="n">
        <v>37</v>
      </c>
      <c r="L465" s="6" t="n">
        <v>37</v>
      </c>
      <c r="M465" s="4" t="str">
        <f aca="false">IF(AND(K465="",L465=""),"No closed tickets",IF(K465="","MISSING in catalog",IF(L465="","No valid closed tickets",IF(AND(ABS(K465-L465)&gt;=$S$3,ABS(K465-L465)&gt;=$S$4*MAX(L465,1)),"FAR OFF","OK"))))</f>
        <v>OK</v>
      </c>
      <c r="N465" s="7" t="n">
        <f aca="false">D465/SUMIFS($D$2:$D$741,$B$2:$B$741,B465)</f>
        <v>0.0081029158386683</v>
      </c>
      <c r="O465" s="7" t="n">
        <f aca="false">SUMIFS($D$2:D465,$B$2:B465,B465)/SUMIFS($D$2:$D$741,$B$2:$B$741,B465)</f>
        <v>0.912811084260416</v>
      </c>
      <c r="P465" s="8" t="b">
        <f aca="false">O465-N465&lt;$S$2</f>
        <v>1</v>
      </c>
      <c r="Q465" s="2"/>
      <c r="R465" s="2"/>
      <c r="S465" s="2"/>
    </row>
    <row r="466" customFormat="false" ht="14.25" hidden="false" customHeight="false" outlineLevel="0" collapsed="false">
      <c r="A466" s="4" t="s">
        <v>531</v>
      </c>
      <c r="B466" s="4" t="s">
        <v>506</v>
      </c>
      <c r="C466" s="5" t="n">
        <v>1</v>
      </c>
      <c r="D466" s="5" t="n">
        <v>1316</v>
      </c>
      <c r="E466" s="5" t="n">
        <v>497</v>
      </c>
      <c r="F466" s="5" t="n">
        <v>41</v>
      </c>
      <c r="G466" s="5" t="n">
        <v>13</v>
      </c>
      <c r="H466" s="5" t="n">
        <v>1275</v>
      </c>
      <c r="I466" s="6" t="n">
        <v>10</v>
      </c>
      <c r="J466" s="6" t="n">
        <v>16.5</v>
      </c>
      <c r="K466" s="6" t="n">
        <v>34</v>
      </c>
      <c r="L466" s="6" t="n">
        <v>34</v>
      </c>
      <c r="M466" s="4" t="str">
        <f aca="false">IF(AND(K466="",L466=""),"No closed tickets",IF(K466="","MISSING in catalog",IF(L466="","No valid closed tickets",IF(AND(ABS(K466-L466)&gt;=$S$3,ABS(K466-L466)&gt;=$S$4*MAX(L466,1)),"FAR OFF","OK"))))</f>
        <v>OK</v>
      </c>
      <c r="N466" s="7" t="n">
        <f aca="false">D466/SUMIFS($D$2:$D$741,$B$2:$B$741,B466)</f>
        <v>0.00724418291011378</v>
      </c>
      <c r="O466" s="7" t="n">
        <f aca="false">SUMIFS($D$2:D466,$B$2:B466,B466)/SUMIFS($D$2:$D$741,$B$2:$B$741,B466)</f>
        <v>0.92005526717053</v>
      </c>
      <c r="P466" s="8" t="b">
        <f aca="false">O466-N466&lt;$S$2</f>
        <v>1</v>
      </c>
      <c r="Q466" s="2"/>
      <c r="R466" s="2"/>
      <c r="S466" s="2"/>
    </row>
    <row r="467" customFormat="false" ht="14.25" hidden="false" customHeight="false" outlineLevel="0" collapsed="false">
      <c r="A467" s="4" t="s">
        <v>532</v>
      </c>
      <c r="B467" s="4" t="s">
        <v>506</v>
      </c>
      <c r="C467" s="5" t="n">
        <v>2</v>
      </c>
      <c r="D467" s="5" t="n">
        <v>1117</v>
      </c>
      <c r="E467" s="5" t="n">
        <v>0</v>
      </c>
      <c r="F467" s="5" t="n">
        <v>1</v>
      </c>
      <c r="G467" s="5" t="n">
        <v>1</v>
      </c>
      <c r="H467" s="5" t="n">
        <v>1116</v>
      </c>
      <c r="I467" s="6" t="n">
        <v>2</v>
      </c>
      <c r="J467" s="6" t="n">
        <v>8.2</v>
      </c>
      <c r="K467" s="6" t="n">
        <v>13</v>
      </c>
      <c r="L467" s="6" t="n">
        <v>13</v>
      </c>
      <c r="M467" s="4" t="str">
        <f aca="false">IF(AND(K467="",L467=""),"No closed tickets",IF(K467="","MISSING in catalog",IF(L467="","No valid closed tickets",IF(AND(ABS(K467-L467)&gt;=$S$3,ABS(K467-L467)&gt;=$S$4*MAX(L467,1)),"FAR OFF","OK"))))</f>
        <v>OK</v>
      </c>
      <c r="N467" s="7" t="n">
        <f aca="false">D467/SUMIFS($D$2:$D$741,$B$2:$B$741,B467)</f>
        <v>0.00614874795638077</v>
      </c>
      <c r="O467" s="7" t="n">
        <f aca="false">SUMIFS($D$2:D467,$B$2:B467,B467)/SUMIFS($D$2:$D$741,$B$2:$B$741,B467)</f>
        <v>0.926204015126911</v>
      </c>
      <c r="P467" s="8" t="b">
        <f aca="false">O467-N467&lt;$S$2</f>
        <v>1</v>
      </c>
      <c r="Q467" s="2"/>
      <c r="R467" s="2"/>
      <c r="S467" s="2"/>
    </row>
    <row r="468" customFormat="false" ht="14.25" hidden="false" customHeight="false" outlineLevel="0" collapsed="false">
      <c r="A468" s="4" t="s">
        <v>533</v>
      </c>
      <c r="B468" s="4" t="s">
        <v>506</v>
      </c>
      <c r="C468" s="5" t="n">
        <v>1</v>
      </c>
      <c r="D468" s="5" t="n">
        <v>1012</v>
      </c>
      <c r="E468" s="5" t="n">
        <v>587</v>
      </c>
      <c r="F468" s="5" t="n">
        <v>17</v>
      </c>
      <c r="G468" s="5" t="n">
        <v>0</v>
      </c>
      <c r="H468" s="5" t="n">
        <v>995</v>
      </c>
      <c r="I468" s="6" t="n">
        <v>2</v>
      </c>
      <c r="J468" s="6" t="n">
        <v>3.2</v>
      </c>
      <c r="K468" s="6" t="n">
        <v>7</v>
      </c>
      <c r="L468" s="6" t="n">
        <v>7</v>
      </c>
      <c r="M468" s="4" t="str">
        <f aca="false">IF(AND(K468="",L468=""),"No closed tickets",IF(K468="","MISSING in catalog",IF(L468="","No valid closed tickets",IF(AND(ABS(K468-L468)&gt;=$S$3,ABS(K468-L468)&gt;=$S$4*MAX(L468,1)),"FAR OFF","OK"))))</f>
        <v>OK</v>
      </c>
      <c r="N468" s="7" t="n">
        <f aca="false">D468/SUMIFS($D$2:$D$741,$B$2:$B$741,B468)</f>
        <v>0.00557075463908446</v>
      </c>
      <c r="O468" s="7" t="n">
        <f aca="false">SUMIFS($D$2:D468,$B$2:B468,B468)/SUMIFS($D$2:$D$741,$B$2:$B$741,B468)</f>
        <v>0.931774769765995</v>
      </c>
      <c r="P468" s="8" t="b">
        <f aca="false">O468-N468&lt;$S$2</f>
        <v>1</v>
      </c>
      <c r="Q468" s="2"/>
      <c r="R468" s="2"/>
      <c r="S468" s="2"/>
    </row>
    <row r="469" customFormat="false" ht="14.25" hidden="false" customHeight="false" outlineLevel="0" collapsed="false">
      <c r="A469" s="4" t="s">
        <v>534</v>
      </c>
      <c r="B469" s="4" t="s">
        <v>506</v>
      </c>
      <c r="C469" s="5" t="n">
        <v>2</v>
      </c>
      <c r="D469" s="5" t="n">
        <v>1003</v>
      </c>
      <c r="E469" s="5" t="n">
        <v>0</v>
      </c>
      <c r="F469" s="5" t="n">
        <v>0</v>
      </c>
      <c r="G469" s="5" t="n">
        <v>0</v>
      </c>
      <c r="H469" s="5" t="n">
        <v>1003</v>
      </c>
      <c r="I469" s="6" t="n">
        <v>4</v>
      </c>
      <c r="J469" s="6" t="n">
        <v>8.3</v>
      </c>
      <c r="K469" s="6" t="n">
        <v>29</v>
      </c>
      <c r="L469" s="6" t="n">
        <v>29</v>
      </c>
      <c r="M469" s="4" t="str">
        <f aca="false">IF(AND(K469="",L469=""),"No closed tickets",IF(K469="","MISSING in catalog",IF(L469="","No valid closed tickets",IF(AND(ABS(K469-L469)&gt;=$S$3,ABS(K469-L469)&gt;=$S$4*MAX(L469,1)),"FAR OFF","OK"))))</f>
        <v>OK</v>
      </c>
      <c r="N469" s="7" t="n">
        <f aca="false">D469/SUMIFS($D$2:$D$741,$B$2:$B$741,B469)</f>
        <v>0.00552121235474477</v>
      </c>
      <c r="O469" s="7" t="n">
        <f aca="false">SUMIFS($D$2:D469,$B$2:B469,B469)/SUMIFS($D$2:$D$741,$B$2:$B$741,B469)</f>
        <v>0.93729598212074</v>
      </c>
      <c r="P469" s="8" t="b">
        <f aca="false">O469-N469&lt;$S$2</f>
        <v>1</v>
      </c>
      <c r="Q469" s="2"/>
      <c r="R469" s="2"/>
      <c r="S469" s="2"/>
    </row>
    <row r="470" customFormat="false" ht="14.25" hidden="false" customHeight="false" outlineLevel="0" collapsed="false">
      <c r="A470" s="4" t="s">
        <v>535</v>
      </c>
      <c r="B470" s="4" t="s">
        <v>506</v>
      </c>
      <c r="C470" s="5" t="n">
        <v>2</v>
      </c>
      <c r="D470" s="5" t="n">
        <v>923</v>
      </c>
      <c r="E470" s="5" t="n">
        <v>0</v>
      </c>
      <c r="F470" s="5" t="n">
        <v>9</v>
      </c>
      <c r="G470" s="5" t="n">
        <v>9</v>
      </c>
      <c r="H470" s="5" t="n">
        <v>914</v>
      </c>
      <c r="I470" s="6" t="n">
        <v>2</v>
      </c>
      <c r="J470" s="6" t="n">
        <v>4.3</v>
      </c>
      <c r="K470" s="6" t="n">
        <v>10</v>
      </c>
      <c r="L470" s="6" t="n">
        <v>10</v>
      </c>
      <c r="M470" s="4" t="str">
        <f aca="false">IF(AND(K470="",L470=""),"No closed tickets",IF(K470="","MISSING in catalog",IF(L470="","No valid closed tickets",IF(AND(ABS(K470-L470)&gt;=$S$3,ABS(K470-L470)&gt;=$S$4*MAX(L470,1)),"FAR OFF","OK"))))</f>
        <v>OK</v>
      </c>
      <c r="N470" s="7" t="n">
        <f aca="false">D470/SUMIFS($D$2:$D$741,$B$2:$B$741,B470)</f>
        <v>0.00508083649394758</v>
      </c>
      <c r="O470" s="7" t="n">
        <f aca="false">SUMIFS($D$2:D470,$B$2:B470,B470)/SUMIFS($D$2:$D$741,$B$2:$B$741,B470)</f>
        <v>0.942376818614688</v>
      </c>
      <c r="P470" s="8" t="b">
        <f aca="false">O470-N470&lt;$S$2</f>
        <v>1</v>
      </c>
      <c r="Q470" s="2"/>
      <c r="R470" s="2"/>
      <c r="S470" s="2"/>
    </row>
    <row r="471" customFormat="false" ht="14.25" hidden="false" customHeight="false" outlineLevel="0" collapsed="false">
      <c r="A471" s="4" t="s">
        <v>536</v>
      </c>
      <c r="B471" s="4" t="s">
        <v>506</v>
      </c>
      <c r="C471" s="5" t="n">
        <v>1</v>
      </c>
      <c r="D471" s="5" t="n">
        <v>719</v>
      </c>
      <c r="E471" s="5" t="n">
        <v>519</v>
      </c>
      <c r="F471" s="5" t="n">
        <v>38</v>
      </c>
      <c r="G471" s="5" t="n">
        <v>2</v>
      </c>
      <c r="H471" s="5" t="n">
        <v>681</v>
      </c>
      <c r="I471" s="6" t="n">
        <v>8</v>
      </c>
      <c r="J471" s="6" t="n">
        <v>13.3</v>
      </c>
      <c r="K471" s="6" t="n">
        <v>28</v>
      </c>
      <c r="L471" s="6" t="n">
        <v>28</v>
      </c>
      <c r="M471" s="4" t="str">
        <f aca="false">IF(AND(K471="",L471=""),"No closed tickets",IF(K471="","MISSING in catalog",IF(L471="","No valid closed tickets",IF(AND(ABS(K471-L471)&gt;=$S$3,ABS(K471-L471)&gt;=$S$4*MAX(L471,1)),"FAR OFF","OK"))))</f>
        <v>OK</v>
      </c>
      <c r="N471" s="7" t="n">
        <f aca="false">D471/SUMIFS($D$2:$D$741,$B$2:$B$741,B471)</f>
        <v>0.00395787804891475</v>
      </c>
      <c r="O471" s="7" t="n">
        <f aca="false">SUMIFS($D$2:D471,$B$2:B471,B471)/SUMIFS($D$2:$D$741,$B$2:$B$741,B471)</f>
        <v>0.946334696663602</v>
      </c>
      <c r="P471" s="8" t="b">
        <f aca="false">O471-N471&lt;$S$2</f>
        <v>1</v>
      </c>
      <c r="Q471" s="2"/>
      <c r="R471" s="2"/>
      <c r="S471" s="2"/>
    </row>
    <row r="472" customFormat="false" ht="14.25" hidden="false" customHeight="false" outlineLevel="0" collapsed="false">
      <c r="A472" s="4" t="s">
        <v>537</v>
      </c>
      <c r="B472" s="4" t="s">
        <v>506</v>
      </c>
      <c r="C472" s="5" t="n">
        <v>2</v>
      </c>
      <c r="D472" s="5" t="n">
        <v>701</v>
      </c>
      <c r="E472" s="5" t="n">
        <v>221</v>
      </c>
      <c r="F472" s="5" t="n">
        <v>3</v>
      </c>
      <c r="G472" s="5" t="n">
        <v>2</v>
      </c>
      <c r="H472" s="5" t="n">
        <v>698</v>
      </c>
      <c r="I472" s="6" t="n">
        <v>1</v>
      </c>
      <c r="J472" s="6" t="n">
        <v>3.7</v>
      </c>
      <c r="K472" s="6" t="n">
        <v>8</v>
      </c>
      <c r="L472" s="6" t="n">
        <v>8</v>
      </c>
      <c r="M472" s="4" t="str">
        <f aca="false">IF(AND(K472="",L472=""),"No closed tickets",IF(K472="","MISSING in catalog",IF(L472="","No valid closed tickets",IF(AND(ABS(K472-L472)&gt;=$S$3,ABS(K472-L472)&gt;=$S$4*MAX(L472,1)),"FAR OFF","OK"))))</f>
        <v>OK</v>
      </c>
      <c r="N472" s="7" t="n">
        <f aca="false">D472/SUMIFS($D$2:$D$741,$B$2:$B$741,B472)</f>
        <v>0.00385879348023538</v>
      </c>
      <c r="O472" s="7" t="n">
        <f aca="false">SUMIFS($D$2:D472,$B$2:B472,B472)/SUMIFS($D$2:$D$741,$B$2:$B$741,B472)</f>
        <v>0.950193490143838</v>
      </c>
      <c r="P472" s="8" t="b">
        <f aca="false">O472-N472&lt;$S$2</f>
        <v>1</v>
      </c>
      <c r="Q472" s="2"/>
      <c r="R472" s="2"/>
      <c r="S472" s="2"/>
    </row>
    <row r="473" customFormat="false" ht="14.25" hidden="false" customHeight="false" outlineLevel="0" collapsed="false">
      <c r="A473" s="4" t="s">
        <v>538</v>
      </c>
      <c r="B473" s="4" t="s">
        <v>506</v>
      </c>
      <c r="C473" s="5" t="n">
        <v>2</v>
      </c>
      <c r="D473" s="5" t="n">
        <v>699</v>
      </c>
      <c r="E473" s="5" t="n">
        <v>0</v>
      </c>
      <c r="F473" s="5" t="n">
        <v>0</v>
      </c>
      <c r="G473" s="5" t="n">
        <v>0</v>
      </c>
      <c r="H473" s="5" t="n">
        <v>699</v>
      </c>
      <c r="I473" s="6" t="n">
        <v>3</v>
      </c>
      <c r="J473" s="6" t="n">
        <v>6.4</v>
      </c>
      <c r="K473" s="6" t="n">
        <v>12</v>
      </c>
      <c r="L473" s="6" t="n">
        <v>12</v>
      </c>
      <c r="M473" s="4" t="str">
        <f aca="false">IF(AND(K473="",L473=""),"No closed tickets",IF(K473="","MISSING in catalog",IF(L473="","No valid closed tickets",IF(AND(ABS(K473-L473)&gt;=$S$3,ABS(K473-L473)&gt;=$S$4*MAX(L473,1)),"FAR OFF","OK"))))</f>
        <v>OK</v>
      </c>
      <c r="N473" s="7" t="n">
        <f aca="false">D473/SUMIFS($D$2:$D$741,$B$2:$B$741,B473)</f>
        <v>0.00384778408371545</v>
      </c>
      <c r="O473" s="7" t="n">
        <f aca="false">SUMIFS($D$2:D473,$B$2:B473,B473)/SUMIFS($D$2:$D$741,$B$2:$B$741,B473)</f>
        <v>0.954041274227553</v>
      </c>
      <c r="P473" s="8" t="b">
        <f aca="false">O473-N473&lt;$S$2</f>
        <v>0</v>
      </c>
      <c r="Q473" s="2"/>
      <c r="R473" s="2"/>
      <c r="S473" s="2"/>
    </row>
    <row r="474" customFormat="false" ht="14.25" hidden="false" customHeight="false" outlineLevel="0" collapsed="false">
      <c r="A474" s="4" t="s">
        <v>539</v>
      </c>
      <c r="B474" s="4" t="s">
        <v>506</v>
      </c>
      <c r="C474" s="5" t="n">
        <v>1</v>
      </c>
      <c r="D474" s="5" t="n">
        <v>688</v>
      </c>
      <c r="E474" s="5" t="n">
        <v>210</v>
      </c>
      <c r="F474" s="5" t="n">
        <v>4</v>
      </c>
      <c r="G474" s="5" t="n">
        <v>1</v>
      </c>
      <c r="H474" s="5" t="n">
        <v>684</v>
      </c>
      <c r="I474" s="6" t="n">
        <v>4</v>
      </c>
      <c r="J474" s="6" t="n">
        <v>5.9</v>
      </c>
      <c r="K474" s="6" t="n">
        <v>13</v>
      </c>
      <c r="L474" s="6" t="n">
        <v>13</v>
      </c>
      <c r="M474" s="4" t="str">
        <f aca="false">IF(AND(K474="",L474=""),"No closed tickets",IF(K474="","MISSING in catalog",IF(L474="","No valid closed tickets",IF(AND(ABS(K474-L474)&gt;=$S$3,ABS(K474-L474)&gt;=$S$4*MAX(L474,1)),"FAR OFF","OK"))))</f>
        <v>OK</v>
      </c>
      <c r="N474" s="7" t="n">
        <f aca="false">D474/SUMIFS($D$2:$D$741,$B$2:$B$741,B474)</f>
        <v>0.00378723240285584</v>
      </c>
      <c r="O474" s="7" t="n">
        <f aca="false">SUMIFS($D$2:D474,$B$2:B474,B474)/SUMIFS($D$2:$D$741,$B$2:$B$741,B474)</f>
        <v>0.957828506630409</v>
      </c>
      <c r="P474" s="8" t="b">
        <f aca="false">O474-N474&lt;$S$2</f>
        <v>0</v>
      </c>
      <c r="Q474" s="2"/>
      <c r="R474" s="2"/>
      <c r="S474" s="2"/>
    </row>
    <row r="475" customFormat="false" ht="14.25" hidden="false" customHeight="false" outlineLevel="0" collapsed="false">
      <c r="A475" s="4" t="s">
        <v>540</v>
      </c>
      <c r="B475" s="4" t="s">
        <v>506</v>
      </c>
      <c r="C475" s="5" t="n">
        <v>1</v>
      </c>
      <c r="D475" s="5" t="n">
        <v>676</v>
      </c>
      <c r="E475" s="5" t="n">
        <v>0</v>
      </c>
      <c r="F475" s="5" t="n">
        <v>0</v>
      </c>
      <c r="G475" s="5" t="n">
        <v>0</v>
      </c>
      <c r="H475" s="5" t="n">
        <v>676</v>
      </c>
      <c r="I475" s="6" t="n">
        <v>0</v>
      </c>
      <c r="J475" s="6" t="n">
        <v>0.3</v>
      </c>
      <c r="K475" s="6" t="n">
        <v>0</v>
      </c>
      <c r="L475" s="6" t="n">
        <v>0</v>
      </c>
      <c r="M475" s="4" t="str">
        <f aca="false">IF(AND(K475="",L475=""),"No closed tickets",IF(K475="","MISSING in catalog",IF(L475="","No valid closed tickets",IF(AND(ABS(K475-L475)&gt;=$S$3,ABS(K475-L475)&gt;=$S$4*MAX(L475,1)),"FAR OFF","OK"))))</f>
        <v>OK</v>
      </c>
      <c r="N475" s="7" t="n">
        <f aca="false">D475/SUMIFS($D$2:$D$741,$B$2:$B$741,B475)</f>
        <v>0.00372117602373626</v>
      </c>
      <c r="O475" s="7" t="n">
        <f aca="false">SUMIFS($D$2:D475,$B$2:B475,B475)/SUMIFS($D$2:$D$741,$B$2:$B$741,B475)</f>
        <v>0.961549682654145</v>
      </c>
      <c r="P475" s="8" t="b">
        <f aca="false">O475-N475&lt;$S$2</f>
        <v>0</v>
      </c>
      <c r="Q475" s="2"/>
      <c r="R475" s="2"/>
      <c r="S475" s="2"/>
    </row>
    <row r="476" customFormat="false" ht="14.25" hidden="false" customHeight="false" outlineLevel="0" collapsed="false">
      <c r="A476" s="4" t="s">
        <v>541</v>
      </c>
      <c r="B476" s="4" t="s">
        <v>506</v>
      </c>
      <c r="C476" s="5" t="n">
        <v>1</v>
      </c>
      <c r="D476" s="5" t="n">
        <v>595</v>
      </c>
      <c r="E476" s="5" t="n">
        <v>199</v>
      </c>
      <c r="F476" s="5" t="n">
        <v>8</v>
      </c>
      <c r="G476" s="5" t="n">
        <v>2</v>
      </c>
      <c r="H476" s="5" t="n">
        <v>587</v>
      </c>
      <c r="I476" s="6" t="n">
        <v>4</v>
      </c>
      <c r="J476" s="6" t="n">
        <v>6.1</v>
      </c>
      <c r="K476" s="6" t="n">
        <v>12</v>
      </c>
      <c r="L476" s="6" t="n">
        <v>12.4</v>
      </c>
      <c r="M476" s="4" t="str">
        <f aca="false">IF(AND(K476="",L476=""),"No closed tickets",IF(K476="","MISSING in catalog",IF(L476="","No valid closed tickets",IF(AND(ABS(K476-L476)&gt;=$S$3,ABS(K476-L476)&gt;=$S$4*MAX(L476,1)),"FAR OFF","OK"))))</f>
        <v>OK</v>
      </c>
      <c r="N476" s="7" t="n">
        <f aca="false">D476/SUMIFS($D$2:$D$741,$B$2:$B$741,B476)</f>
        <v>0.0032752954646791</v>
      </c>
      <c r="O476" s="7" t="n">
        <f aca="false">SUMIFS($D$2:D476,$B$2:B476,B476)/SUMIFS($D$2:$D$741,$B$2:$B$741,B476)</f>
        <v>0.964824978118824</v>
      </c>
      <c r="P476" s="8" t="b">
        <f aca="false">O476-N476&lt;$S$2</f>
        <v>0</v>
      </c>
      <c r="Q476" s="2"/>
      <c r="R476" s="2"/>
      <c r="S476" s="2"/>
    </row>
    <row r="477" customFormat="false" ht="14.25" hidden="false" customHeight="false" outlineLevel="0" collapsed="false">
      <c r="A477" s="4" t="s">
        <v>542</v>
      </c>
      <c r="B477" s="4" t="s">
        <v>506</v>
      </c>
      <c r="C477" s="5" t="n">
        <v>2</v>
      </c>
      <c r="D477" s="5" t="n">
        <v>592</v>
      </c>
      <c r="E477" s="5" t="n">
        <v>0</v>
      </c>
      <c r="F477" s="5" t="n">
        <v>0</v>
      </c>
      <c r="G477" s="5" t="n">
        <v>0</v>
      </c>
      <c r="H477" s="5" t="n">
        <v>592</v>
      </c>
      <c r="I477" s="6" t="n">
        <v>3</v>
      </c>
      <c r="J477" s="6" t="n">
        <v>6.6</v>
      </c>
      <c r="K477" s="6" t="n">
        <v>11</v>
      </c>
      <c r="L477" s="6" t="n">
        <v>11</v>
      </c>
      <c r="M477" s="4" t="str">
        <f aca="false">IF(AND(K477="",L477=""),"No closed tickets",IF(K477="","MISSING in catalog",IF(L477="","No valid closed tickets",IF(AND(ABS(K477-L477)&gt;=$S$3,ABS(K477-L477)&gt;=$S$4*MAX(L477,1)),"FAR OFF","OK"))))</f>
        <v>OK</v>
      </c>
      <c r="N477" s="7" t="n">
        <f aca="false">D477/SUMIFS($D$2:$D$741,$B$2:$B$741,B477)</f>
        <v>0.00325878136989921</v>
      </c>
      <c r="O477" s="7" t="n">
        <f aca="false">SUMIFS($D$2:D477,$B$2:B477,B477)/SUMIFS($D$2:$D$741,$B$2:$B$741,B477)</f>
        <v>0.968083759488724</v>
      </c>
      <c r="P477" s="8" t="b">
        <f aca="false">O477-N477&lt;$S$2</f>
        <v>0</v>
      </c>
      <c r="Q477" s="2"/>
      <c r="R477" s="2"/>
      <c r="S477" s="2"/>
    </row>
    <row r="478" customFormat="false" ht="14.25" hidden="false" customHeight="false" outlineLevel="0" collapsed="false">
      <c r="A478" s="4" t="s">
        <v>543</v>
      </c>
      <c r="B478" s="4" t="s">
        <v>506</v>
      </c>
      <c r="C478" s="5" t="n">
        <v>2</v>
      </c>
      <c r="D478" s="5" t="n">
        <v>591</v>
      </c>
      <c r="E478" s="5" t="n">
        <v>154</v>
      </c>
      <c r="F478" s="5" t="n">
        <v>2</v>
      </c>
      <c r="G478" s="5" t="n">
        <v>0</v>
      </c>
      <c r="H478" s="5" t="n">
        <v>589</v>
      </c>
      <c r="I478" s="6" t="n">
        <v>1</v>
      </c>
      <c r="J478" s="6" t="n">
        <v>2.8</v>
      </c>
      <c r="K478" s="6" t="n">
        <v>7</v>
      </c>
      <c r="L478" s="6" t="n">
        <v>7</v>
      </c>
      <c r="M478" s="4" t="str">
        <f aca="false">IF(AND(K478="",L478=""),"No closed tickets",IF(K478="","MISSING in catalog",IF(L478="","No valid closed tickets",IF(AND(ABS(K478-L478)&gt;=$S$3,ABS(K478-L478)&gt;=$S$4*MAX(L478,1)),"FAR OFF","OK"))))</f>
        <v>OK</v>
      </c>
      <c r="N478" s="7" t="n">
        <f aca="false">D478/SUMIFS($D$2:$D$741,$B$2:$B$741,B478)</f>
        <v>0.00325327667163924</v>
      </c>
      <c r="O478" s="7" t="n">
        <f aca="false">SUMIFS($D$2:D478,$B$2:B478,B478)/SUMIFS($D$2:$D$741,$B$2:$B$741,B478)</f>
        <v>0.971337036160363</v>
      </c>
      <c r="P478" s="8" t="b">
        <f aca="false">O478-N478&lt;$S$2</f>
        <v>0</v>
      </c>
      <c r="Q478" s="2"/>
      <c r="R478" s="2"/>
      <c r="S478" s="2"/>
    </row>
    <row r="479" customFormat="false" ht="14.25" hidden="false" customHeight="false" outlineLevel="0" collapsed="false">
      <c r="A479" s="4" t="s">
        <v>544</v>
      </c>
      <c r="B479" s="4" t="s">
        <v>506</v>
      </c>
      <c r="C479" s="5" t="n">
        <v>2</v>
      </c>
      <c r="D479" s="5" t="n">
        <v>519</v>
      </c>
      <c r="E479" s="5" t="n">
        <v>0</v>
      </c>
      <c r="F479" s="5" t="n">
        <v>0</v>
      </c>
      <c r="G479" s="5" t="n">
        <v>0</v>
      </c>
      <c r="H479" s="5" t="n">
        <v>519</v>
      </c>
      <c r="I479" s="6" t="n">
        <v>5</v>
      </c>
      <c r="J479" s="6" t="n">
        <v>7.9</v>
      </c>
      <c r="K479" s="6" t="n">
        <v>14</v>
      </c>
      <c r="L479" s="6" t="n">
        <v>14</v>
      </c>
      <c r="M479" s="4" t="str">
        <f aca="false">IF(AND(K479="",L479=""),"No closed tickets",IF(K479="","MISSING in catalog",IF(L479="","No valid closed tickets",IF(AND(ABS(K479-L479)&gt;=$S$3,ABS(K479-L479)&gt;=$S$4*MAX(L479,1)),"FAR OFF","OK"))))</f>
        <v>OK</v>
      </c>
      <c r="N479" s="7" t="n">
        <f aca="false">D479/SUMIFS($D$2:$D$741,$B$2:$B$741,B479)</f>
        <v>0.00285693839692177</v>
      </c>
      <c r="O479" s="7" t="n">
        <f aca="false">SUMIFS($D$2:D479,$B$2:B479,B479)/SUMIFS($D$2:$D$741,$B$2:$B$741,B479)</f>
        <v>0.974193974557285</v>
      </c>
      <c r="P479" s="8" t="b">
        <f aca="false">O479-N479&lt;$S$2</f>
        <v>0</v>
      </c>
      <c r="Q479" s="2"/>
      <c r="R479" s="2"/>
      <c r="S479" s="2"/>
    </row>
    <row r="480" customFormat="false" ht="14.25" hidden="false" customHeight="false" outlineLevel="0" collapsed="false">
      <c r="A480" s="4" t="s">
        <v>545</v>
      </c>
      <c r="B480" s="4" t="s">
        <v>506</v>
      </c>
      <c r="C480" s="5" t="n">
        <v>2</v>
      </c>
      <c r="D480" s="5" t="n">
        <v>507</v>
      </c>
      <c r="E480" s="5" t="n">
        <v>92</v>
      </c>
      <c r="F480" s="5" t="n">
        <v>3</v>
      </c>
      <c r="G480" s="5" t="n">
        <v>3</v>
      </c>
      <c r="H480" s="5" t="n">
        <v>504</v>
      </c>
      <c r="I480" s="6" t="n">
        <v>2</v>
      </c>
      <c r="J480" s="6" t="n">
        <v>3.2</v>
      </c>
      <c r="K480" s="6" t="n">
        <v>7</v>
      </c>
      <c r="L480" s="6" t="n">
        <v>7</v>
      </c>
      <c r="M480" s="4" t="str">
        <f aca="false">IF(AND(K480="",L480=""),"No closed tickets",IF(K480="","MISSING in catalog",IF(L480="","No valid closed tickets",IF(AND(ABS(K480-L480)&gt;=$S$3,ABS(K480-L480)&gt;=$S$4*MAX(L480,1)),"FAR OFF","OK"))))</f>
        <v>OK</v>
      </c>
      <c r="N480" s="7" t="n">
        <f aca="false">D480/SUMIFS($D$2:$D$741,$B$2:$B$741,B480)</f>
        <v>0.00279088201780219</v>
      </c>
      <c r="O480" s="7" t="n">
        <f aca="false">SUMIFS($D$2:D480,$B$2:B480,B480)/SUMIFS($D$2:$D$741,$B$2:$B$741,B480)</f>
        <v>0.976984856575087</v>
      </c>
      <c r="P480" s="8" t="b">
        <f aca="false">O480-N480&lt;$S$2</f>
        <v>0</v>
      </c>
      <c r="Q480" s="2"/>
      <c r="R480" s="2"/>
      <c r="S480" s="2"/>
    </row>
    <row r="481" customFormat="false" ht="14.25" hidden="false" customHeight="false" outlineLevel="0" collapsed="false">
      <c r="A481" s="4" t="s">
        <v>546</v>
      </c>
      <c r="B481" s="4" t="s">
        <v>506</v>
      </c>
      <c r="C481" s="5" t="n">
        <v>2</v>
      </c>
      <c r="D481" s="5" t="n">
        <v>487</v>
      </c>
      <c r="E481" s="5" t="n">
        <v>120</v>
      </c>
      <c r="F481" s="5" t="n">
        <v>9</v>
      </c>
      <c r="G481" s="5" t="n">
        <v>2</v>
      </c>
      <c r="H481" s="5" t="n">
        <v>478</v>
      </c>
      <c r="I481" s="6" t="n">
        <v>6</v>
      </c>
      <c r="J481" s="6" t="n">
        <v>16.8</v>
      </c>
      <c r="K481" s="6" t="n">
        <v>46</v>
      </c>
      <c r="L481" s="6" t="n">
        <v>46.3</v>
      </c>
      <c r="M481" s="4" t="str">
        <f aca="false">IF(AND(K481="",L481=""),"No closed tickets",IF(K481="","MISSING in catalog",IF(L481="","No valid closed tickets",IF(AND(ABS(K481-L481)&gt;=$S$3,ABS(K481-L481)&gt;=$S$4*MAX(L481,1)),"FAR OFF","OK"))))</f>
        <v>OK</v>
      </c>
      <c r="N481" s="7" t="n">
        <f aca="false">D481/SUMIFS($D$2:$D$741,$B$2:$B$741,B481)</f>
        <v>0.0026807880526029</v>
      </c>
      <c r="O481" s="7" t="n">
        <f aca="false">SUMIFS($D$2:D481,$B$2:B481,B481)/SUMIFS($D$2:$D$741,$B$2:$B$741,B481)</f>
        <v>0.97966564462769</v>
      </c>
      <c r="P481" s="8" t="b">
        <f aca="false">O481-N481&lt;$S$2</f>
        <v>0</v>
      </c>
      <c r="Q481" s="2"/>
      <c r="R481" s="2"/>
      <c r="S481" s="2"/>
    </row>
    <row r="482" customFormat="false" ht="14.25" hidden="false" customHeight="false" outlineLevel="0" collapsed="false">
      <c r="A482" s="4" t="s">
        <v>547</v>
      </c>
      <c r="B482" s="4" t="s">
        <v>506</v>
      </c>
      <c r="C482" s="5" t="n">
        <v>2</v>
      </c>
      <c r="D482" s="5" t="n">
        <v>431</v>
      </c>
      <c r="E482" s="5" t="n">
        <v>116</v>
      </c>
      <c r="F482" s="5" t="n">
        <v>0</v>
      </c>
      <c r="G482" s="5" t="n">
        <v>0</v>
      </c>
      <c r="H482" s="5" t="n">
        <v>431</v>
      </c>
      <c r="I482" s="6" t="n">
        <v>3</v>
      </c>
      <c r="J482" s="6" t="n">
        <v>6.9</v>
      </c>
      <c r="K482" s="6" t="n">
        <v>14</v>
      </c>
      <c r="L482" s="6" t="n">
        <v>14</v>
      </c>
      <c r="M482" s="4" t="str">
        <f aca="false">IF(AND(K482="",L482=""),"No closed tickets",IF(K482="","MISSING in catalog",IF(L482="","No valid closed tickets",IF(AND(ABS(K482-L482)&gt;=$S$3,ABS(K482-L482)&gt;=$S$4*MAX(L482,1)),"FAR OFF","OK"))))</f>
        <v>OK</v>
      </c>
      <c r="N482" s="7" t="n">
        <f aca="false">D482/SUMIFS($D$2:$D$741,$B$2:$B$741,B482)</f>
        <v>0.00237252495004486</v>
      </c>
      <c r="O482" s="7" t="n">
        <f aca="false">SUMIFS($D$2:D482,$B$2:B482,B482)/SUMIFS($D$2:$D$741,$B$2:$B$741,B482)</f>
        <v>0.982038169577735</v>
      </c>
      <c r="P482" s="8" t="b">
        <f aca="false">O482-N482&lt;$S$2</f>
        <v>0</v>
      </c>
      <c r="Q482" s="2"/>
      <c r="R482" s="2"/>
      <c r="S482" s="2"/>
    </row>
    <row r="483" customFormat="false" ht="14.25" hidden="false" customHeight="false" outlineLevel="0" collapsed="false">
      <c r="A483" s="4" t="s">
        <v>548</v>
      </c>
      <c r="B483" s="4" t="s">
        <v>506</v>
      </c>
      <c r="C483" s="5" t="n">
        <v>2</v>
      </c>
      <c r="D483" s="5" t="n">
        <v>385</v>
      </c>
      <c r="E483" s="5" t="n">
        <v>125</v>
      </c>
      <c r="F483" s="5" t="n">
        <v>2</v>
      </c>
      <c r="G483" s="5" t="n">
        <v>1</v>
      </c>
      <c r="H483" s="5" t="n">
        <v>383</v>
      </c>
      <c r="I483" s="6" t="n">
        <v>1</v>
      </c>
      <c r="J483" s="6" t="n">
        <v>4.8</v>
      </c>
      <c r="K483" s="6" t="n">
        <v>13</v>
      </c>
      <c r="L483" s="6" t="n">
        <v>12.8</v>
      </c>
      <c r="M483" s="4" t="str">
        <f aca="false">IF(AND(K483="",L483=""),"No closed tickets",IF(K483="","MISSING in catalog",IF(L483="","No valid closed tickets",IF(AND(ABS(K483-L483)&gt;=$S$3,ABS(K483-L483)&gt;=$S$4*MAX(L483,1)),"FAR OFF","OK"))))</f>
        <v>OK</v>
      </c>
      <c r="N483" s="7" t="n">
        <f aca="false">D483/SUMIFS($D$2:$D$741,$B$2:$B$741,B483)</f>
        <v>0.00211930883008648</v>
      </c>
      <c r="O483" s="7" t="n">
        <f aca="false">SUMIFS($D$2:D483,$B$2:B483,B483)/SUMIFS($D$2:$D$741,$B$2:$B$741,B483)</f>
        <v>0.984157478407821</v>
      </c>
      <c r="P483" s="8" t="b">
        <f aca="false">O483-N483&lt;$S$2</f>
        <v>0</v>
      </c>
      <c r="Q483" s="2"/>
      <c r="R483" s="2"/>
      <c r="S483" s="2"/>
    </row>
    <row r="484" customFormat="false" ht="14.25" hidden="false" customHeight="false" outlineLevel="0" collapsed="false">
      <c r="A484" s="4" t="s">
        <v>549</v>
      </c>
      <c r="B484" s="4" t="s">
        <v>506</v>
      </c>
      <c r="C484" s="5" t="n">
        <v>2</v>
      </c>
      <c r="D484" s="5" t="n">
        <v>375</v>
      </c>
      <c r="E484" s="5" t="n">
        <v>0</v>
      </c>
      <c r="F484" s="5" t="n">
        <v>0</v>
      </c>
      <c r="G484" s="5" t="n">
        <v>0</v>
      </c>
      <c r="H484" s="5" t="n">
        <v>375</v>
      </c>
      <c r="I484" s="6" t="n">
        <v>3</v>
      </c>
      <c r="J484" s="6" t="n">
        <v>4.6</v>
      </c>
      <c r="K484" s="6" t="n">
        <v>7</v>
      </c>
      <c r="L484" s="6" t="n">
        <v>7</v>
      </c>
      <c r="M484" s="4" t="str">
        <f aca="false">IF(AND(K484="",L484=""),"No closed tickets",IF(K484="","MISSING in catalog",IF(L484="","No valid closed tickets",IF(AND(ABS(K484-L484)&gt;=$S$3,ABS(K484-L484)&gt;=$S$4*MAX(L484,1)),"FAR OFF","OK"))))</f>
        <v>OK</v>
      </c>
      <c r="N484" s="7" t="n">
        <f aca="false">D484/SUMIFS($D$2:$D$741,$B$2:$B$741,B484)</f>
        <v>0.00206426184748683</v>
      </c>
      <c r="O484" s="7" t="n">
        <f aca="false">SUMIFS($D$2:D484,$B$2:B484,B484)/SUMIFS($D$2:$D$741,$B$2:$B$741,B484)</f>
        <v>0.986221740255308</v>
      </c>
      <c r="P484" s="8" t="b">
        <f aca="false">O484-N484&lt;$S$2</f>
        <v>0</v>
      </c>
      <c r="Q484" s="2"/>
      <c r="R484" s="2"/>
      <c r="S484" s="2"/>
    </row>
    <row r="485" customFormat="false" ht="14.25" hidden="false" customHeight="false" outlineLevel="0" collapsed="false">
      <c r="A485" s="4" t="s">
        <v>550</v>
      </c>
      <c r="B485" s="4" t="s">
        <v>506</v>
      </c>
      <c r="C485" s="5" t="n">
        <v>1</v>
      </c>
      <c r="D485" s="5" t="n">
        <v>348</v>
      </c>
      <c r="E485" s="5" t="n">
        <v>0</v>
      </c>
      <c r="F485" s="5" t="n">
        <v>0</v>
      </c>
      <c r="G485" s="5" t="n">
        <v>0</v>
      </c>
      <c r="H485" s="5" t="n">
        <v>348</v>
      </c>
      <c r="I485" s="6" t="n">
        <v>1</v>
      </c>
      <c r="J485" s="6" t="n">
        <v>3.3</v>
      </c>
      <c r="K485" s="6" t="n">
        <v>4</v>
      </c>
      <c r="L485" s="6" t="n">
        <v>4</v>
      </c>
      <c r="M485" s="4" t="str">
        <f aca="false">IF(AND(K485="",L485=""),"No closed tickets",IF(K485="","MISSING in catalog",IF(L485="","No valid closed tickets",IF(AND(ABS(K485-L485)&gt;=$S$3,ABS(K485-L485)&gt;=$S$4*MAX(L485,1)),"FAR OFF","OK"))))</f>
        <v>OK</v>
      </c>
      <c r="N485" s="7" t="n">
        <f aca="false">D485/SUMIFS($D$2:$D$741,$B$2:$B$741,B485)</f>
        <v>0.00191563499446778</v>
      </c>
      <c r="O485" s="7" t="n">
        <f aca="false">SUMIFS($D$2:D485,$B$2:B485,B485)/SUMIFS($D$2:$D$741,$B$2:$B$741,B485)</f>
        <v>0.988137375249776</v>
      </c>
      <c r="P485" s="8" t="b">
        <f aca="false">O485-N485&lt;$S$2</f>
        <v>0</v>
      </c>
      <c r="Q485" s="2"/>
      <c r="R485" s="2"/>
      <c r="S485" s="2"/>
    </row>
    <row r="486" customFormat="false" ht="14.25" hidden="false" customHeight="false" outlineLevel="0" collapsed="false">
      <c r="A486" s="4" t="s">
        <v>551</v>
      </c>
      <c r="B486" s="4" t="s">
        <v>506</v>
      </c>
      <c r="C486" s="5" t="n">
        <v>2</v>
      </c>
      <c r="D486" s="5" t="n">
        <v>335</v>
      </c>
      <c r="E486" s="5" t="n">
        <v>0</v>
      </c>
      <c r="F486" s="5" t="n">
        <v>0</v>
      </c>
      <c r="G486" s="5" t="n">
        <v>0</v>
      </c>
      <c r="H486" s="5" t="n">
        <v>335</v>
      </c>
      <c r="I486" s="6" t="n">
        <v>8</v>
      </c>
      <c r="J486" s="6" t="n">
        <v>13.4</v>
      </c>
      <c r="K486" s="6" t="n">
        <v>20</v>
      </c>
      <c r="L486" s="6" t="n">
        <v>20</v>
      </c>
      <c r="M486" s="4" t="str">
        <f aca="false">IF(AND(K486="",L486=""),"No closed tickets",IF(K486="","MISSING in catalog",IF(L486="","No valid closed tickets",IF(AND(ABS(K486-L486)&gt;=$S$3,ABS(K486-L486)&gt;=$S$4*MAX(L486,1)),"FAR OFF","OK"))))</f>
        <v>OK</v>
      </c>
      <c r="N486" s="7" t="n">
        <f aca="false">D486/SUMIFS($D$2:$D$741,$B$2:$B$741,B486)</f>
        <v>0.00184407391708823</v>
      </c>
      <c r="O486" s="7" t="n">
        <f aca="false">SUMIFS($D$2:D486,$B$2:B486,B486)/SUMIFS($D$2:$D$741,$B$2:$B$741,B486)</f>
        <v>0.989981449166864</v>
      </c>
      <c r="P486" s="8" t="b">
        <f aca="false">O486-N486&lt;$S$2</f>
        <v>0</v>
      </c>
      <c r="Q486" s="2"/>
      <c r="R486" s="2"/>
      <c r="S486" s="2"/>
    </row>
    <row r="487" customFormat="false" ht="14.25" hidden="false" customHeight="false" outlineLevel="0" collapsed="false">
      <c r="A487" s="4" t="s">
        <v>552</v>
      </c>
      <c r="B487" s="4" t="s">
        <v>506</v>
      </c>
      <c r="C487" s="5" t="n">
        <v>1</v>
      </c>
      <c r="D487" s="5" t="n">
        <v>301</v>
      </c>
      <c r="E487" s="5" t="n">
        <v>93</v>
      </c>
      <c r="F487" s="5" t="n">
        <v>7</v>
      </c>
      <c r="G487" s="5" t="n">
        <v>3</v>
      </c>
      <c r="H487" s="5" t="n">
        <v>294</v>
      </c>
      <c r="I487" s="6" t="n">
        <v>4</v>
      </c>
      <c r="J487" s="6" t="n">
        <v>7.3</v>
      </c>
      <c r="K487" s="6" t="n">
        <v>18</v>
      </c>
      <c r="L487" s="6" t="n">
        <v>17.7</v>
      </c>
      <c r="M487" s="4" t="str">
        <f aca="false">IF(AND(K487="",L487=""),"No closed tickets",IF(K487="","MISSING in catalog",IF(L487="","No valid closed tickets",IF(AND(ABS(K487-L487)&gt;=$S$3,ABS(K487-L487)&gt;=$S$4*MAX(L487,1)),"FAR OFF","OK"))))</f>
        <v>OK</v>
      </c>
      <c r="N487" s="7" t="n">
        <f aca="false">D487/SUMIFS($D$2:$D$741,$B$2:$B$741,B487)</f>
        <v>0.00165691417624943</v>
      </c>
      <c r="O487" s="7" t="n">
        <f aca="false">SUMIFS($D$2:D487,$B$2:B487,B487)/SUMIFS($D$2:$D$741,$B$2:$B$741,B487)</f>
        <v>0.991638363343113</v>
      </c>
      <c r="P487" s="8" t="b">
        <f aca="false">O487-N487&lt;$S$2</f>
        <v>0</v>
      </c>
      <c r="Q487" s="2"/>
      <c r="R487" s="2"/>
      <c r="S487" s="2"/>
    </row>
    <row r="488" customFormat="false" ht="14.25" hidden="false" customHeight="false" outlineLevel="0" collapsed="false">
      <c r="A488" s="4" t="s">
        <v>553</v>
      </c>
      <c r="B488" s="4" t="s">
        <v>506</v>
      </c>
      <c r="C488" s="5" t="n">
        <v>2</v>
      </c>
      <c r="D488" s="5" t="n">
        <v>215</v>
      </c>
      <c r="E488" s="5" t="n">
        <v>0</v>
      </c>
      <c r="F488" s="5" t="n">
        <v>0</v>
      </c>
      <c r="G488" s="5" t="n">
        <v>0</v>
      </c>
      <c r="H488" s="5" t="n">
        <v>215</v>
      </c>
      <c r="I488" s="6" t="n">
        <v>3</v>
      </c>
      <c r="J488" s="6" t="n">
        <v>5</v>
      </c>
      <c r="K488" s="6" t="n">
        <v>10</v>
      </c>
      <c r="L488" s="6" t="n">
        <v>10</v>
      </c>
      <c r="M488" s="4" t="str">
        <f aca="false">IF(AND(K488="",L488=""),"No closed tickets",IF(K488="","MISSING in catalog",IF(L488="","No valid closed tickets",IF(AND(ABS(K488-L488)&gt;=$S$3,ABS(K488-L488)&gt;=$S$4*MAX(L488,1)),"FAR OFF","OK"))))</f>
        <v>OK</v>
      </c>
      <c r="N488" s="7" t="n">
        <f aca="false">D488/SUMIFS($D$2:$D$741,$B$2:$B$741,B488)</f>
        <v>0.00118351012589245</v>
      </c>
      <c r="O488" s="7" t="n">
        <f aca="false">SUMIFS($D$2:D488,$B$2:B488,B488)/SUMIFS($D$2:$D$741,$B$2:$B$741,B488)</f>
        <v>0.992821873469006</v>
      </c>
      <c r="P488" s="8" t="b">
        <f aca="false">O488-N488&lt;$S$2</f>
        <v>0</v>
      </c>
      <c r="Q488" s="2"/>
      <c r="R488" s="2"/>
      <c r="S488" s="2"/>
    </row>
    <row r="489" customFormat="false" ht="14.25" hidden="false" customHeight="false" outlineLevel="0" collapsed="false">
      <c r="A489" s="4" t="s">
        <v>554</v>
      </c>
      <c r="B489" s="4" t="s">
        <v>506</v>
      </c>
      <c r="C489" s="5" t="n">
        <v>2</v>
      </c>
      <c r="D489" s="5" t="n">
        <v>183</v>
      </c>
      <c r="E489" s="5" t="n">
        <v>0</v>
      </c>
      <c r="F489" s="5" t="n">
        <v>0</v>
      </c>
      <c r="G489" s="5" t="n">
        <v>0</v>
      </c>
      <c r="H489" s="5" t="n">
        <v>183</v>
      </c>
      <c r="I489" s="6" t="n">
        <v>4</v>
      </c>
      <c r="J489" s="6" t="n">
        <v>6.8</v>
      </c>
      <c r="K489" s="6" t="n">
        <v>16</v>
      </c>
      <c r="L489" s="6" t="n">
        <v>15.6</v>
      </c>
      <c r="M489" s="4" t="str">
        <f aca="false">IF(AND(K489="",L489=""),"No closed tickets",IF(K489="","MISSING in catalog",IF(L489="","No valid closed tickets",IF(AND(ABS(K489-L489)&gt;=$S$3,ABS(K489-L489)&gt;=$S$4*MAX(L489,1)),"FAR OFF","OK"))))</f>
        <v>OK</v>
      </c>
      <c r="N489" s="7" t="n">
        <f aca="false">D489/SUMIFS($D$2:$D$741,$B$2:$B$741,B489)</f>
        <v>0.00100735978157357</v>
      </c>
      <c r="O489" s="7" t="n">
        <f aca="false">SUMIFS($D$2:D489,$B$2:B489,B489)/SUMIFS($D$2:$D$741,$B$2:$B$741,B489)</f>
        <v>0.993829233250579</v>
      </c>
      <c r="P489" s="8" t="b">
        <f aca="false">O489-N489&lt;$S$2</f>
        <v>0</v>
      </c>
      <c r="Q489" s="2"/>
      <c r="R489" s="2"/>
      <c r="S489" s="2"/>
    </row>
    <row r="490" customFormat="false" ht="14.25" hidden="false" customHeight="false" outlineLevel="0" collapsed="false">
      <c r="A490" s="4" t="s">
        <v>555</v>
      </c>
      <c r="B490" s="4" t="s">
        <v>506</v>
      </c>
      <c r="C490" s="5" t="n">
        <v>1</v>
      </c>
      <c r="D490" s="5" t="n">
        <v>169</v>
      </c>
      <c r="E490" s="5" t="n">
        <v>142</v>
      </c>
      <c r="F490" s="5" t="n">
        <v>7</v>
      </c>
      <c r="G490" s="5" t="n">
        <v>2</v>
      </c>
      <c r="H490" s="5" t="n">
        <v>162</v>
      </c>
      <c r="I490" s="6" t="n">
        <v>7</v>
      </c>
      <c r="J490" s="6" t="n">
        <v>10</v>
      </c>
      <c r="K490" s="6" t="n">
        <v>22</v>
      </c>
      <c r="L490" s="6" t="n">
        <v>22</v>
      </c>
      <c r="M490" s="4" t="str">
        <f aca="false">IF(AND(K490="",L490=""),"No closed tickets",IF(K490="","MISSING in catalog",IF(L490="","No valid closed tickets",IF(AND(ABS(K490-L490)&gt;=$S$3,ABS(K490-L490)&gt;=$S$4*MAX(L490,1)),"FAR OFF","OK"))))</f>
        <v>OK</v>
      </c>
      <c r="N490" s="7" t="n">
        <f aca="false">D490/SUMIFS($D$2:$D$741,$B$2:$B$741,B490)</f>
        <v>0.000930294005934065</v>
      </c>
      <c r="O490" s="7" t="n">
        <f aca="false">SUMIFS($D$2:D490,$B$2:B490,B490)/SUMIFS($D$2:$D$741,$B$2:$B$741,B490)</f>
        <v>0.994759527256513</v>
      </c>
      <c r="P490" s="8" t="b">
        <f aca="false">O490-N490&lt;$S$2</f>
        <v>0</v>
      </c>
      <c r="Q490" s="2"/>
      <c r="R490" s="2"/>
      <c r="S490" s="2"/>
    </row>
    <row r="491" customFormat="false" ht="14.25" hidden="false" customHeight="false" outlineLevel="0" collapsed="false">
      <c r="A491" s="4" t="s">
        <v>556</v>
      </c>
      <c r="B491" s="4" t="s">
        <v>506</v>
      </c>
      <c r="C491" s="5" t="n">
        <v>2</v>
      </c>
      <c r="D491" s="5" t="n">
        <v>149</v>
      </c>
      <c r="E491" s="5" t="n">
        <v>0</v>
      </c>
      <c r="F491" s="5" t="n">
        <v>0</v>
      </c>
      <c r="G491" s="5" t="n">
        <v>0</v>
      </c>
      <c r="H491" s="5" t="n">
        <v>149</v>
      </c>
      <c r="I491" s="6" t="n">
        <v>3</v>
      </c>
      <c r="J491" s="6" t="n">
        <v>8.2</v>
      </c>
      <c r="K491" s="6" t="n">
        <v>12</v>
      </c>
      <c r="L491" s="6" t="n">
        <v>12.4</v>
      </c>
      <c r="M491" s="4" t="str">
        <f aca="false">IF(AND(K491="",L491=""),"No closed tickets",IF(K491="","MISSING in catalog",IF(L491="","No valid closed tickets",IF(AND(ABS(K491-L491)&gt;=$S$3,ABS(K491-L491)&gt;=$S$4*MAX(L491,1)),"FAR OFF","OK"))))</f>
        <v>OK</v>
      </c>
      <c r="N491" s="7" t="n">
        <f aca="false">D491/SUMIFS($D$2:$D$741,$B$2:$B$741,B491)</f>
        <v>0.000820200040734767</v>
      </c>
      <c r="O491" s="7" t="n">
        <f aca="false">SUMIFS($D$2:D491,$B$2:B491,B491)/SUMIFS($D$2:$D$741,$B$2:$B$741,B491)</f>
        <v>0.995579727297248</v>
      </c>
      <c r="P491" s="8" t="b">
        <f aca="false">O491-N491&lt;$S$2</f>
        <v>0</v>
      </c>
      <c r="Q491" s="2"/>
      <c r="R491" s="2"/>
      <c r="S491" s="2"/>
    </row>
    <row r="492" customFormat="false" ht="14.25" hidden="false" customHeight="false" outlineLevel="0" collapsed="false">
      <c r="A492" s="4" t="s">
        <v>557</v>
      </c>
      <c r="B492" s="4" t="s">
        <v>506</v>
      </c>
      <c r="C492" s="5" t="n">
        <v>1</v>
      </c>
      <c r="D492" s="5" t="n">
        <v>144</v>
      </c>
      <c r="E492" s="5" t="n">
        <v>144</v>
      </c>
      <c r="F492" s="5" t="n">
        <v>13</v>
      </c>
      <c r="G492" s="5" t="n">
        <v>0</v>
      </c>
      <c r="H492" s="5" t="n">
        <v>131</v>
      </c>
      <c r="I492" s="6" t="n">
        <v>4</v>
      </c>
      <c r="J492" s="6" t="n">
        <v>4.6</v>
      </c>
      <c r="K492" s="6" t="n">
        <v>11</v>
      </c>
      <c r="L492" s="6" t="n">
        <v>11</v>
      </c>
      <c r="M492" s="4" t="str">
        <f aca="false">IF(AND(K492="",L492=""),"No closed tickets",IF(K492="","MISSING in catalog",IF(L492="","No valid closed tickets",IF(AND(ABS(K492-L492)&gt;=$S$3,ABS(K492-L492)&gt;=$S$4*MAX(L492,1)),"FAR OFF","OK"))))</f>
        <v>OK</v>
      </c>
      <c r="N492" s="7" t="n">
        <f aca="false">D492/SUMIFS($D$2:$D$741,$B$2:$B$741,B492)</f>
        <v>0.000792676549434943</v>
      </c>
      <c r="O492" s="7" t="n">
        <f aca="false">SUMIFS($D$2:D492,$B$2:B492,B492)/SUMIFS($D$2:$D$741,$B$2:$B$741,B492)</f>
        <v>0.996372403846683</v>
      </c>
      <c r="P492" s="8" t="b">
        <f aca="false">O492-N492&lt;$S$2</f>
        <v>0</v>
      </c>
      <c r="Q492" s="2"/>
      <c r="R492" s="2"/>
      <c r="S492" s="2"/>
    </row>
    <row r="493" customFormat="false" ht="14.25" hidden="false" customHeight="false" outlineLevel="0" collapsed="false">
      <c r="A493" s="4" t="s">
        <v>558</v>
      </c>
      <c r="B493" s="4" t="s">
        <v>506</v>
      </c>
      <c r="C493" s="5" t="n">
        <v>1</v>
      </c>
      <c r="D493" s="5" t="n">
        <v>128</v>
      </c>
      <c r="E493" s="5" t="n">
        <v>39</v>
      </c>
      <c r="F493" s="5" t="n">
        <v>1</v>
      </c>
      <c r="G493" s="5" t="n">
        <v>0</v>
      </c>
      <c r="H493" s="5" t="n">
        <v>127</v>
      </c>
      <c r="I493" s="6" t="n">
        <v>12</v>
      </c>
      <c r="J493" s="6" t="n">
        <v>11.5</v>
      </c>
      <c r="K493" s="6" t="n">
        <v>15</v>
      </c>
      <c r="L493" s="6" t="n">
        <v>15</v>
      </c>
      <c r="M493" s="4" t="str">
        <f aca="false">IF(AND(K493="",L493=""),"No closed tickets",IF(K493="","MISSING in catalog",IF(L493="","No valid closed tickets",IF(AND(ABS(K493-L493)&gt;=$S$3,ABS(K493-L493)&gt;=$S$4*MAX(L493,1)),"FAR OFF","OK"))))</f>
        <v>OK</v>
      </c>
      <c r="N493" s="7" t="n">
        <f aca="false">D493/SUMIFS($D$2:$D$741,$B$2:$B$741,B493)</f>
        <v>0.000704601377275505</v>
      </c>
      <c r="O493" s="7" t="n">
        <f aca="false">SUMIFS($D$2:D493,$B$2:B493,B493)/SUMIFS($D$2:$D$741,$B$2:$B$741,B493)</f>
        <v>0.997077005223959</v>
      </c>
      <c r="P493" s="8" t="b">
        <f aca="false">O493-N493&lt;$S$2</f>
        <v>0</v>
      </c>
      <c r="Q493" s="2"/>
      <c r="R493" s="2"/>
      <c r="S493" s="2"/>
    </row>
    <row r="494" customFormat="false" ht="14.25" hidden="false" customHeight="false" outlineLevel="0" collapsed="false">
      <c r="A494" s="4" t="s">
        <v>559</v>
      </c>
      <c r="B494" s="4" t="s">
        <v>506</v>
      </c>
      <c r="C494" s="5" t="n">
        <v>1</v>
      </c>
      <c r="D494" s="5" t="n">
        <v>112</v>
      </c>
      <c r="E494" s="5" t="n">
        <v>0</v>
      </c>
      <c r="F494" s="5" t="n">
        <v>0</v>
      </c>
      <c r="G494" s="5" t="n">
        <v>0</v>
      </c>
      <c r="H494" s="5" t="n">
        <v>112</v>
      </c>
      <c r="I494" s="6" t="n">
        <v>4</v>
      </c>
      <c r="J494" s="6" t="n">
        <v>5.7</v>
      </c>
      <c r="K494" s="6" t="n">
        <v>11</v>
      </c>
      <c r="L494" s="6" t="n">
        <v>11</v>
      </c>
      <c r="M494" s="4" t="str">
        <f aca="false">IF(AND(K494="",L494=""),"No closed tickets",IF(K494="","MISSING in catalog",IF(L494="","No valid closed tickets",IF(AND(ABS(K494-L494)&gt;=$S$3,ABS(K494-L494)&gt;=$S$4*MAX(L494,1)),"FAR OFF","OK"))))</f>
        <v>OK</v>
      </c>
      <c r="N494" s="7" t="n">
        <f aca="false">D494/SUMIFS($D$2:$D$741,$B$2:$B$741,B494)</f>
        <v>0.000616526205116067</v>
      </c>
      <c r="O494" s="7" t="n">
        <f aca="false">SUMIFS($D$2:D494,$B$2:B494,B494)/SUMIFS($D$2:$D$741,$B$2:$B$741,B494)</f>
        <v>0.997693531429075</v>
      </c>
      <c r="P494" s="8" t="b">
        <f aca="false">O494-N494&lt;$S$2</f>
        <v>0</v>
      </c>
      <c r="Q494" s="2"/>
      <c r="R494" s="2"/>
      <c r="S494" s="2"/>
    </row>
    <row r="495" customFormat="false" ht="14.25" hidden="false" customHeight="false" outlineLevel="0" collapsed="false">
      <c r="A495" s="4" t="s">
        <v>560</v>
      </c>
      <c r="B495" s="4" t="s">
        <v>506</v>
      </c>
      <c r="C495" s="5" t="n">
        <v>3</v>
      </c>
      <c r="D495" s="5" t="n">
        <v>95</v>
      </c>
      <c r="E495" s="5" t="n">
        <v>0</v>
      </c>
      <c r="F495" s="5" t="n">
        <v>0</v>
      </c>
      <c r="G495" s="5" t="n">
        <v>0</v>
      </c>
      <c r="H495" s="5" t="n">
        <v>95</v>
      </c>
      <c r="I495" s="6" t="n">
        <v>19</v>
      </c>
      <c r="J495" s="6" t="n">
        <v>27.2</v>
      </c>
      <c r="K495" s="6" t="n">
        <v>55</v>
      </c>
      <c r="L495" s="6" t="n">
        <v>55</v>
      </c>
      <c r="M495" s="4" t="str">
        <f aca="false">IF(AND(K495="",L495=""),"No closed tickets",IF(K495="","MISSING in catalog",IF(L495="","No valid closed tickets",IF(AND(ABS(K495-L495)&gt;=$S$3,ABS(K495-L495)&gt;=$S$4*MAX(L495,1)),"FAR OFF","OK"))))</f>
        <v>OK</v>
      </c>
      <c r="N495" s="7" t="n">
        <f aca="false">D495/SUMIFS($D$2:$D$741,$B$2:$B$741,B495)</f>
        <v>0.000522946334696664</v>
      </c>
      <c r="O495" s="7" t="n">
        <f aca="false">SUMIFS($D$2:D495,$B$2:B495,B495)/SUMIFS($D$2:$D$741,$B$2:$B$741,B495)</f>
        <v>0.998216477763771</v>
      </c>
      <c r="P495" s="8" t="b">
        <f aca="false">O495-N495&lt;$S$2</f>
        <v>0</v>
      </c>
      <c r="Q495" s="2"/>
      <c r="R495" s="2"/>
      <c r="S495" s="2"/>
    </row>
    <row r="496" customFormat="false" ht="14.25" hidden="false" customHeight="false" outlineLevel="0" collapsed="false">
      <c r="A496" s="4" t="s">
        <v>561</v>
      </c>
      <c r="B496" s="4" t="s">
        <v>506</v>
      </c>
      <c r="C496" s="5" t="n">
        <v>1</v>
      </c>
      <c r="D496" s="5" t="n">
        <v>91</v>
      </c>
      <c r="E496" s="5" t="n">
        <v>44</v>
      </c>
      <c r="F496" s="5" t="n">
        <v>0</v>
      </c>
      <c r="G496" s="5" t="n">
        <v>0</v>
      </c>
      <c r="H496" s="5" t="n">
        <v>91</v>
      </c>
      <c r="I496" s="6" t="n">
        <v>54</v>
      </c>
      <c r="J496" s="6" t="n">
        <v>82.7</v>
      </c>
      <c r="K496" s="6" t="n">
        <v>178</v>
      </c>
      <c r="L496" s="6" t="n">
        <v>178</v>
      </c>
      <c r="M496" s="4" t="str">
        <f aca="false">IF(AND(K496="",L496=""),"No closed tickets",IF(K496="","MISSING in catalog",IF(L496="","No valid closed tickets",IF(AND(ABS(K496-L496)&gt;=$S$3,ABS(K496-L496)&gt;=$S$4*MAX(L496,1)),"FAR OFF","OK"))))</f>
        <v>OK</v>
      </c>
      <c r="N496" s="7" t="n">
        <f aca="false">D496/SUMIFS($D$2:$D$741,$B$2:$B$741,B496)</f>
        <v>0.000500927541656804</v>
      </c>
      <c r="O496" s="7" t="n">
        <f aca="false">SUMIFS($D$2:D496,$B$2:B496,B496)/SUMIFS($D$2:$D$741,$B$2:$B$741,B496)</f>
        <v>0.998717405305428</v>
      </c>
      <c r="P496" s="8" t="b">
        <f aca="false">O496-N496&lt;$S$2</f>
        <v>0</v>
      </c>
      <c r="Q496" s="2"/>
      <c r="R496" s="2"/>
      <c r="S496" s="2"/>
    </row>
    <row r="497" customFormat="false" ht="14.25" hidden="false" customHeight="false" outlineLevel="0" collapsed="false">
      <c r="A497" s="4" t="s">
        <v>562</v>
      </c>
      <c r="B497" s="4" t="s">
        <v>506</v>
      </c>
      <c r="C497" s="5" t="n">
        <v>1</v>
      </c>
      <c r="D497" s="5" t="n">
        <v>77</v>
      </c>
      <c r="E497" s="5" t="n">
        <v>25</v>
      </c>
      <c r="F497" s="5" t="n">
        <v>1</v>
      </c>
      <c r="G497" s="5" t="n">
        <v>0</v>
      </c>
      <c r="H497" s="5" t="n">
        <v>76</v>
      </c>
      <c r="I497" s="6" t="n">
        <v>8</v>
      </c>
      <c r="J497" s="6" t="n">
        <v>11.5</v>
      </c>
      <c r="K497" s="6" t="n">
        <v>24</v>
      </c>
      <c r="L497" s="6" t="n">
        <v>23.5</v>
      </c>
      <c r="M497" s="4" t="str">
        <f aca="false">IF(AND(K497="",L497=""),"No closed tickets",IF(K497="","MISSING in catalog",IF(L497="","No valid closed tickets",IF(AND(ABS(K497-L497)&gt;=$S$3,ABS(K497-L497)&gt;=$S$4*MAX(L497,1)),"FAR OFF","OK"))))</f>
        <v>OK</v>
      </c>
      <c r="N497" s="7" t="n">
        <f aca="false">D497/SUMIFS($D$2:$D$741,$B$2:$B$741,B497)</f>
        <v>0.000423861766017296</v>
      </c>
      <c r="O497" s="7" t="n">
        <f aca="false">SUMIFS($D$2:D497,$B$2:B497,B497)/SUMIFS($D$2:$D$741,$B$2:$B$741,B497)</f>
        <v>0.999141267071446</v>
      </c>
      <c r="P497" s="8" t="b">
        <f aca="false">O497-N497&lt;$S$2</f>
        <v>0</v>
      </c>
      <c r="Q497" s="2"/>
      <c r="R497" s="2"/>
      <c r="S497" s="2"/>
    </row>
    <row r="498" customFormat="false" ht="14.25" hidden="false" customHeight="false" outlineLevel="0" collapsed="false">
      <c r="A498" s="4" t="s">
        <v>563</v>
      </c>
      <c r="B498" s="4" t="s">
        <v>506</v>
      </c>
      <c r="C498" s="5" t="n">
        <v>2</v>
      </c>
      <c r="D498" s="5" t="n">
        <v>66</v>
      </c>
      <c r="E498" s="5" t="n">
        <v>0</v>
      </c>
      <c r="F498" s="5" t="n">
        <v>0</v>
      </c>
      <c r="G498" s="5" t="n">
        <v>0</v>
      </c>
      <c r="H498" s="5" t="n">
        <v>66</v>
      </c>
      <c r="I498" s="6" t="n">
        <v>212.5</v>
      </c>
      <c r="J498" s="6" t="n">
        <v>171</v>
      </c>
      <c r="K498" s="6" t="n">
        <v>296</v>
      </c>
      <c r="L498" s="6" t="n">
        <v>296.5</v>
      </c>
      <c r="M498" s="4" t="str">
        <f aca="false">IF(AND(K498="",L498=""),"No closed tickets",IF(K498="","MISSING in catalog",IF(L498="","No valid closed tickets",IF(AND(ABS(K498-L498)&gt;=$S$3,ABS(K498-L498)&gt;=$S$4*MAX(L498,1)),"FAR OFF","OK"))))</f>
        <v>OK</v>
      </c>
      <c r="N498" s="7" t="n">
        <f aca="false">D498/SUMIFS($D$2:$D$741,$B$2:$B$741,B498)</f>
        <v>0.000363310085157682</v>
      </c>
      <c r="O498" s="7" t="n">
        <f aca="false">SUMIFS($D$2:D498,$B$2:B498,B498)/SUMIFS($D$2:$D$741,$B$2:$B$741,B498)</f>
        <v>0.999504577156603</v>
      </c>
      <c r="P498" s="8" t="b">
        <f aca="false">O498-N498&lt;$S$2</f>
        <v>0</v>
      </c>
      <c r="Q498" s="2"/>
      <c r="R498" s="2"/>
      <c r="S498" s="2"/>
    </row>
    <row r="499" customFormat="false" ht="14.25" hidden="false" customHeight="false" outlineLevel="0" collapsed="false">
      <c r="A499" s="4" t="s">
        <v>564</v>
      </c>
      <c r="B499" s="4" t="s">
        <v>506</v>
      </c>
      <c r="C499" s="5" t="n">
        <v>2</v>
      </c>
      <c r="D499" s="5" t="n">
        <v>50</v>
      </c>
      <c r="E499" s="5" t="n">
        <v>0</v>
      </c>
      <c r="F499" s="5" t="n">
        <v>0</v>
      </c>
      <c r="G499" s="5" t="n">
        <v>0</v>
      </c>
      <c r="H499" s="5" t="n">
        <v>50</v>
      </c>
      <c r="I499" s="6" t="n">
        <v>4</v>
      </c>
      <c r="J499" s="6" t="n">
        <v>25.1</v>
      </c>
      <c r="K499" s="6" t="n">
        <v>19</v>
      </c>
      <c r="L499" s="6" t="n">
        <v>19</v>
      </c>
      <c r="M499" s="4" t="str">
        <f aca="false">IF(AND(K499="",L499=""),"No closed tickets",IF(K499="","MISSING in catalog",IF(L499="","No valid closed tickets",IF(AND(ABS(K499-L499)&gt;=$S$3,ABS(K499-L499)&gt;=$S$4*MAX(L499,1)),"FAR OFF","OK"))))</f>
        <v>OK</v>
      </c>
      <c r="N499" s="7" t="n">
        <f aca="false">D499/SUMIFS($D$2:$D$741,$B$2:$B$741,B499)</f>
        <v>0.000275234912998244</v>
      </c>
      <c r="O499" s="7" t="n">
        <f aca="false">SUMIFS($D$2:D499,$B$2:B499,B499)/SUMIFS($D$2:$D$741,$B$2:$B$741,B499)</f>
        <v>0.999779812069601</v>
      </c>
      <c r="P499" s="8" t="b">
        <f aca="false">O499-N499&lt;$S$2</f>
        <v>0</v>
      </c>
      <c r="Q499" s="2"/>
      <c r="R499" s="2"/>
      <c r="S499" s="2"/>
    </row>
    <row r="500" customFormat="false" ht="14.25" hidden="false" customHeight="false" outlineLevel="0" collapsed="false">
      <c r="A500" s="4" t="s">
        <v>565</v>
      </c>
      <c r="B500" s="4" t="s">
        <v>506</v>
      </c>
      <c r="C500" s="5" t="n">
        <v>1</v>
      </c>
      <c r="D500" s="5" t="n">
        <v>34</v>
      </c>
      <c r="E500" s="5" t="n">
        <v>0</v>
      </c>
      <c r="F500" s="5" t="n">
        <v>0</v>
      </c>
      <c r="G500" s="5" t="n">
        <v>0</v>
      </c>
      <c r="H500" s="5" t="n">
        <v>34</v>
      </c>
      <c r="I500" s="6" t="n">
        <v>3.5</v>
      </c>
      <c r="J500" s="6" t="n">
        <v>5.9</v>
      </c>
      <c r="K500" s="6" t="n">
        <v>11</v>
      </c>
      <c r="L500" s="6" t="n">
        <v>11.4</v>
      </c>
      <c r="M500" s="4" t="str">
        <f aca="false">IF(AND(K500="",L500=""),"No closed tickets",IF(K500="","MISSING in catalog",IF(L500="","No valid closed tickets",IF(AND(ABS(K500-L500)&gt;=$S$3,ABS(K500-L500)&gt;=$S$4*MAX(L500,1)),"FAR OFF","OK"))))</f>
        <v>OK</v>
      </c>
      <c r="N500" s="7" t="n">
        <f aca="false">D500/SUMIFS($D$2:$D$741,$B$2:$B$741,B500)</f>
        <v>0.000187159740838806</v>
      </c>
      <c r="O500" s="7" t="n">
        <f aca="false">SUMIFS($D$2:D500,$B$2:B500,B500)/SUMIFS($D$2:$D$741,$B$2:$B$741,B500)</f>
        <v>0.99996697181044</v>
      </c>
      <c r="P500" s="8" t="b">
        <f aca="false">O500-N500&lt;$S$2</f>
        <v>0</v>
      </c>
      <c r="Q500" s="2"/>
      <c r="R500" s="2"/>
      <c r="S500" s="2"/>
    </row>
    <row r="501" customFormat="false" ht="14.25" hidden="false" customHeight="false" outlineLevel="0" collapsed="false">
      <c r="A501" s="4" t="s">
        <v>566</v>
      </c>
      <c r="B501" s="4" t="s">
        <v>506</v>
      </c>
      <c r="C501" s="5" t="n">
        <v>1</v>
      </c>
      <c r="D501" s="5" t="n">
        <v>6</v>
      </c>
      <c r="E501" s="5" t="n">
        <v>0</v>
      </c>
      <c r="F501" s="5" t="n">
        <v>1</v>
      </c>
      <c r="G501" s="5" t="n">
        <v>1</v>
      </c>
      <c r="H501" s="5" t="n">
        <v>5</v>
      </c>
      <c r="I501" s="6" t="n">
        <v>5</v>
      </c>
      <c r="J501" s="6" t="n">
        <v>9.2</v>
      </c>
      <c r="K501" s="6" t="n">
        <v>22</v>
      </c>
      <c r="L501" s="6" t="n">
        <v>21.8</v>
      </c>
      <c r="M501" s="4" t="str">
        <f aca="false">IF(AND(K501="",L501=""),"No closed tickets",IF(K501="","MISSING in catalog",IF(L501="","No valid closed tickets",IF(AND(ABS(K501-L501)&gt;=$S$3,ABS(K501-L501)&gt;=$S$4*MAX(L501,1)),"FAR OFF","OK"))))</f>
        <v>OK</v>
      </c>
      <c r="N501" s="7" t="n">
        <f aca="false">D501/SUMIFS($D$2:$D$741,$B$2:$B$741,B501)</f>
        <v>3.30281895597893E-005</v>
      </c>
      <c r="O501" s="7" t="n">
        <f aca="false">SUMIFS($D$2:D501,$B$2:B501,B501)/SUMIFS($D$2:$D$741,$B$2:$B$741,B501)</f>
        <v>1</v>
      </c>
      <c r="P501" s="8" t="b">
        <f aca="false">O501-N501&lt;$S$2</f>
        <v>0</v>
      </c>
      <c r="Q501" s="2"/>
      <c r="R501" s="2"/>
      <c r="S501" s="2"/>
    </row>
    <row r="502" customFormat="false" ht="14.25" hidden="false" customHeight="false" outlineLevel="0" collapsed="false">
      <c r="A502" s="10" t="s">
        <v>567</v>
      </c>
      <c r="B502" s="10" t="s">
        <v>568</v>
      </c>
      <c r="C502" s="11" t="n">
        <v>2</v>
      </c>
      <c r="D502" s="11" t="n">
        <v>102428</v>
      </c>
      <c r="E502" s="11" t="n">
        <v>23454</v>
      </c>
      <c r="F502" s="11" t="n">
        <v>140</v>
      </c>
      <c r="G502" s="11" t="n">
        <v>0</v>
      </c>
      <c r="H502" s="11" t="n">
        <v>102288</v>
      </c>
      <c r="I502" s="12" t="n">
        <v>3</v>
      </c>
      <c r="J502" s="12" t="n">
        <v>4.3</v>
      </c>
      <c r="K502" s="12" t="n">
        <v>8</v>
      </c>
      <c r="L502" s="12" t="n">
        <v>8</v>
      </c>
      <c r="M502" s="10" t="str">
        <f aca="false">IF(AND(K502="",L502=""),"No closed tickets",IF(K502="","MISSING in catalog",IF(L502="","No valid closed tickets",IF(AND(ABS(K502-L502)&gt;=$S$3,ABS(K502-L502)&gt;=$S$4*MAX(L502,1)),"FAR OFF","OK"))))</f>
        <v>OK</v>
      </c>
      <c r="N502" s="13" t="n">
        <f aca="false">D502/SUMIFS($D$2:$D$741,$B$2:$B$741,B502)</f>
        <v>0.354200310532158</v>
      </c>
      <c r="O502" s="13" t="n">
        <f aca="false">SUMIFS($D$2:D502,$B$2:B502,B502)/SUMIFS($D$2:$D$741,$B$2:$B$741,B502)</f>
        <v>0.354200310532158</v>
      </c>
      <c r="P502" s="14" t="b">
        <f aca="false">O502-N502&lt;$S$2</f>
        <v>1</v>
      </c>
      <c r="Q502" s="2"/>
      <c r="R502" s="2"/>
      <c r="S502" s="2"/>
    </row>
    <row r="503" customFormat="false" ht="14.25" hidden="false" customHeight="false" outlineLevel="0" collapsed="false">
      <c r="A503" s="4" t="s">
        <v>569</v>
      </c>
      <c r="B503" s="4" t="s">
        <v>568</v>
      </c>
      <c r="C503" s="5" t="n">
        <v>2</v>
      </c>
      <c r="D503" s="5" t="n">
        <v>36710</v>
      </c>
      <c r="E503" s="5" t="n">
        <v>9256</v>
      </c>
      <c r="F503" s="5" t="n">
        <v>38</v>
      </c>
      <c r="G503" s="5" t="n">
        <v>0</v>
      </c>
      <c r="H503" s="5" t="n">
        <v>36672</v>
      </c>
      <c r="I503" s="6" t="n">
        <v>1</v>
      </c>
      <c r="J503" s="6" t="n">
        <v>1.6</v>
      </c>
      <c r="K503" s="6" t="n">
        <v>4</v>
      </c>
      <c r="L503" s="6" t="n">
        <v>4</v>
      </c>
      <c r="M503" s="4" t="str">
        <f aca="false">IF(AND(K503="",L503=""),"No closed tickets",IF(K503="","MISSING in catalog",IF(L503="","No valid closed tickets",IF(AND(ABS(K503-L503)&gt;=$S$3,ABS(K503-L503)&gt;=$S$4*MAX(L503,1)),"FAR OFF","OK"))))</f>
        <v>OK</v>
      </c>
      <c r="N503" s="7" t="n">
        <f aca="false">D503/SUMIFS($D$2:$D$741,$B$2:$B$741,B503)</f>
        <v>0.126944716284957</v>
      </c>
      <c r="O503" s="7" t="n">
        <f aca="false">SUMIFS($D$2:D503,$B$2:B503,B503)/SUMIFS($D$2:$D$741,$B$2:$B$741,B503)</f>
        <v>0.481145026817115</v>
      </c>
      <c r="P503" s="8" t="b">
        <f aca="false">O503-N503&lt;$S$2</f>
        <v>1</v>
      </c>
      <c r="Q503" s="2"/>
      <c r="R503" s="2"/>
      <c r="S503" s="2"/>
    </row>
    <row r="504" customFormat="false" ht="14.25" hidden="false" customHeight="false" outlineLevel="0" collapsed="false">
      <c r="A504" s="4" t="s">
        <v>570</v>
      </c>
      <c r="B504" s="4" t="s">
        <v>568</v>
      </c>
      <c r="C504" s="5" t="n">
        <v>2</v>
      </c>
      <c r="D504" s="5" t="n">
        <v>36309</v>
      </c>
      <c r="E504" s="5" t="n">
        <v>9327</v>
      </c>
      <c r="F504" s="5" t="n">
        <v>44</v>
      </c>
      <c r="G504" s="5" t="n">
        <v>0</v>
      </c>
      <c r="H504" s="5" t="n">
        <v>36265</v>
      </c>
      <c r="I504" s="6" t="n">
        <v>1</v>
      </c>
      <c r="J504" s="6" t="n">
        <v>1.6</v>
      </c>
      <c r="K504" s="6" t="n">
        <v>4</v>
      </c>
      <c r="L504" s="6" t="n">
        <v>4</v>
      </c>
      <c r="M504" s="4" t="str">
        <f aca="false">IF(AND(K504="",L504=""),"No closed tickets",IF(K504="","MISSING in catalog",IF(L504="","No valid closed tickets",IF(AND(ABS(K504-L504)&gt;=$S$3,ABS(K504-L504)&gt;=$S$4*MAX(L504,1)),"FAR OFF","OK"))))</f>
        <v>OK</v>
      </c>
      <c r="N504" s="7" t="n">
        <f aca="false">D504/SUMIFS($D$2:$D$741,$B$2:$B$741,B504)</f>
        <v>0.125558041503418</v>
      </c>
      <c r="O504" s="7" t="n">
        <f aca="false">SUMIFS($D$2:D504,$B$2:B504,B504)/SUMIFS($D$2:$D$741,$B$2:$B$741,B504)</f>
        <v>0.606703068320533</v>
      </c>
      <c r="P504" s="8" t="b">
        <f aca="false">O504-N504&lt;$S$2</f>
        <v>1</v>
      </c>
      <c r="Q504" s="2"/>
      <c r="R504" s="2"/>
      <c r="S504" s="2"/>
    </row>
    <row r="505" customFormat="false" ht="14.25" hidden="false" customHeight="false" outlineLevel="0" collapsed="false">
      <c r="A505" s="4" t="s">
        <v>571</v>
      </c>
      <c r="B505" s="4" t="s">
        <v>568</v>
      </c>
      <c r="C505" s="5" t="n">
        <v>2</v>
      </c>
      <c r="D505" s="5" t="n">
        <v>33263</v>
      </c>
      <c r="E505" s="5" t="n">
        <v>6896</v>
      </c>
      <c r="F505" s="5" t="n">
        <v>37</v>
      </c>
      <c r="G505" s="5" t="n">
        <v>0</v>
      </c>
      <c r="H505" s="5" t="n">
        <v>33226</v>
      </c>
      <c r="I505" s="6" t="n">
        <v>1</v>
      </c>
      <c r="J505" s="6" t="n">
        <v>1.5</v>
      </c>
      <c r="K505" s="6" t="n">
        <v>4</v>
      </c>
      <c r="L505" s="6" t="n">
        <v>4</v>
      </c>
      <c r="M505" s="4" t="str">
        <f aca="false">IF(AND(K505="",L505=""),"No closed tickets",IF(K505="","MISSING in catalog",IF(L505="","No valid closed tickets",IF(AND(ABS(K505-L505)&gt;=$S$3,ABS(K505-L505)&gt;=$S$4*MAX(L505,1)),"FAR OFF","OK"))))</f>
        <v>OK</v>
      </c>
      <c r="N505" s="7" t="n">
        <f aca="false">D505/SUMIFS($D$2:$D$741,$B$2:$B$741,B505)</f>
        <v>0.115024846030687</v>
      </c>
      <c r="O505" s="7" t="n">
        <f aca="false">SUMIFS($D$2:D505,$B$2:B505,B505)/SUMIFS($D$2:$D$741,$B$2:$B$741,B505)</f>
        <v>0.72172791435122</v>
      </c>
      <c r="P505" s="8" t="b">
        <f aca="false">O505-N505&lt;$S$2</f>
        <v>1</v>
      </c>
      <c r="Q505" s="2"/>
      <c r="R505" s="2"/>
      <c r="S505" s="2"/>
    </row>
    <row r="506" customFormat="false" ht="14.25" hidden="false" customHeight="false" outlineLevel="0" collapsed="false">
      <c r="A506" s="4" t="s">
        <v>572</v>
      </c>
      <c r="B506" s="4" t="s">
        <v>568</v>
      </c>
      <c r="C506" s="5" t="n">
        <v>2</v>
      </c>
      <c r="D506" s="5" t="n">
        <v>30520</v>
      </c>
      <c r="E506" s="5" t="n">
        <v>6165</v>
      </c>
      <c r="F506" s="5" t="n">
        <v>55</v>
      </c>
      <c r="G506" s="5" t="n">
        <v>0</v>
      </c>
      <c r="H506" s="5" t="n">
        <v>30465</v>
      </c>
      <c r="I506" s="6" t="n">
        <v>4</v>
      </c>
      <c r="J506" s="6" t="n">
        <v>5</v>
      </c>
      <c r="K506" s="6" t="n">
        <v>11</v>
      </c>
      <c r="L506" s="6" t="n">
        <v>11</v>
      </c>
      <c r="M506" s="4" t="str">
        <f aca="false">IF(AND(K506="",L506=""),"No closed tickets",IF(K506="","MISSING in catalog",IF(L506="","No valid closed tickets",IF(AND(ABS(K506-L506)&gt;=$S$3,ABS(K506-L506)&gt;=$S$4*MAX(L506,1)),"FAR OFF","OK"))))</f>
        <v>OK</v>
      </c>
      <c r="N506" s="7" t="n">
        <f aca="false">D506/SUMIFS($D$2:$D$741,$B$2:$B$741,B506)</f>
        <v>0.105539437238269</v>
      </c>
      <c r="O506" s="7" t="n">
        <f aca="false">SUMIFS($D$2:D506,$B$2:B506,B506)/SUMIFS($D$2:$D$741,$B$2:$B$741,B506)</f>
        <v>0.827267351589489</v>
      </c>
      <c r="P506" s="8" t="b">
        <f aca="false">O506-N506&lt;$S$2</f>
        <v>1</v>
      </c>
      <c r="Q506" s="2"/>
      <c r="R506" s="2"/>
      <c r="S506" s="2"/>
    </row>
    <row r="507" customFormat="false" ht="14.25" hidden="false" customHeight="false" outlineLevel="0" collapsed="false">
      <c r="A507" s="4" t="s">
        <v>573</v>
      </c>
      <c r="B507" s="4" t="s">
        <v>568</v>
      </c>
      <c r="C507" s="5" t="n">
        <v>2</v>
      </c>
      <c r="D507" s="5" t="n">
        <v>15742</v>
      </c>
      <c r="E507" s="5" t="n">
        <v>4158</v>
      </c>
      <c r="F507" s="5" t="n">
        <v>74</v>
      </c>
      <c r="G507" s="5" t="n">
        <v>0</v>
      </c>
      <c r="H507" s="5" t="n">
        <v>15668</v>
      </c>
      <c r="I507" s="6" t="n">
        <v>1</v>
      </c>
      <c r="J507" s="6" t="n">
        <v>2.2</v>
      </c>
      <c r="K507" s="6" t="n">
        <v>4</v>
      </c>
      <c r="L507" s="6" t="n">
        <v>4</v>
      </c>
      <c r="M507" s="4" t="str">
        <f aca="false">IF(AND(K507="",L507=""),"No closed tickets",IF(K507="","MISSING in catalog",IF(L507="","No valid closed tickets",IF(AND(ABS(K507-L507)&gt;=$S$3,ABS(K507-L507)&gt;=$S$4*MAX(L507,1)),"FAR OFF","OK"))))</f>
        <v>OK</v>
      </c>
      <c r="N507" s="7" t="n">
        <f aca="false">D507/SUMIFS($D$2:$D$741,$B$2:$B$741,B507)</f>
        <v>0.05443649479046</v>
      </c>
      <c r="O507" s="7" t="n">
        <f aca="false">SUMIFS($D$2:D507,$B$2:B507,B507)/SUMIFS($D$2:$D$741,$B$2:$B$741,B507)</f>
        <v>0.881703846379949</v>
      </c>
      <c r="P507" s="8" t="b">
        <f aca="false">O507-N507&lt;$S$2</f>
        <v>1</v>
      </c>
      <c r="Q507" s="2"/>
      <c r="R507" s="2"/>
      <c r="S507" s="2"/>
    </row>
    <row r="508" customFormat="false" ht="14.25" hidden="false" customHeight="false" outlineLevel="0" collapsed="false">
      <c r="A508" s="4" t="s">
        <v>574</v>
      </c>
      <c r="B508" s="4" t="s">
        <v>568</v>
      </c>
      <c r="C508" s="5" t="n">
        <v>2</v>
      </c>
      <c r="D508" s="5" t="n">
        <v>12601</v>
      </c>
      <c r="E508" s="5" t="n">
        <v>3124</v>
      </c>
      <c r="F508" s="5" t="n">
        <v>20</v>
      </c>
      <c r="G508" s="5" t="n">
        <v>0</v>
      </c>
      <c r="H508" s="5" t="n">
        <v>12581</v>
      </c>
      <c r="I508" s="6" t="n">
        <v>1</v>
      </c>
      <c r="J508" s="6" t="n">
        <v>1.4</v>
      </c>
      <c r="K508" s="6" t="n">
        <v>4</v>
      </c>
      <c r="L508" s="6" t="n">
        <v>4</v>
      </c>
      <c r="M508" s="4" t="str">
        <f aca="false">IF(AND(K508="",L508=""),"No closed tickets",IF(K508="","MISSING in catalog",IF(L508="","No valid closed tickets",IF(AND(ABS(K508-L508)&gt;=$S$3,ABS(K508-L508)&gt;=$S$4*MAX(L508,1)),"FAR OFF","OK"))))</f>
        <v>OK</v>
      </c>
      <c r="N508" s="7" t="n">
        <f aca="false">D508/SUMIFS($D$2:$D$741,$B$2:$B$741,B508)</f>
        <v>0.0435747853420522</v>
      </c>
      <c r="O508" s="7" t="n">
        <f aca="false">SUMIFS($D$2:D508,$B$2:B508,B508)/SUMIFS($D$2:$D$741,$B$2:$B$741,B508)</f>
        <v>0.925278631722001</v>
      </c>
      <c r="P508" s="8" t="b">
        <f aca="false">O508-N508&lt;$S$2</f>
        <v>1</v>
      </c>
      <c r="Q508" s="2"/>
      <c r="R508" s="2"/>
      <c r="S508" s="2"/>
    </row>
    <row r="509" customFormat="false" ht="14.25" hidden="false" customHeight="false" outlineLevel="0" collapsed="false">
      <c r="A509" s="4" t="s">
        <v>575</v>
      </c>
      <c r="B509" s="4" t="s">
        <v>568</v>
      </c>
      <c r="C509" s="5" t="n">
        <v>2</v>
      </c>
      <c r="D509" s="5" t="n">
        <v>10037</v>
      </c>
      <c r="E509" s="5" t="n">
        <v>2638</v>
      </c>
      <c r="F509" s="5" t="n">
        <v>28</v>
      </c>
      <c r="G509" s="5" t="n">
        <v>0</v>
      </c>
      <c r="H509" s="5" t="n">
        <v>10009</v>
      </c>
      <c r="I509" s="6" t="n">
        <v>3</v>
      </c>
      <c r="J509" s="6" t="n">
        <v>5.2</v>
      </c>
      <c r="K509" s="6" t="n">
        <v>12</v>
      </c>
      <c r="L509" s="6" t="n">
        <v>12</v>
      </c>
      <c r="M509" s="4" t="str">
        <f aca="false">IF(AND(K509="",L509=""),"No closed tickets",IF(K509="","MISSING in catalog",IF(L509="","No valid closed tickets",IF(AND(ABS(K509-L509)&gt;=$S$3,ABS(K509-L509)&gt;=$S$4*MAX(L509,1)),"FAR OFF","OK"))))</f>
        <v>OK</v>
      </c>
      <c r="N509" s="7" t="n">
        <f aca="false">D509/SUMIFS($D$2:$D$741,$B$2:$B$741,B509)</f>
        <v>0.0347083660406458</v>
      </c>
      <c r="O509" s="7" t="n">
        <f aca="false">SUMIFS($D$2:D509,$B$2:B509,B509)/SUMIFS($D$2:$D$741,$B$2:$B$741,B509)</f>
        <v>0.959986997762647</v>
      </c>
      <c r="P509" s="8" t="b">
        <f aca="false">O509-N509&lt;$S$2</f>
        <v>1</v>
      </c>
      <c r="Q509" s="2"/>
      <c r="R509" s="2"/>
      <c r="S509" s="2"/>
    </row>
    <row r="510" customFormat="false" ht="14.25" hidden="false" customHeight="false" outlineLevel="0" collapsed="false">
      <c r="A510" s="4" t="s">
        <v>576</v>
      </c>
      <c r="B510" s="4" t="s">
        <v>568</v>
      </c>
      <c r="C510" s="5" t="n">
        <v>2</v>
      </c>
      <c r="D510" s="5" t="n">
        <v>2565</v>
      </c>
      <c r="E510" s="5" t="n">
        <v>584</v>
      </c>
      <c r="F510" s="5" t="n">
        <v>1</v>
      </c>
      <c r="G510" s="5" t="n">
        <v>0</v>
      </c>
      <c r="H510" s="5" t="n">
        <v>2564</v>
      </c>
      <c r="I510" s="6" t="n">
        <v>1</v>
      </c>
      <c r="J510" s="6" t="n">
        <v>1.9</v>
      </c>
      <c r="K510" s="6" t="n">
        <v>5</v>
      </c>
      <c r="L510" s="6" t="n">
        <v>5</v>
      </c>
      <c r="M510" s="4" t="str">
        <f aca="false">IF(AND(K510="",L510=""),"No closed tickets",IF(K510="","MISSING in catalog",IF(L510="","No valid closed tickets",IF(AND(ABS(K510-L510)&gt;=$S$3,ABS(K510-L510)&gt;=$S$4*MAX(L510,1)),"FAR OFF","OK"))))</f>
        <v>OK</v>
      </c>
      <c r="N510" s="7" t="n">
        <f aca="false">D510/SUMIFS($D$2:$D$741,$B$2:$B$741,B510)</f>
        <v>0.00886987734325561</v>
      </c>
      <c r="O510" s="7" t="n">
        <f aca="false">SUMIFS($D$2:D510,$B$2:B510,B510)/SUMIFS($D$2:$D$741,$B$2:$B$741,B510)</f>
        <v>0.968856875105903</v>
      </c>
      <c r="P510" s="8" t="b">
        <f aca="false">O510-N510&lt;$S$2</f>
        <v>0</v>
      </c>
      <c r="Q510" s="2"/>
      <c r="R510" s="2"/>
      <c r="S510" s="2"/>
    </row>
    <row r="511" customFormat="false" ht="14.25" hidden="false" customHeight="false" outlineLevel="0" collapsed="false">
      <c r="A511" s="4" t="s">
        <v>577</v>
      </c>
      <c r="B511" s="4" t="s">
        <v>568</v>
      </c>
      <c r="C511" s="5" t="n">
        <v>2</v>
      </c>
      <c r="D511" s="5" t="n">
        <v>1600</v>
      </c>
      <c r="E511" s="5" t="n">
        <v>258</v>
      </c>
      <c r="F511" s="5" t="n">
        <v>8</v>
      </c>
      <c r="G511" s="5" t="n">
        <v>0</v>
      </c>
      <c r="H511" s="5" t="n">
        <v>1592</v>
      </c>
      <c r="I511" s="6" t="n">
        <v>1</v>
      </c>
      <c r="J511" s="6" t="n">
        <v>3.4</v>
      </c>
      <c r="K511" s="6" t="n">
        <v>10</v>
      </c>
      <c r="L511" s="6" t="n">
        <v>10</v>
      </c>
      <c r="M511" s="4" t="str">
        <f aca="false">IF(AND(K511="",L511=""),"No closed tickets",IF(K511="","MISSING in catalog",IF(L511="","No valid closed tickets",IF(AND(ABS(K511-L511)&gt;=$S$3,ABS(K511-L511)&gt;=$S$4*MAX(L511,1)),"FAR OFF","OK"))))</f>
        <v>OK</v>
      </c>
      <c r="N511" s="7" t="n">
        <f aca="false">D511/SUMIFS($D$2:$D$741,$B$2:$B$741,B511)</f>
        <v>0.00553286695875594</v>
      </c>
      <c r="O511" s="7" t="n">
        <f aca="false">SUMIFS($D$2:D511,$B$2:B511,B511)/SUMIFS($D$2:$D$741,$B$2:$B$741,B511)</f>
        <v>0.974389742064658</v>
      </c>
      <c r="P511" s="8" t="b">
        <f aca="false">O511-N511&lt;$S$2</f>
        <v>0</v>
      </c>
      <c r="Q511" s="2"/>
      <c r="R511" s="2"/>
      <c r="S511" s="2"/>
    </row>
    <row r="512" customFormat="false" ht="14.25" hidden="false" customHeight="false" outlineLevel="0" collapsed="false">
      <c r="A512" s="4" t="s">
        <v>578</v>
      </c>
      <c r="B512" s="4" t="s">
        <v>568</v>
      </c>
      <c r="C512" s="5" t="n">
        <v>2</v>
      </c>
      <c r="D512" s="5" t="n">
        <v>1532</v>
      </c>
      <c r="E512" s="5" t="n">
        <v>341</v>
      </c>
      <c r="F512" s="5" t="n">
        <v>5</v>
      </c>
      <c r="G512" s="5" t="n">
        <v>0</v>
      </c>
      <c r="H512" s="5" t="n">
        <v>1527</v>
      </c>
      <c r="I512" s="6" t="n">
        <v>1</v>
      </c>
      <c r="J512" s="6" t="n">
        <v>1.8</v>
      </c>
      <c r="K512" s="6" t="n">
        <v>4</v>
      </c>
      <c r="L512" s="6" t="n">
        <v>4</v>
      </c>
      <c r="M512" s="4" t="str">
        <f aca="false">IF(AND(K512="",L512=""),"No closed tickets",IF(K512="","MISSING in catalog",IF(L512="","No valid closed tickets",IF(AND(ABS(K512-L512)&gt;=$S$3,ABS(K512-L512)&gt;=$S$4*MAX(L512,1)),"FAR OFF","OK"))))</f>
        <v>OK</v>
      </c>
      <c r="N512" s="7" t="n">
        <f aca="false">D512/SUMIFS($D$2:$D$741,$B$2:$B$741,B512)</f>
        <v>0.00529772011300881</v>
      </c>
      <c r="O512" s="7" t="n">
        <f aca="false">SUMIFS($D$2:D512,$B$2:B512,B512)/SUMIFS($D$2:$D$741,$B$2:$B$741,B512)</f>
        <v>0.979687462177667</v>
      </c>
      <c r="P512" s="8" t="b">
        <f aca="false">O512-N512&lt;$S$2</f>
        <v>0</v>
      </c>
      <c r="Q512" s="2"/>
      <c r="R512" s="2"/>
      <c r="S512" s="2"/>
    </row>
    <row r="513" customFormat="false" ht="14.25" hidden="false" customHeight="false" outlineLevel="0" collapsed="false">
      <c r="A513" s="4" t="s">
        <v>579</v>
      </c>
      <c r="B513" s="4" t="s">
        <v>568</v>
      </c>
      <c r="C513" s="5" t="n">
        <v>2</v>
      </c>
      <c r="D513" s="5" t="n">
        <v>834</v>
      </c>
      <c r="E513" s="5" t="n">
        <v>154</v>
      </c>
      <c r="F513" s="5" t="n">
        <v>0</v>
      </c>
      <c r="G513" s="5" t="n">
        <v>0</v>
      </c>
      <c r="H513" s="5" t="n">
        <v>834</v>
      </c>
      <c r="I513" s="6" t="n">
        <v>0</v>
      </c>
      <c r="J513" s="6" t="n">
        <v>1.2</v>
      </c>
      <c r="K513" s="6" t="n">
        <v>4</v>
      </c>
      <c r="L513" s="6" t="n">
        <v>4</v>
      </c>
      <c r="M513" s="4" t="str">
        <f aca="false">IF(AND(K513="",L513=""),"No closed tickets",IF(K513="","MISSING in catalog",IF(L513="","No valid closed tickets",IF(AND(ABS(K513-L513)&gt;=$S$3,ABS(K513-L513)&gt;=$S$4*MAX(L513,1)),"FAR OFF","OK"))))</f>
        <v>OK</v>
      </c>
      <c r="N513" s="7" t="n">
        <f aca="false">D513/SUMIFS($D$2:$D$741,$B$2:$B$741,B513)</f>
        <v>0.00288400690225153</v>
      </c>
      <c r="O513" s="7" t="n">
        <f aca="false">SUMIFS($D$2:D513,$B$2:B513,B513)/SUMIFS($D$2:$D$741,$B$2:$B$741,B513)</f>
        <v>0.982571469079919</v>
      </c>
      <c r="P513" s="8" t="b">
        <f aca="false">O513-N513&lt;$S$2</f>
        <v>0</v>
      </c>
      <c r="Q513" s="2"/>
      <c r="R513" s="2"/>
      <c r="S513" s="2"/>
    </row>
    <row r="514" customFormat="false" ht="14.25" hidden="false" customHeight="false" outlineLevel="0" collapsed="false">
      <c r="A514" s="4" t="s">
        <v>580</v>
      </c>
      <c r="B514" s="4" t="s">
        <v>568</v>
      </c>
      <c r="C514" s="5" t="n">
        <v>2</v>
      </c>
      <c r="D514" s="5" t="n">
        <v>650</v>
      </c>
      <c r="E514" s="5" t="n">
        <v>128</v>
      </c>
      <c r="F514" s="5" t="n">
        <v>0</v>
      </c>
      <c r="G514" s="5" t="n">
        <v>0</v>
      </c>
      <c r="H514" s="5" t="n">
        <v>650</v>
      </c>
      <c r="I514" s="6" t="n">
        <v>1</v>
      </c>
      <c r="J514" s="6" t="n">
        <v>2.3</v>
      </c>
      <c r="K514" s="6" t="n">
        <v>5</v>
      </c>
      <c r="L514" s="6" t="n">
        <v>5</v>
      </c>
      <c r="M514" s="4" t="str">
        <f aca="false">IF(AND(K514="",L514=""),"No closed tickets",IF(K514="","MISSING in catalog",IF(L514="","No valid closed tickets",IF(AND(ABS(K514-L514)&gt;=$S$3,ABS(K514-L514)&gt;=$S$4*MAX(L514,1)),"FAR OFF","OK"))))</f>
        <v>OK</v>
      </c>
      <c r="N514" s="7" t="n">
        <f aca="false">D514/SUMIFS($D$2:$D$741,$B$2:$B$741,B514)</f>
        <v>0.0022477272019946</v>
      </c>
      <c r="O514" s="7" t="n">
        <f aca="false">SUMIFS($D$2:D514,$B$2:B514,B514)/SUMIFS($D$2:$D$741,$B$2:$B$741,B514)</f>
        <v>0.984819196281913</v>
      </c>
      <c r="P514" s="8" t="b">
        <f aca="false">O514-N514&lt;$S$2</f>
        <v>0</v>
      </c>
      <c r="Q514" s="2"/>
      <c r="R514" s="2"/>
      <c r="S514" s="2"/>
    </row>
    <row r="515" customFormat="false" ht="14.25" hidden="false" customHeight="false" outlineLevel="0" collapsed="false">
      <c r="A515" s="4" t="s">
        <v>581</v>
      </c>
      <c r="B515" s="4" t="s">
        <v>568</v>
      </c>
      <c r="C515" s="5" t="n">
        <v>2</v>
      </c>
      <c r="D515" s="5" t="n">
        <v>605</v>
      </c>
      <c r="E515" s="5" t="n">
        <v>116</v>
      </c>
      <c r="F515" s="5" t="n">
        <v>1</v>
      </c>
      <c r="G515" s="5" t="n">
        <v>0</v>
      </c>
      <c r="H515" s="5" t="n">
        <v>604</v>
      </c>
      <c r="I515" s="6" t="n">
        <v>10</v>
      </c>
      <c r="J515" s="6" t="n">
        <v>16.5</v>
      </c>
      <c r="K515" s="6" t="n">
        <v>40</v>
      </c>
      <c r="L515" s="6" t="n">
        <v>40</v>
      </c>
      <c r="M515" s="4" t="str">
        <f aca="false">IF(AND(K515="",L515=""),"No closed tickets",IF(K515="","MISSING in catalog",IF(L515="","No valid closed tickets",IF(AND(ABS(K515-L515)&gt;=$S$3,ABS(K515-L515)&gt;=$S$4*MAX(L515,1)),"FAR OFF","OK"))))</f>
        <v>OK</v>
      </c>
      <c r="N515" s="7" t="n">
        <f aca="false">D515/SUMIFS($D$2:$D$741,$B$2:$B$741,B515)</f>
        <v>0.00209211531877959</v>
      </c>
      <c r="O515" s="7" t="n">
        <f aca="false">SUMIFS($D$2:D515,$B$2:B515,B515)/SUMIFS($D$2:$D$741,$B$2:$B$741,B515)</f>
        <v>0.986911311600693</v>
      </c>
      <c r="P515" s="8" t="b">
        <f aca="false">O515-N515&lt;$S$2</f>
        <v>0</v>
      </c>
      <c r="Q515" s="2"/>
      <c r="R515" s="2"/>
      <c r="S515" s="2"/>
    </row>
    <row r="516" customFormat="false" ht="14.25" hidden="false" customHeight="false" outlineLevel="0" collapsed="false">
      <c r="A516" s="4" t="s">
        <v>582</v>
      </c>
      <c r="B516" s="4" t="s">
        <v>568</v>
      </c>
      <c r="C516" s="5" t="n">
        <v>2</v>
      </c>
      <c r="D516" s="5" t="n">
        <v>476</v>
      </c>
      <c r="E516" s="5" t="n">
        <v>117</v>
      </c>
      <c r="F516" s="5" t="n">
        <v>1</v>
      </c>
      <c r="G516" s="5" t="n">
        <v>0</v>
      </c>
      <c r="H516" s="5" t="n">
        <v>475</v>
      </c>
      <c r="I516" s="6" t="n">
        <v>4</v>
      </c>
      <c r="J516" s="6" t="n">
        <v>5.4</v>
      </c>
      <c r="K516" s="6" t="n">
        <v>13</v>
      </c>
      <c r="L516" s="6" t="n">
        <v>13</v>
      </c>
      <c r="M516" s="4" t="str">
        <f aca="false">IF(AND(K516="",L516=""),"No closed tickets",IF(K516="","MISSING in catalog",IF(L516="","No valid closed tickets",IF(AND(ABS(K516-L516)&gt;=$S$3,ABS(K516-L516)&gt;=$S$4*MAX(L516,1)),"FAR OFF","OK"))))</f>
        <v>OK</v>
      </c>
      <c r="N516" s="7" t="n">
        <f aca="false">D516/SUMIFS($D$2:$D$741,$B$2:$B$741,B516)</f>
        <v>0.00164602792022989</v>
      </c>
      <c r="O516" s="7" t="n">
        <f aca="false">SUMIFS($D$2:D516,$B$2:B516,B516)/SUMIFS($D$2:$D$741,$B$2:$B$741,B516)</f>
        <v>0.988557339520923</v>
      </c>
      <c r="P516" s="8" t="b">
        <f aca="false">O516-N516&lt;$S$2</f>
        <v>0</v>
      </c>
      <c r="Q516" s="2"/>
      <c r="R516" s="2"/>
      <c r="S516" s="2"/>
    </row>
    <row r="517" customFormat="false" ht="14.25" hidden="false" customHeight="false" outlineLevel="0" collapsed="false">
      <c r="A517" s="4" t="s">
        <v>583</v>
      </c>
      <c r="B517" s="4" t="s">
        <v>568</v>
      </c>
      <c r="C517" s="5" t="n">
        <v>2</v>
      </c>
      <c r="D517" s="5" t="n">
        <v>474</v>
      </c>
      <c r="E517" s="5" t="n">
        <v>96</v>
      </c>
      <c r="F517" s="5" t="n">
        <v>0</v>
      </c>
      <c r="G517" s="5" t="n">
        <v>0</v>
      </c>
      <c r="H517" s="5" t="n">
        <v>474</v>
      </c>
      <c r="I517" s="6" t="n">
        <v>3</v>
      </c>
      <c r="J517" s="6" t="n">
        <v>3.7</v>
      </c>
      <c r="K517" s="6" t="n">
        <v>7</v>
      </c>
      <c r="L517" s="6" t="n">
        <v>7</v>
      </c>
      <c r="M517" s="4" t="str">
        <f aca="false">IF(AND(K517="",L517=""),"No closed tickets",IF(K517="","MISSING in catalog",IF(L517="","No valid closed tickets",IF(AND(ABS(K517-L517)&gt;=$S$3,ABS(K517-L517)&gt;=$S$4*MAX(L517,1)),"FAR OFF","OK"))))</f>
        <v>OK</v>
      </c>
      <c r="N517" s="7" t="n">
        <f aca="false">D517/SUMIFS($D$2:$D$741,$B$2:$B$741,B517)</f>
        <v>0.00163911183653145</v>
      </c>
      <c r="O517" s="7" t="n">
        <f aca="false">SUMIFS($D$2:D517,$B$2:B517,B517)/SUMIFS($D$2:$D$741,$B$2:$B$741,B517)</f>
        <v>0.990196451357454</v>
      </c>
      <c r="P517" s="8" t="b">
        <f aca="false">O517-N517&lt;$S$2</f>
        <v>0</v>
      </c>
      <c r="Q517" s="2"/>
      <c r="R517" s="2"/>
      <c r="S517" s="2"/>
    </row>
    <row r="518" customFormat="false" ht="14.25" hidden="false" customHeight="false" outlineLevel="0" collapsed="false">
      <c r="A518" s="4" t="s">
        <v>584</v>
      </c>
      <c r="B518" s="4" t="s">
        <v>568</v>
      </c>
      <c r="C518" s="5" t="n">
        <v>2</v>
      </c>
      <c r="D518" s="5" t="n">
        <v>436</v>
      </c>
      <c r="E518" s="5" t="n">
        <v>17</v>
      </c>
      <c r="F518" s="5" t="n">
        <v>0</v>
      </c>
      <c r="G518" s="5" t="n">
        <v>0</v>
      </c>
      <c r="H518" s="5" t="n">
        <v>436</v>
      </c>
      <c r="I518" s="6" t="n">
        <v>2</v>
      </c>
      <c r="J518" s="6" t="n">
        <v>4</v>
      </c>
      <c r="K518" s="6" t="n">
        <v>8</v>
      </c>
      <c r="L518" s="6" t="n">
        <v>8</v>
      </c>
      <c r="M518" s="4" t="str">
        <f aca="false">IF(AND(K518="",L518=""),"No closed tickets",IF(K518="","MISSING in catalog",IF(L518="","No valid closed tickets",IF(AND(ABS(K518-L518)&gt;=$S$3,ABS(K518-L518)&gt;=$S$4*MAX(L518,1)),"FAR OFF","OK"))))</f>
        <v>OK</v>
      </c>
      <c r="N518" s="7" t="n">
        <f aca="false">D518/SUMIFS($D$2:$D$741,$B$2:$B$741,B518)</f>
        <v>0.00150770624626099</v>
      </c>
      <c r="O518" s="7" t="n">
        <f aca="false">SUMIFS($D$2:D518,$B$2:B518,B518)/SUMIFS($D$2:$D$741,$B$2:$B$741,B518)</f>
        <v>0.991704157603715</v>
      </c>
      <c r="P518" s="8" t="b">
        <f aca="false">O518-N518&lt;$S$2</f>
        <v>0</v>
      </c>
      <c r="Q518" s="2"/>
      <c r="R518" s="2"/>
      <c r="S518" s="2"/>
    </row>
    <row r="519" customFormat="false" ht="14.25" hidden="false" customHeight="false" outlineLevel="0" collapsed="false">
      <c r="A519" s="4" t="s">
        <v>585</v>
      </c>
      <c r="B519" s="4" t="s">
        <v>568</v>
      </c>
      <c r="C519" s="5" t="n">
        <v>1</v>
      </c>
      <c r="D519" s="5" t="n">
        <v>414</v>
      </c>
      <c r="E519" s="5" t="n">
        <v>90</v>
      </c>
      <c r="F519" s="5" t="n">
        <v>0</v>
      </c>
      <c r="G519" s="5" t="n">
        <v>0</v>
      </c>
      <c r="H519" s="5" t="n">
        <v>414</v>
      </c>
      <c r="I519" s="6" t="n">
        <v>0</v>
      </c>
      <c r="J519" s="6" t="n">
        <v>0</v>
      </c>
      <c r="K519" s="6" t="n">
        <v>0</v>
      </c>
      <c r="L519" s="6" t="n">
        <v>0</v>
      </c>
      <c r="M519" s="4" t="str">
        <f aca="false">IF(AND(K519="",L519=""),"No closed tickets",IF(K519="","MISSING in catalog",IF(L519="","No valid closed tickets",IF(AND(ABS(K519-L519)&gt;=$S$3,ABS(K519-L519)&gt;=$S$4*MAX(L519,1)),"FAR OFF","OK"))))</f>
        <v>OK</v>
      </c>
      <c r="N519" s="7" t="n">
        <f aca="false">D519/SUMIFS($D$2:$D$741,$B$2:$B$741,B519)</f>
        <v>0.0014316293255781</v>
      </c>
      <c r="O519" s="7" t="n">
        <f aca="false">SUMIFS($D$2:D519,$B$2:B519,B519)/SUMIFS($D$2:$D$741,$B$2:$B$741,B519)</f>
        <v>0.993135786929293</v>
      </c>
      <c r="P519" s="8" t="b">
        <f aca="false">O519-N519&lt;$S$2</f>
        <v>0</v>
      </c>
      <c r="Q519" s="2"/>
      <c r="R519" s="2"/>
      <c r="S519" s="2"/>
    </row>
    <row r="520" customFormat="false" ht="14.25" hidden="false" customHeight="false" outlineLevel="0" collapsed="false">
      <c r="A520" s="4" t="s">
        <v>586</v>
      </c>
      <c r="B520" s="4" t="s">
        <v>568</v>
      </c>
      <c r="C520" s="5" t="n">
        <v>2</v>
      </c>
      <c r="D520" s="5" t="n">
        <v>400</v>
      </c>
      <c r="E520" s="5" t="n">
        <v>107</v>
      </c>
      <c r="F520" s="5" t="n">
        <v>0</v>
      </c>
      <c r="G520" s="5" t="n">
        <v>0</v>
      </c>
      <c r="H520" s="5" t="n">
        <v>400</v>
      </c>
      <c r="I520" s="6" t="n">
        <v>0</v>
      </c>
      <c r="J520" s="6" t="n">
        <v>0.6</v>
      </c>
      <c r="K520" s="6" t="n">
        <v>0</v>
      </c>
      <c r="L520" s="6" t="n">
        <v>0</v>
      </c>
      <c r="M520" s="4" t="str">
        <f aca="false">IF(AND(K520="",L520=""),"No closed tickets",IF(K520="","MISSING in catalog",IF(L520="","No valid closed tickets",IF(AND(ABS(K520-L520)&gt;=$S$3,ABS(K520-L520)&gt;=$S$4*MAX(L520,1)),"FAR OFF","OK"))))</f>
        <v>OK</v>
      </c>
      <c r="N520" s="7" t="n">
        <f aca="false">D520/SUMIFS($D$2:$D$741,$B$2:$B$741,B520)</f>
        <v>0.00138321673968898</v>
      </c>
      <c r="O520" s="7" t="n">
        <f aca="false">SUMIFS($D$2:D520,$B$2:B520,B520)/SUMIFS($D$2:$D$741,$B$2:$B$741,B520)</f>
        <v>0.994519003668982</v>
      </c>
      <c r="P520" s="8" t="b">
        <f aca="false">O520-N520&lt;$S$2</f>
        <v>0</v>
      </c>
      <c r="Q520" s="2"/>
      <c r="R520" s="2"/>
      <c r="S520" s="2"/>
    </row>
    <row r="521" customFormat="false" ht="14.25" hidden="false" customHeight="false" outlineLevel="0" collapsed="false">
      <c r="A521" s="4" t="s">
        <v>587</v>
      </c>
      <c r="B521" s="4" t="s">
        <v>568</v>
      </c>
      <c r="C521" s="5" t="n">
        <v>2</v>
      </c>
      <c r="D521" s="5" t="n">
        <v>342</v>
      </c>
      <c r="E521" s="5" t="n">
        <v>64</v>
      </c>
      <c r="F521" s="5" t="n">
        <v>0</v>
      </c>
      <c r="G521" s="5" t="n">
        <v>0</v>
      </c>
      <c r="H521" s="5" t="n">
        <v>342</v>
      </c>
      <c r="I521" s="6" t="n">
        <v>1</v>
      </c>
      <c r="J521" s="6" t="n">
        <v>1.2</v>
      </c>
      <c r="K521" s="6" t="n">
        <v>2</v>
      </c>
      <c r="L521" s="6" t="n">
        <v>2</v>
      </c>
      <c r="M521" s="4" t="str">
        <f aca="false">IF(AND(K521="",L521=""),"No closed tickets",IF(K521="","MISSING in catalog",IF(L521="","No valid closed tickets",IF(AND(ABS(K521-L521)&gt;=$S$3,ABS(K521-L521)&gt;=$S$4*MAX(L521,1)),"FAR OFF","OK"))))</f>
        <v>OK</v>
      </c>
      <c r="N521" s="7" t="n">
        <f aca="false">D521/SUMIFS($D$2:$D$741,$B$2:$B$741,B521)</f>
        <v>0.00118265031243408</v>
      </c>
      <c r="O521" s="7" t="n">
        <f aca="false">SUMIFS($D$2:D521,$B$2:B521,B521)/SUMIFS($D$2:$D$741,$B$2:$B$741,B521)</f>
        <v>0.995701653981417</v>
      </c>
      <c r="P521" s="8" t="b">
        <f aca="false">O521-N521&lt;$S$2</f>
        <v>0</v>
      </c>
      <c r="Q521" s="2"/>
      <c r="R521" s="2"/>
      <c r="S521" s="2"/>
    </row>
    <row r="522" customFormat="false" ht="14.25" hidden="false" customHeight="false" outlineLevel="0" collapsed="false">
      <c r="A522" s="4" t="s">
        <v>588</v>
      </c>
      <c r="B522" s="4" t="s">
        <v>568</v>
      </c>
      <c r="C522" s="5" t="n">
        <v>2</v>
      </c>
      <c r="D522" s="5" t="n">
        <v>335</v>
      </c>
      <c r="E522" s="5" t="n">
        <v>78</v>
      </c>
      <c r="F522" s="5" t="n">
        <v>2</v>
      </c>
      <c r="G522" s="5" t="n">
        <v>0</v>
      </c>
      <c r="H522" s="5" t="n">
        <v>333</v>
      </c>
      <c r="I522" s="6" t="n">
        <v>0</v>
      </c>
      <c r="J522" s="6" t="n">
        <v>1.1</v>
      </c>
      <c r="K522" s="6" t="n">
        <v>4</v>
      </c>
      <c r="L522" s="6" t="n">
        <v>3.8</v>
      </c>
      <c r="M522" s="4" t="str">
        <f aca="false">IF(AND(K522="",L522=""),"No closed tickets",IF(K522="","MISSING in catalog",IF(L522="","No valid closed tickets",IF(AND(ABS(K522-L522)&gt;=$S$3,ABS(K522-L522)&gt;=$S$4*MAX(L522,1)),"FAR OFF","OK"))))</f>
        <v>OK</v>
      </c>
      <c r="N522" s="7" t="n">
        <f aca="false">D522/SUMIFS($D$2:$D$741,$B$2:$B$741,B522)</f>
        <v>0.00115844401948952</v>
      </c>
      <c r="O522" s="7" t="n">
        <f aca="false">SUMIFS($D$2:D522,$B$2:B522,B522)/SUMIFS($D$2:$D$741,$B$2:$B$741,B522)</f>
        <v>0.996860098000906</v>
      </c>
      <c r="P522" s="8" t="b">
        <f aca="false">O522-N522&lt;$S$2</f>
        <v>0</v>
      </c>
      <c r="Q522" s="2"/>
      <c r="R522" s="2"/>
      <c r="S522" s="2"/>
    </row>
    <row r="523" customFormat="false" ht="14.25" hidden="false" customHeight="false" outlineLevel="0" collapsed="false">
      <c r="A523" s="4" t="s">
        <v>589</v>
      </c>
      <c r="B523" s="4" t="s">
        <v>568</v>
      </c>
      <c r="C523" s="5" t="n">
        <v>2</v>
      </c>
      <c r="D523" s="5" t="n">
        <v>282</v>
      </c>
      <c r="E523" s="5" t="n">
        <v>49</v>
      </c>
      <c r="F523" s="5" t="n">
        <v>0</v>
      </c>
      <c r="G523" s="5" t="n">
        <v>0</v>
      </c>
      <c r="H523" s="5" t="n">
        <v>282</v>
      </c>
      <c r="I523" s="6" t="n">
        <v>4</v>
      </c>
      <c r="J523" s="6" t="n">
        <v>5.9</v>
      </c>
      <c r="K523" s="6" t="n">
        <v>12</v>
      </c>
      <c r="L523" s="6" t="n">
        <v>12</v>
      </c>
      <c r="M523" s="4" t="str">
        <f aca="false">IF(AND(K523="",L523=""),"No closed tickets",IF(K523="","MISSING in catalog",IF(L523="","No valid closed tickets",IF(AND(ABS(K523-L523)&gt;=$S$3,ABS(K523-L523)&gt;=$S$4*MAX(L523,1)),"FAR OFF","OK"))))</f>
        <v>OK</v>
      </c>
      <c r="N523" s="7" t="n">
        <f aca="false">D523/SUMIFS($D$2:$D$741,$B$2:$B$741,B523)</f>
        <v>0.000975167801480734</v>
      </c>
      <c r="O523" s="7" t="n">
        <f aca="false">SUMIFS($D$2:D523,$B$2:B523,B523)/SUMIFS($D$2:$D$741,$B$2:$B$741,B523)</f>
        <v>0.997835265802387</v>
      </c>
      <c r="P523" s="8" t="b">
        <f aca="false">O523-N523&lt;$S$2</f>
        <v>0</v>
      </c>
      <c r="Q523" s="2"/>
      <c r="R523" s="2"/>
      <c r="S523" s="2"/>
    </row>
    <row r="524" customFormat="false" ht="14.25" hidden="false" customHeight="false" outlineLevel="0" collapsed="false">
      <c r="A524" s="4" t="s">
        <v>590</v>
      </c>
      <c r="B524" s="4" t="s">
        <v>568</v>
      </c>
      <c r="C524" s="5" t="n">
        <v>1</v>
      </c>
      <c r="D524" s="5" t="n">
        <v>242</v>
      </c>
      <c r="E524" s="5" t="n">
        <v>38</v>
      </c>
      <c r="F524" s="5" t="n">
        <v>1</v>
      </c>
      <c r="G524" s="5" t="n">
        <v>0</v>
      </c>
      <c r="H524" s="5" t="n">
        <v>241</v>
      </c>
      <c r="I524" s="6" t="n">
        <v>4</v>
      </c>
      <c r="J524" s="6" t="n">
        <v>11.1</v>
      </c>
      <c r="K524" s="6" t="n">
        <v>16</v>
      </c>
      <c r="L524" s="6" t="n">
        <v>16</v>
      </c>
      <c r="M524" s="4" t="str">
        <f aca="false">IF(AND(K524="",L524=""),"No closed tickets",IF(K524="","MISSING in catalog",IF(L524="","No valid closed tickets",IF(AND(ABS(K524-L524)&gt;=$S$3,ABS(K524-L524)&gt;=$S$4*MAX(L524,1)),"FAR OFF","OK"))))</f>
        <v>OK</v>
      </c>
      <c r="N524" s="7" t="n">
        <f aca="false">D524/SUMIFS($D$2:$D$741,$B$2:$B$741,B524)</f>
        <v>0.000836846127511835</v>
      </c>
      <c r="O524" s="7" t="n">
        <f aca="false">SUMIFS($D$2:D524,$B$2:B524,B524)/SUMIFS($D$2:$D$741,$B$2:$B$741,B524)</f>
        <v>0.998672111929899</v>
      </c>
      <c r="P524" s="8" t="b">
        <f aca="false">O524-N524&lt;$S$2</f>
        <v>0</v>
      </c>
      <c r="Q524" s="2"/>
      <c r="R524" s="2"/>
      <c r="S524" s="2"/>
    </row>
    <row r="525" customFormat="false" ht="14.25" hidden="false" customHeight="false" outlineLevel="0" collapsed="false">
      <c r="A525" s="4" t="s">
        <v>591</v>
      </c>
      <c r="B525" s="4" t="s">
        <v>568</v>
      </c>
      <c r="C525" s="5" t="n">
        <v>2</v>
      </c>
      <c r="D525" s="5" t="n">
        <v>210</v>
      </c>
      <c r="E525" s="5" t="n">
        <v>34</v>
      </c>
      <c r="F525" s="5" t="n">
        <v>0</v>
      </c>
      <c r="G525" s="5" t="n">
        <v>0</v>
      </c>
      <c r="H525" s="5" t="n">
        <v>210</v>
      </c>
      <c r="I525" s="6" t="n">
        <v>1</v>
      </c>
      <c r="J525" s="6" t="n">
        <v>4.6</v>
      </c>
      <c r="K525" s="6" t="n">
        <v>11</v>
      </c>
      <c r="L525" s="6" t="n">
        <v>11.1</v>
      </c>
      <c r="M525" s="4" t="str">
        <f aca="false">IF(AND(K525="",L525=""),"No closed tickets",IF(K525="","MISSING in catalog",IF(L525="","No valid closed tickets",IF(AND(ABS(K525-L525)&gt;=$S$3,ABS(K525-L525)&gt;=$S$4*MAX(L525,1)),"FAR OFF","OK"))))</f>
        <v>OK</v>
      </c>
      <c r="N525" s="7" t="n">
        <f aca="false">D525/SUMIFS($D$2:$D$741,$B$2:$B$741,B525)</f>
        <v>0.000726188788336716</v>
      </c>
      <c r="O525" s="7" t="n">
        <f aca="false">SUMIFS($D$2:D525,$B$2:B525,B525)/SUMIFS($D$2:$D$741,$B$2:$B$741,B525)</f>
        <v>0.999398300718235</v>
      </c>
      <c r="P525" s="8" t="b">
        <f aca="false">O525-N525&lt;$S$2</f>
        <v>0</v>
      </c>
      <c r="Q525" s="2"/>
      <c r="R525" s="2"/>
      <c r="S525" s="2"/>
    </row>
    <row r="526" customFormat="false" ht="14.25" hidden="false" customHeight="false" outlineLevel="0" collapsed="false">
      <c r="A526" s="4" t="s">
        <v>592</v>
      </c>
      <c r="B526" s="4" t="s">
        <v>568</v>
      </c>
      <c r="C526" s="5" t="n">
        <v>2</v>
      </c>
      <c r="D526" s="5" t="n">
        <v>129</v>
      </c>
      <c r="E526" s="5" t="n">
        <v>21</v>
      </c>
      <c r="F526" s="5" t="n">
        <v>0</v>
      </c>
      <c r="G526" s="5" t="n">
        <v>0</v>
      </c>
      <c r="H526" s="5" t="n">
        <v>129</v>
      </c>
      <c r="I526" s="6" t="n">
        <v>1</v>
      </c>
      <c r="J526" s="6" t="n">
        <v>1.8</v>
      </c>
      <c r="K526" s="6" t="n">
        <v>4</v>
      </c>
      <c r="L526" s="6" t="n">
        <v>4</v>
      </c>
      <c r="M526" s="4" t="str">
        <f aca="false">IF(AND(K526="",L526=""),"No closed tickets",IF(K526="","MISSING in catalog",IF(L526="","No valid closed tickets",IF(AND(ABS(K526-L526)&gt;=$S$3,ABS(K526-L526)&gt;=$S$4*MAX(L526,1)),"FAR OFF","OK"))))</f>
        <v>OK</v>
      </c>
      <c r="N526" s="7" t="n">
        <f aca="false">D526/SUMIFS($D$2:$D$741,$B$2:$B$741,B526)</f>
        <v>0.000446087398549697</v>
      </c>
      <c r="O526" s="7" t="n">
        <f aca="false">SUMIFS($D$2:D526,$B$2:B526,B526)/SUMIFS($D$2:$D$741,$B$2:$B$741,B526)</f>
        <v>0.999844388116785</v>
      </c>
      <c r="P526" s="8" t="b">
        <f aca="false">O526-N526&lt;$S$2</f>
        <v>0</v>
      </c>
      <c r="Q526" s="2"/>
      <c r="R526" s="2"/>
      <c r="S526" s="2"/>
    </row>
    <row r="527" customFormat="false" ht="14.25" hidden="false" customHeight="false" outlineLevel="0" collapsed="false">
      <c r="A527" s="4" t="s">
        <v>593</v>
      </c>
      <c r="B527" s="4" t="s">
        <v>568</v>
      </c>
      <c r="C527" s="5" t="n">
        <v>1</v>
      </c>
      <c r="D527" s="5" t="n">
        <v>45</v>
      </c>
      <c r="E527" s="5" t="n">
        <v>16</v>
      </c>
      <c r="F527" s="5" t="n">
        <v>0</v>
      </c>
      <c r="G527" s="5" t="n">
        <v>0</v>
      </c>
      <c r="H527" s="5" t="n">
        <v>45</v>
      </c>
      <c r="I527" s="6" t="n">
        <v>2</v>
      </c>
      <c r="J527" s="6" t="n">
        <v>3.6</v>
      </c>
      <c r="K527" s="6" t="n">
        <v>10</v>
      </c>
      <c r="L527" s="6" t="n">
        <v>9.8</v>
      </c>
      <c r="M527" s="4" t="str">
        <f aca="false">IF(AND(K527="",L527=""),"No closed tickets",IF(K527="","MISSING in catalog",IF(L527="","No valid closed tickets",IF(AND(ABS(K527-L527)&gt;=$S$3,ABS(K527-L527)&gt;=$S$4*MAX(L527,1)),"FAR OFF","OK"))))</f>
        <v>OK</v>
      </c>
      <c r="N527" s="7" t="n">
        <f aca="false">D527/SUMIFS($D$2:$D$741,$B$2:$B$741,B527)</f>
        <v>0.000155611883215011</v>
      </c>
      <c r="O527" s="7" t="n">
        <f aca="false">SUMIFS($D$2:D527,$B$2:B527,B527)/SUMIFS($D$2:$D$741,$B$2:$B$741,B527)</f>
        <v>1</v>
      </c>
      <c r="P527" s="8" t="b">
        <f aca="false">O527-N527&lt;$S$2</f>
        <v>0</v>
      </c>
      <c r="Q527" s="2"/>
      <c r="R527" s="2"/>
      <c r="S527" s="2"/>
    </row>
    <row r="528" customFormat="false" ht="14.25" hidden="false" customHeight="false" outlineLevel="0" collapsed="false">
      <c r="A528" s="10" t="s">
        <v>594</v>
      </c>
      <c r="B528" s="10" t="s">
        <v>595</v>
      </c>
      <c r="C528" s="11" t="n">
        <v>2</v>
      </c>
      <c r="D528" s="11" t="n">
        <v>202</v>
      </c>
      <c r="E528" s="11" t="n">
        <v>0</v>
      </c>
      <c r="F528" s="11" t="n">
        <v>0</v>
      </c>
      <c r="G528" s="11" t="n">
        <v>0</v>
      </c>
      <c r="H528" s="11" t="n">
        <v>202</v>
      </c>
      <c r="I528" s="12" t="n">
        <v>4</v>
      </c>
      <c r="J528" s="12" t="n">
        <v>10.8</v>
      </c>
      <c r="K528" s="12" t="n">
        <v>29</v>
      </c>
      <c r="L528" s="12" t="n">
        <v>28.9</v>
      </c>
      <c r="M528" s="10" t="str">
        <f aca="false">IF(AND(K528="",L528=""),"No closed tickets",IF(K528="","MISSING in catalog",IF(L528="","No valid closed tickets",IF(AND(ABS(K528-L528)&gt;=$S$3,ABS(K528-L528)&gt;=$S$4*MAX(L528,1)),"FAR OFF","OK"))))</f>
        <v>OK</v>
      </c>
      <c r="N528" s="13" t="n">
        <f aca="false">D528/SUMIFS($D$2:$D$741,$B$2:$B$741,B528)</f>
        <v>0.601190476190476</v>
      </c>
      <c r="O528" s="13" t="n">
        <f aca="false">SUMIFS($D$2:D528,$B$2:B528,B528)/SUMIFS($D$2:$D$741,$B$2:$B$741,B528)</f>
        <v>0.601190476190476</v>
      </c>
      <c r="P528" s="14" t="b">
        <f aca="false">O528-N528&lt;$S$2</f>
        <v>1</v>
      </c>
      <c r="Q528" s="2"/>
      <c r="R528" s="2"/>
      <c r="S528" s="2"/>
    </row>
    <row r="529" customFormat="false" ht="14.25" hidden="false" customHeight="false" outlineLevel="0" collapsed="false">
      <c r="A529" s="4" t="s">
        <v>596</v>
      </c>
      <c r="B529" s="4" t="s">
        <v>595</v>
      </c>
      <c r="C529" s="5" t="n">
        <v>2</v>
      </c>
      <c r="D529" s="5" t="n">
        <v>89</v>
      </c>
      <c r="E529" s="5" t="n">
        <v>0</v>
      </c>
      <c r="F529" s="5" t="n">
        <v>0</v>
      </c>
      <c r="G529" s="5" t="n">
        <v>0</v>
      </c>
      <c r="H529" s="5" t="n">
        <v>88</v>
      </c>
      <c r="I529" s="6" t="n">
        <v>8.5</v>
      </c>
      <c r="J529" s="6" t="n">
        <v>126.8</v>
      </c>
      <c r="K529" s="6" t="n">
        <v>879</v>
      </c>
      <c r="L529" s="6" t="n">
        <v>876.9</v>
      </c>
      <c r="M529" s="4" t="str">
        <f aca="false">IF(AND(K529="",L529=""),"No closed tickets",IF(K529="","MISSING in catalog",IF(L529="","No valid closed tickets",IF(AND(ABS(K529-L529)&gt;=$S$3,ABS(K529-L529)&gt;=$S$4*MAX(L529,1)),"FAR OFF","OK"))))</f>
        <v>OK</v>
      </c>
      <c r="N529" s="7" t="n">
        <f aca="false">D529/SUMIFS($D$2:$D$741,$B$2:$B$741,B529)</f>
        <v>0.264880952380952</v>
      </c>
      <c r="O529" s="7" t="n">
        <f aca="false">SUMIFS($D$2:D529,$B$2:B529,B529)/SUMIFS($D$2:$D$741,$B$2:$B$741,B529)</f>
        <v>0.866071428571429</v>
      </c>
      <c r="P529" s="8" t="b">
        <f aca="false">O529-N529&lt;$S$2</f>
        <v>1</v>
      </c>
      <c r="Q529" s="2"/>
      <c r="R529" s="2"/>
      <c r="S529" s="2"/>
    </row>
    <row r="530" customFormat="false" ht="14.25" hidden="false" customHeight="false" outlineLevel="0" collapsed="false">
      <c r="A530" s="4" t="s">
        <v>597</v>
      </c>
      <c r="B530" s="4" t="s">
        <v>595</v>
      </c>
      <c r="C530" s="5" t="n">
        <v>2</v>
      </c>
      <c r="D530" s="5" t="n">
        <v>37</v>
      </c>
      <c r="E530" s="5" t="n">
        <v>0</v>
      </c>
      <c r="F530" s="5" t="n">
        <v>0</v>
      </c>
      <c r="G530" s="5" t="n">
        <v>0</v>
      </c>
      <c r="H530" s="5" t="n">
        <v>37</v>
      </c>
      <c r="I530" s="6" t="n">
        <v>5</v>
      </c>
      <c r="J530" s="6" t="n">
        <v>8.8</v>
      </c>
      <c r="K530" s="6" t="n">
        <v>14</v>
      </c>
      <c r="L530" s="6" t="n">
        <v>13.8</v>
      </c>
      <c r="M530" s="4" t="str">
        <f aca="false">IF(AND(K530="",L530=""),"No closed tickets",IF(K530="","MISSING in catalog",IF(L530="","No valid closed tickets",IF(AND(ABS(K530-L530)&gt;=$S$3,ABS(K530-L530)&gt;=$S$4*MAX(L530,1)),"FAR OFF","OK"))))</f>
        <v>OK</v>
      </c>
      <c r="N530" s="7" t="n">
        <f aca="false">D530/SUMIFS($D$2:$D$741,$B$2:$B$741,B530)</f>
        <v>0.110119047619048</v>
      </c>
      <c r="O530" s="7" t="n">
        <f aca="false">SUMIFS($D$2:D530,$B$2:B530,B530)/SUMIFS($D$2:$D$741,$B$2:$B$741,B530)</f>
        <v>0.976190476190476</v>
      </c>
      <c r="P530" s="8" t="b">
        <f aca="false">O530-N530&lt;$S$2</f>
        <v>1</v>
      </c>
      <c r="Q530" s="2"/>
      <c r="R530" s="2"/>
      <c r="S530" s="2"/>
    </row>
    <row r="531" customFormat="false" ht="14.25" hidden="false" customHeight="false" outlineLevel="0" collapsed="false">
      <c r="A531" s="4" t="s">
        <v>598</v>
      </c>
      <c r="B531" s="4" t="s">
        <v>595</v>
      </c>
      <c r="C531" s="5" t="n">
        <v>2</v>
      </c>
      <c r="D531" s="5" t="n">
        <v>8</v>
      </c>
      <c r="E531" s="5" t="n">
        <v>0</v>
      </c>
      <c r="F531" s="5" t="n">
        <v>0</v>
      </c>
      <c r="G531" s="5" t="n">
        <v>0</v>
      </c>
      <c r="H531" s="5" t="n">
        <v>8</v>
      </c>
      <c r="I531" s="6" t="n">
        <v>17.5</v>
      </c>
      <c r="J531" s="6" t="n">
        <v>159.8</v>
      </c>
      <c r="K531" s="6" t="n">
        <v>496</v>
      </c>
      <c r="L531" s="6" t="n">
        <v>496.3</v>
      </c>
      <c r="M531" s="4" t="str">
        <f aca="false">IF(AND(K531="",L531=""),"No closed tickets",IF(K531="","MISSING in catalog",IF(L531="","No valid closed tickets",IF(AND(ABS(K531-L531)&gt;=$S$3,ABS(K531-L531)&gt;=$S$4*MAX(L531,1)),"FAR OFF","OK"))))</f>
        <v>OK</v>
      </c>
      <c r="N531" s="7" t="n">
        <f aca="false">D531/SUMIFS($D$2:$D$741,$B$2:$B$741,B531)</f>
        <v>0.0238095238095238</v>
      </c>
      <c r="O531" s="7" t="n">
        <f aca="false">SUMIFS($D$2:D531,$B$2:B531,B531)/SUMIFS($D$2:$D$741,$B$2:$B$741,B531)</f>
        <v>1</v>
      </c>
      <c r="P531" s="8" t="b">
        <f aca="false">O531-N531&lt;$S$2</f>
        <v>0</v>
      </c>
      <c r="Q531" s="2"/>
      <c r="R531" s="2"/>
      <c r="S531" s="2"/>
    </row>
    <row r="532" customFormat="false" ht="14.25" hidden="false" customHeight="false" outlineLevel="0" collapsed="false">
      <c r="A532" s="10" t="s">
        <v>599</v>
      </c>
      <c r="B532" s="10" t="s">
        <v>600</v>
      </c>
      <c r="C532" s="11" t="n">
        <v>2</v>
      </c>
      <c r="D532" s="11" t="n">
        <v>25079</v>
      </c>
      <c r="E532" s="11" t="n">
        <v>4422</v>
      </c>
      <c r="F532" s="11" t="n">
        <v>5</v>
      </c>
      <c r="G532" s="11" t="n">
        <v>0</v>
      </c>
      <c r="H532" s="11" t="n">
        <v>25074</v>
      </c>
      <c r="I532" s="12" t="n">
        <v>0</v>
      </c>
      <c r="J532" s="12" t="n">
        <v>0.6</v>
      </c>
      <c r="K532" s="12" t="n">
        <v>1</v>
      </c>
      <c r="L532" s="12" t="n">
        <v>1</v>
      </c>
      <c r="M532" s="10" t="str">
        <f aca="false">IF(AND(K532="",L532=""),"No closed tickets",IF(K532="","MISSING in catalog",IF(L532="","No valid closed tickets",IF(AND(ABS(K532-L532)&gt;=$S$3,ABS(K532-L532)&gt;=$S$4*MAX(L532,1)),"FAR OFF","OK"))))</f>
        <v>OK</v>
      </c>
      <c r="N532" s="13" t="n">
        <f aca="false">D532/SUMIFS($D$2:$D$741,$B$2:$B$741,B532)</f>
        <v>0.165035765755687</v>
      </c>
      <c r="O532" s="13" t="n">
        <f aca="false">SUMIFS($D$2:D532,$B$2:B532,B532)/SUMIFS($D$2:$D$741,$B$2:$B$741,B532)</f>
        <v>0.165035765755687</v>
      </c>
      <c r="P532" s="14" t="b">
        <f aca="false">O532-N532&lt;$S$2</f>
        <v>1</v>
      </c>
      <c r="Q532" s="2"/>
      <c r="R532" s="2"/>
      <c r="S532" s="2"/>
    </row>
    <row r="533" customFormat="false" ht="14.25" hidden="false" customHeight="false" outlineLevel="0" collapsed="false">
      <c r="A533" s="4" t="s">
        <v>601</v>
      </c>
      <c r="B533" s="4" t="s">
        <v>600</v>
      </c>
      <c r="C533" s="5" t="n">
        <v>2</v>
      </c>
      <c r="D533" s="5" t="n">
        <v>14891</v>
      </c>
      <c r="E533" s="5" t="n">
        <v>3324</v>
      </c>
      <c r="F533" s="5" t="n">
        <v>146</v>
      </c>
      <c r="G533" s="5" t="n">
        <v>0</v>
      </c>
      <c r="H533" s="5" t="n">
        <v>14724</v>
      </c>
      <c r="I533" s="6" t="n">
        <v>11</v>
      </c>
      <c r="J533" s="6" t="n">
        <v>11.8</v>
      </c>
      <c r="K533" s="6" t="n">
        <v>25</v>
      </c>
      <c r="L533" s="6" t="n">
        <v>25</v>
      </c>
      <c r="M533" s="4" t="str">
        <f aca="false">IF(AND(K533="",L533=""),"No closed tickets",IF(K533="","MISSING in catalog",IF(L533="","No valid closed tickets",IF(AND(ABS(K533-L533)&gt;=$S$3,ABS(K533-L533)&gt;=$S$4*MAX(L533,1)),"FAR OFF","OK"))))</f>
        <v>OK</v>
      </c>
      <c r="N533" s="7" t="n">
        <f aca="false">D533/SUMIFS($D$2:$D$741,$B$2:$B$741,B533)</f>
        <v>0.0979922480110028</v>
      </c>
      <c r="O533" s="7" t="n">
        <f aca="false">SUMIFS($D$2:D533,$B$2:B533,B533)/SUMIFS($D$2:$D$741,$B$2:$B$741,B533)</f>
        <v>0.26302801376669</v>
      </c>
      <c r="P533" s="8" t="b">
        <f aca="false">O533-N533&lt;$S$2</f>
        <v>1</v>
      </c>
      <c r="Q533" s="2"/>
      <c r="R533" s="2"/>
      <c r="S533" s="2"/>
    </row>
    <row r="534" customFormat="false" ht="14.25" hidden="false" customHeight="false" outlineLevel="0" collapsed="false">
      <c r="A534" s="4" t="s">
        <v>602</v>
      </c>
      <c r="B534" s="4" t="s">
        <v>600</v>
      </c>
      <c r="C534" s="5" t="n">
        <v>2</v>
      </c>
      <c r="D534" s="5" t="n">
        <v>13039</v>
      </c>
      <c r="E534" s="5" t="n">
        <v>2387</v>
      </c>
      <c r="F534" s="5" t="n">
        <v>25</v>
      </c>
      <c r="G534" s="5" t="n">
        <v>7</v>
      </c>
      <c r="H534" s="5" t="n">
        <v>12869</v>
      </c>
      <c r="I534" s="6" t="n">
        <v>3</v>
      </c>
      <c r="J534" s="6" t="n">
        <v>6.7</v>
      </c>
      <c r="K534" s="6" t="n">
        <v>14</v>
      </c>
      <c r="L534" s="6" t="n">
        <v>14</v>
      </c>
      <c r="M534" s="4" t="str">
        <f aca="false">IF(AND(K534="",L534=""),"No closed tickets",IF(K534="","MISSING in catalog",IF(L534="","No valid closed tickets",IF(AND(ABS(K534-L534)&gt;=$S$3,ABS(K534-L534)&gt;=$S$4*MAX(L534,1)),"FAR OFF","OK"))))</f>
        <v>OK</v>
      </c>
      <c r="N534" s="7" t="n">
        <f aca="false">D534/SUMIFS($D$2:$D$741,$B$2:$B$741,B534)</f>
        <v>0.0858049104704497</v>
      </c>
      <c r="O534" s="7" t="n">
        <f aca="false">SUMIFS($D$2:D534,$B$2:B534,B534)/SUMIFS($D$2:$D$741,$B$2:$B$741,B534)</f>
        <v>0.34883292423714</v>
      </c>
      <c r="P534" s="8" t="b">
        <f aca="false">O534-N534&lt;$S$2</f>
        <v>1</v>
      </c>
      <c r="Q534" s="2"/>
      <c r="R534" s="2"/>
      <c r="S534" s="2"/>
    </row>
    <row r="535" customFormat="false" ht="14.25" hidden="false" customHeight="false" outlineLevel="0" collapsed="false">
      <c r="A535" s="4" t="s">
        <v>603</v>
      </c>
      <c r="B535" s="4" t="s">
        <v>600</v>
      </c>
      <c r="C535" s="5" t="n">
        <v>2</v>
      </c>
      <c r="D535" s="5" t="n">
        <v>9672</v>
      </c>
      <c r="E535" s="5" t="n">
        <v>2103</v>
      </c>
      <c r="F535" s="5" t="n">
        <v>398</v>
      </c>
      <c r="G535" s="5" t="n">
        <v>187</v>
      </c>
      <c r="H535" s="5" t="n">
        <v>9274</v>
      </c>
      <c r="I535" s="6" t="n">
        <v>87</v>
      </c>
      <c r="J535" s="6" t="n">
        <v>103.9</v>
      </c>
      <c r="K535" s="6" t="n">
        <v>224</v>
      </c>
      <c r="L535" s="6" t="n">
        <v>224</v>
      </c>
      <c r="M535" s="4" t="str">
        <f aca="false">IF(AND(K535="",L535=""),"No closed tickets",IF(K535="","MISSING in catalog",IF(L535="","No valid closed tickets",IF(AND(ABS(K535-L535)&gt;=$S$3,ABS(K535-L535)&gt;=$S$4*MAX(L535,1)),"FAR OFF","OK"))))</f>
        <v>OK</v>
      </c>
      <c r="N535" s="7" t="n">
        <f aca="false">D535/SUMIFS($D$2:$D$741,$B$2:$B$741,B535)</f>
        <v>0.0636479096610315</v>
      </c>
      <c r="O535" s="7" t="n">
        <f aca="false">SUMIFS($D$2:D535,$B$2:B535,B535)/SUMIFS($D$2:$D$741,$B$2:$B$741,B535)</f>
        <v>0.412480833898171</v>
      </c>
      <c r="P535" s="8" t="b">
        <f aca="false">O535-N535&lt;$S$2</f>
        <v>1</v>
      </c>
      <c r="Q535" s="2"/>
      <c r="R535" s="2"/>
      <c r="S535" s="2"/>
    </row>
    <row r="536" customFormat="false" ht="14.25" hidden="false" customHeight="false" outlineLevel="0" collapsed="false">
      <c r="A536" s="4" t="s">
        <v>604</v>
      </c>
      <c r="B536" s="4" t="s">
        <v>600</v>
      </c>
      <c r="C536" s="5" t="n">
        <v>2</v>
      </c>
      <c r="D536" s="5" t="n">
        <v>8915</v>
      </c>
      <c r="E536" s="5" t="n">
        <v>2342</v>
      </c>
      <c r="F536" s="5" t="n">
        <v>124</v>
      </c>
      <c r="G536" s="5" t="n">
        <v>1</v>
      </c>
      <c r="H536" s="5" t="n">
        <v>8788</v>
      </c>
      <c r="I536" s="6" t="n">
        <v>13</v>
      </c>
      <c r="J536" s="6" t="n">
        <v>33.1</v>
      </c>
      <c r="K536" s="6" t="n">
        <v>55</v>
      </c>
      <c r="L536" s="6" t="n">
        <v>54</v>
      </c>
      <c r="M536" s="4" t="str">
        <f aca="false">IF(AND(K536="",L536=""),"No closed tickets",IF(K536="","MISSING in catalog",IF(L536="","No valid closed tickets",IF(AND(ABS(K536-L536)&gt;=$S$3,ABS(K536-L536)&gt;=$S$4*MAX(L536,1)),"FAR OFF","OK"))))</f>
        <v>OK</v>
      </c>
      <c r="N536" s="7" t="n">
        <f aca="false">D536/SUMIFS($D$2:$D$741,$B$2:$B$741,B536)</f>
        <v>0.0586663683445094</v>
      </c>
      <c r="O536" s="7" t="n">
        <f aca="false">SUMIFS($D$2:D536,$B$2:B536,B536)/SUMIFS($D$2:$D$741,$B$2:$B$741,B536)</f>
        <v>0.471147202242681</v>
      </c>
      <c r="P536" s="8" t="b">
        <f aca="false">O536-N536&lt;$S$2</f>
        <v>1</v>
      </c>
      <c r="Q536" s="2"/>
      <c r="R536" s="2"/>
      <c r="S536" s="2"/>
    </row>
    <row r="537" customFormat="false" ht="14.25" hidden="false" customHeight="false" outlineLevel="0" collapsed="false">
      <c r="A537" s="4" t="s">
        <v>605</v>
      </c>
      <c r="B537" s="4" t="s">
        <v>600</v>
      </c>
      <c r="C537" s="5" t="n">
        <v>2</v>
      </c>
      <c r="D537" s="5" t="n">
        <v>8470</v>
      </c>
      <c r="E537" s="5" t="n">
        <v>1675</v>
      </c>
      <c r="F537" s="5" t="n">
        <v>10</v>
      </c>
      <c r="G537" s="5" t="n">
        <v>8</v>
      </c>
      <c r="H537" s="5" t="n">
        <v>7516</v>
      </c>
      <c r="I537" s="6" t="n">
        <v>0</v>
      </c>
      <c r="J537" s="6" t="n">
        <v>1.2</v>
      </c>
      <c r="K537" s="6" t="n">
        <v>1</v>
      </c>
      <c r="L537" s="6" t="n">
        <v>1</v>
      </c>
      <c r="M537" s="4" t="str">
        <f aca="false">IF(AND(K537="",L537=""),"No closed tickets",IF(K537="","MISSING in catalog",IF(L537="","No valid closed tickets",IF(AND(ABS(K537-L537)&gt;=$S$3,ABS(K537-L537)&gt;=$S$4*MAX(L537,1)),"FAR OFF","OK"))))</f>
        <v>OK</v>
      </c>
      <c r="N537" s="7" t="n">
        <f aca="false">D537/SUMIFS($D$2:$D$741,$B$2:$B$741,B537)</f>
        <v>0.0557379854041498</v>
      </c>
      <c r="O537" s="7" t="n">
        <f aca="false">SUMIFS($D$2:D537,$B$2:B537,B537)/SUMIFS($D$2:$D$741,$B$2:$B$741,B537)</f>
        <v>0.526885187646831</v>
      </c>
      <c r="P537" s="8" t="b">
        <f aca="false">O537-N537&lt;$S$2</f>
        <v>1</v>
      </c>
      <c r="Q537" s="2"/>
      <c r="R537" s="2"/>
      <c r="S537" s="2"/>
    </row>
    <row r="538" customFormat="false" ht="14.25" hidden="false" customHeight="false" outlineLevel="0" collapsed="false">
      <c r="A538" s="4" t="s">
        <v>606</v>
      </c>
      <c r="B538" s="4" t="s">
        <v>600</v>
      </c>
      <c r="C538" s="5" t="n">
        <v>2</v>
      </c>
      <c r="D538" s="5" t="n">
        <v>5592</v>
      </c>
      <c r="E538" s="5" t="n">
        <v>1043</v>
      </c>
      <c r="F538" s="5" t="n">
        <v>34</v>
      </c>
      <c r="G538" s="5" t="n">
        <v>2</v>
      </c>
      <c r="H538" s="5" t="n">
        <v>5557</v>
      </c>
      <c r="I538" s="6" t="n">
        <v>20</v>
      </c>
      <c r="J538" s="6" t="n">
        <v>58</v>
      </c>
      <c r="K538" s="6" t="n">
        <v>149</v>
      </c>
      <c r="L538" s="6" t="n">
        <v>149</v>
      </c>
      <c r="M538" s="4" t="str">
        <f aca="false">IF(AND(K538="",L538=""),"No closed tickets",IF(K538="","MISSING in catalog",IF(L538="","No valid closed tickets",IF(AND(ABS(K538-L538)&gt;=$S$3,ABS(K538-L538)&gt;=$S$4*MAX(L538,1)),"FAR OFF","OK"))))</f>
        <v>OK</v>
      </c>
      <c r="N538" s="7" t="n">
        <f aca="false">D538/SUMIFS($D$2:$D$741,$B$2:$B$741,B538)</f>
        <v>0.0367989155112167</v>
      </c>
      <c r="O538" s="7" t="n">
        <f aca="false">SUMIFS($D$2:D538,$B$2:B538,B538)/SUMIFS($D$2:$D$741,$B$2:$B$741,B538)</f>
        <v>0.563684103158047</v>
      </c>
      <c r="P538" s="8" t="b">
        <f aca="false">O538-N538&lt;$S$2</f>
        <v>1</v>
      </c>
      <c r="Q538" s="2"/>
      <c r="R538" s="2"/>
      <c r="S538" s="2"/>
    </row>
    <row r="539" customFormat="false" ht="14.25" hidden="false" customHeight="false" outlineLevel="0" collapsed="false">
      <c r="A539" s="4" t="s">
        <v>607</v>
      </c>
      <c r="B539" s="4" t="s">
        <v>600</v>
      </c>
      <c r="C539" s="5" t="n">
        <v>2</v>
      </c>
      <c r="D539" s="5" t="n">
        <v>4107</v>
      </c>
      <c r="E539" s="5" t="n">
        <v>937</v>
      </c>
      <c r="F539" s="5" t="n">
        <v>15</v>
      </c>
      <c r="G539" s="5" t="n">
        <v>6</v>
      </c>
      <c r="H539" s="5" t="n">
        <v>3390</v>
      </c>
      <c r="I539" s="6" t="n">
        <v>1</v>
      </c>
      <c r="J539" s="6" t="n">
        <v>2.9</v>
      </c>
      <c r="K539" s="6" t="n">
        <v>3</v>
      </c>
      <c r="L539" s="6" t="n">
        <v>3</v>
      </c>
      <c r="M539" s="4" t="str">
        <f aca="false">IF(AND(K539="",L539=""),"No closed tickets",IF(K539="","MISSING in catalog",IF(L539="","No valid closed tickets",IF(AND(ABS(K539-L539)&gt;=$S$3,ABS(K539-L539)&gt;=$S$4*MAX(L539,1)),"FAR OFF","OK"))))</f>
        <v>OK</v>
      </c>
      <c r="N539" s="7" t="n">
        <f aca="false">D539/SUMIFS($D$2:$D$741,$B$2:$B$741,B539)</f>
        <v>0.0270266713169826</v>
      </c>
      <c r="O539" s="7" t="n">
        <f aca="false">SUMIFS($D$2:D539,$B$2:B539,B539)/SUMIFS($D$2:$D$741,$B$2:$B$741,B539)</f>
        <v>0.59071077447503</v>
      </c>
      <c r="P539" s="8" t="b">
        <f aca="false">O539-N539&lt;$S$2</f>
        <v>1</v>
      </c>
      <c r="Q539" s="2"/>
      <c r="R539" s="2"/>
      <c r="S539" s="2"/>
    </row>
    <row r="540" customFormat="false" ht="14.25" hidden="false" customHeight="false" outlineLevel="0" collapsed="false">
      <c r="A540" s="4" t="s">
        <v>608</v>
      </c>
      <c r="B540" s="4" t="s">
        <v>600</v>
      </c>
      <c r="C540" s="5" t="n">
        <v>2</v>
      </c>
      <c r="D540" s="5" t="n">
        <v>3870</v>
      </c>
      <c r="E540" s="5" t="n">
        <v>900</v>
      </c>
      <c r="F540" s="5" t="n">
        <v>35</v>
      </c>
      <c r="G540" s="5" t="n">
        <v>5</v>
      </c>
      <c r="H540" s="5" t="n">
        <v>3831</v>
      </c>
      <c r="I540" s="6" t="n">
        <v>9</v>
      </c>
      <c r="J540" s="6" t="n">
        <v>56.4</v>
      </c>
      <c r="K540" s="6" t="n">
        <v>170</v>
      </c>
      <c r="L540" s="6" t="n">
        <v>167</v>
      </c>
      <c r="M540" s="4" t="str">
        <f aca="false">IF(AND(K540="",L540=""),"No closed tickets",IF(K540="","MISSING in catalog",IF(L540="","No valid closed tickets",IF(AND(ABS(K540-L540)&gt;=$S$3,ABS(K540-L540)&gt;=$S$4*MAX(L540,1)),"FAR OFF","OK"))))</f>
        <v>OK</v>
      </c>
      <c r="N540" s="7" t="n">
        <f aca="false">D540/SUMIFS($D$2:$D$741,$B$2:$B$741,B540)</f>
        <v>0.0254670606273978</v>
      </c>
      <c r="O540" s="7" t="n">
        <f aca="false">SUMIFS($D$2:D540,$B$2:B540,B540)/SUMIFS($D$2:$D$741,$B$2:$B$741,B540)</f>
        <v>0.616177835102428</v>
      </c>
      <c r="P540" s="8" t="b">
        <f aca="false">O540-N540&lt;$S$2</f>
        <v>1</v>
      </c>
      <c r="Q540" s="2"/>
      <c r="R540" s="2"/>
      <c r="S540" s="2"/>
    </row>
    <row r="541" customFormat="false" ht="14.25" hidden="false" customHeight="false" outlineLevel="0" collapsed="false">
      <c r="A541" s="4" t="s">
        <v>609</v>
      </c>
      <c r="B541" s="4" t="s">
        <v>600</v>
      </c>
      <c r="C541" s="5" t="n">
        <v>2</v>
      </c>
      <c r="D541" s="5" t="n">
        <v>3720</v>
      </c>
      <c r="E541" s="5" t="n">
        <v>908</v>
      </c>
      <c r="F541" s="5" t="n">
        <v>21</v>
      </c>
      <c r="G541" s="5" t="n">
        <v>11</v>
      </c>
      <c r="H541" s="5" t="n">
        <v>3699</v>
      </c>
      <c r="I541" s="6" t="n">
        <v>3</v>
      </c>
      <c r="J541" s="6" t="n">
        <v>13.7</v>
      </c>
      <c r="K541" s="6" t="n">
        <v>29</v>
      </c>
      <c r="L541" s="6" t="n">
        <v>29</v>
      </c>
      <c r="M541" s="4" t="str">
        <f aca="false">IF(AND(K541="",L541=""),"No closed tickets",IF(K541="","MISSING in catalog",IF(L541="","No valid closed tickets",IF(AND(ABS(K541-L541)&gt;=$S$3,ABS(K541-L541)&gt;=$S$4*MAX(L541,1)),"FAR OFF","OK"))))</f>
        <v>OK</v>
      </c>
      <c r="N541" s="7" t="n">
        <f aca="false">D541/SUMIFS($D$2:$D$741,$B$2:$B$741,B541)</f>
        <v>0.0244799652542429</v>
      </c>
      <c r="O541" s="7" t="n">
        <f aca="false">SUMIFS($D$2:D541,$B$2:B541,B541)/SUMIFS($D$2:$D$741,$B$2:$B$741,B541)</f>
        <v>0.64065780035667</v>
      </c>
      <c r="P541" s="8" t="b">
        <f aca="false">O541-N541&lt;$S$2</f>
        <v>1</v>
      </c>
      <c r="Q541" s="2"/>
      <c r="R541" s="2"/>
      <c r="S541" s="2"/>
    </row>
    <row r="542" customFormat="false" ht="14.25" hidden="false" customHeight="false" outlineLevel="0" collapsed="false">
      <c r="A542" s="4" t="s">
        <v>610</v>
      </c>
      <c r="B542" s="4" t="s">
        <v>600</v>
      </c>
      <c r="C542" s="5" t="n">
        <v>2</v>
      </c>
      <c r="D542" s="5" t="n">
        <v>3622</v>
      </c>
      <c r="E542" s="5" t="n">
        <v>0</v>
      </c>
      <c r="F542" s="5" t="n">
        <v>0</v>
      </c>
      <c r="G542" s="5" t="n">
        <v>0</v>
      </c>
      <c r="H542" s="5" t="n">
        <v>3622</v>
      </c>
      <c r="I542" s="6" t="n">
        <v>1</v>
      </c>
      <c r="J542" s="6" t="n">
        <v>8</v>
      </c>
      <c r="K542" s="6" t="n">
        <v>6</v>
      </c>
      <c r="L542" s="6" t="n">
        <v>6</v>
      </c>
      <c r="M542" s="4" t="str">
        <f aca="false">IF(AND(K542="",L542=""),"No closed tickets",IF(K542="","MISSING in catalog",IF(L542="","No valid closed tickets",IF(AND(ABS(K542-L542)&gt;=$S$3,ABS(K542-L542)&gt;=$S$4*MAX(L542,1)),"FAR OFF","OK"))))</f>
        <v>OK</v>
      </c>
      <c r="N542" s="7" t="n">
        <f aca="false">D542/SUMIFS($D$2:$D$741,$B$2:$B$741,B542)</f>
        <v>0.0238350629437816</v>
      </c>
      <c r="O542" s="7" t="n">
        <f aca="false">SUMIFS($D$2:D542,$B$2:B542,B542)/SUMIFS($D$2:$D$741,$B$2:$B$741,B542)</f>
        <v>0.664492863300452</v>
      </c>
      <c r="P542" s="8" t="b">
        <f aca="false">O542-N542&lt;$S$2</f>
        <v>1</v>
      </c>
      <c r="Q542" s="2"/>
      <c r="R542" s="2"/>
      <c r="S542" s="2"/>
    </row>
    <row r="543" customFormat="false" ht="14.25" hidden="false" customHeight="false" outlineLevel="0" collapsed="false">
      <c r="A543" s="4" t="s">
        <v>611</v>
      </c>
      <c r="B543" s="4" t="s">
        <v>600</v>
      </c>
      <c r="C543" s="5" t="n">
        <v>2</v>
      </c>
      <c r="D543" s="5" t="n">
        <v>3618</v>
      </c>
      <c r="E543" s="5" t="n">
        <v>759</v>
      </c>
      <c r="F543" s="5" t="n">
        <v>6</v>
      </c>
      <c r="G543" s="5" t="n">
        <v>6</v>
      </c>
      <c r="H543" s="5" t="n">
        <v>3612</v>
      </c>
      <c r="I543" s="6" t="n">
        <v>0</v>
      </c>
      <c r="J543" s="6" t="n">
        <v>0.7</v>
      </c>
      <c r="K543" s="6" t="n">
        <v>0</v>
      </c>
      <c r="L543" s="6" t="n">
        <v>0</v>
      </c>
      <c r="M543" s="4" t="str">
        <f aca="false">IF(AND(K543="",L543=""),"No closed tickets",IF(K543="","MISSING in catalog",IF(L543="","No valid closed tickets",IF(AND(ABS(K543-L543)&gt;=$S$3,ABS(K543-L543)&gt;=$S$4*MAX(L543,1)),"FAR OFF","OK"))))</f>
        <v>OK</v>
      </c>
      <c r="N543" s="7" t="n">
        <f aca="false">D543/SUMIFS($D$2:$D$741,$B$2:$B$741,B543)</f>
        <v>0.0238087404004975</v>
      </c>
      <c r="O543" s="7" t="n">
        <f aca="false">SUMIFS($D$2:D543,$B$2:B543,B543)/SUMIFS($D$2:$D$741,$B$2:$B$741,B543)</f>
        <v>0.68830160370095</v>
      </c>
      <c r="P543" s="8" t="b">
        <f aca="false">O543-N543&lt;$S$2</f>
        <v>1</v>
      </c>
      <c r="Q543" s="2"/>
      <c r="R543" s="2"/>
      <c r="S543" s="2"/>
    </row>
    <row r="544" customFormat="false" ht="14.25" hidden="false" customHeight="false" outlineLevel="0" collapsed="false">
      <c r="A544" s="4" t="s">
        <v>612</v>
      </c>
      <c r="B544" s="4" t="s">
        <v>600</v>
      </c>
      <c r="C544" s="5" t="n">
        <v>2</v>
      </c>
      <c r="D544" s="5" t="n">
        <v>3544</v>
      </c>
      <c r="E544" s="5" t="n">
        <v>693</v>
      </c>
      <c r="F544" s="5" t="n">
        <v>28</v>
      </c>
      <c r="G544" s="5" t="n">
        <v>6</v>
      </c>
      <c r="H544" s="5" t="n">
        <v>3479</v>
      </c>
      <c r="I544" s="6" t="n">
        <v>3</v>
      </c>
      <c r="J544" s="6" t="n">
        <v>9.4</v>
      </c>
      <c r="K544" s="6" t="n">
        <v>20</v>
      </c>
      <c r="L544" s="6" t="n">
        <v>20</v>
      </c>
      <c r="M544" s="4" t="str">
        <f aca="false">IF(AND(K544="",L544=""),"No closed tickets",IF(K544="","MISSING in catalog",IF(L544="","No valid closed tickets",IF(AND(ABS(K544-L544)&gt;=$S$3,ABS(K544-L544)&gt;=$S$4*MAX(L544,1)),"FAR OFF","OK"))))</f>
        <v>OK</v>
      </c>
      <c r="N544" s="7" t="n">
        <f aca="false">D544/SUMIFS($D$2:$D$741,$B$2:$B$741,B544)</f>
        <v>0.0233217733497411</v>
      </c>
      <c r="O544" s="7" t="n">
        <f aca="false">SUMIFS($D$2:D544,$B$2:B544,B544)/SUMIFS($D$2:$D$741,$B$2:$B$741,B544)</f>
        <v>0.711623377050691</v>
      </c>
      <c r="P544" s="8" t="b">
        <f aca="false">O544-N544&lt;$S$2</f>
        <v>1</v>
      </c>
      <c r="Q544" s="2"/>
      <c r="R544" s="2"/>
      <c r="S544" s="2"/>
    </row>
    <row r="545" customFormat="false" ht="14.25" hidden="false" customHeight="false" outlineLevel="0" collapsed="false">
      <c r="A545" s="4" t="s">
        <v>613</v>
      </c>
      <c r="B545" s="4" t="s">
        <v>600</v>
      </c>
      <c r="C545" s="5" t="n">
        <v>2</v>
      </c>
      <c r="D545" s="5" t="n">
        <v>3286</v>
      </c>
      <c r="E545" s="5" t="n">
        <v>652</v>
      </c>
      <c r="F545" s="5" t="n">
        <v>8</v>
      </c>
      <c r="G545" s="5" t="n">
        <v>1</v>
      </c>
      <c r="H545" s="5" t="n">
        <v>3278</v>
      </c>
      <c r="I545" s="6" t="n">
        <v>2</v>
      </c>
      <c r="J545" s="6" t="n">
        <v>6.6</v>
      </c>
      <c r="K545" s="6" t="n">
        <v>11</v>
      </c>
      <c r="L545" s="6" t="n">
        <v>11</v>
      </c>
      <c r="M545" s="4" t="str">
        <f aca="false">IF(AND(K545="",L545=""),"No closed tickets",IF(K545="","MISSING in catalog",IF(L545="","No valid closed tickets",IF(AND(ABS(K545-L545)&gt;=$S$3,ABS(K545-L545)&gt;=$S$4*MAX(L545,1)),"FAR OFF","OK"))))</f>
        <v>OK</v>
      </c>
      <c r="N545" s="7" t="n">
        <f aca="false">D545/SUMIFS($D$2:$D$741,$B$2:$B$741,B545)</f>
        <v>0.0216239693079145</v>
      </c>
      <c r="O545" s="7" t="n">
        <f aca="false">SUMIFS($D$2:D545,$B$2:B545,B545)/SUMIFS($D$2:$D$741,$B$2:$B$741,B545)</f>
        <v>0.733247346358605</v>
      </c>
      <c r="P545" s="8" t="b">
        <f aca="false">O545-N545&lt;$S$2</f>
        <v>1</v>
      </c>
      <c r="Q545" s="2"/>
      <c r="R545" s="2"/>
      <c r="S545" s="2"/>
    </row>
    <row r="546" customFormat="false" ht="14.25" hidden="false" customHeight="false" outlineLevel="0" collapsed="false">
      <c r="A546" s="4" t="s">
        <v>614</v>
      </c>
      <c r="B546" s="4" t="s">
        <v>600</v>
      </c>
      <c r="C546" s="5" t="n">
        <v>2</v>
      </c>
      <c r="D546" s="5" t="n">
        <v>3091</v>
      </c>
      <c r="E546" s="5" t="n">
        <v>791</v>
      </c>
      <c r="F546" s="5" t="n">
        <v>12</v>
      </c>
      <c r="G546" s="5" t="n">
        <v>9</v>
      </c>
      <c r="H546" s="5" t="n">
        <v>3079</v>
      </c>
      <c r="I546" s="6" t="n">
        <v>1</v>
      </c>
      <c r="J546" s="6" t="n">
        <v>4.6</v>
      </c>
      <c r="K546" s="6" t="n">
        <v>3</v>
      </c>
      <c r="L546" s="6" t="n">
        <v>3</v>
      </c>
      <c r="M546" s="4" t="str">
        <f aca="false">IF(AND(K546="",L546=""),"No closed tickets",IF(K546="","MISSING in catalog",IF(L546="","No valid closed tickets",IF(AND(ABS(K546-L546)&gt;=$S$3,ABS(K546-L546)&gt;=$S$4*MAX(L546,1)),"FAR OFF","OK"))))</f>
        <v>OK</v>
      </c>
      <c r="N546" s="7" t="n">
        <f aca="false">D546/SUMIFS($D$2:$D$741,$B$2:$B$741,B546)</f>
        <v>0.0203407453228131</v>
      </c>
      <c r="O546" s="7" t="n">
        <f aca="false">SUMIFS($D$2:D546,$B$2:B546,B546)/SUMIFS($D$2:$D$741,$B$2:$B$741,B546)</f>
        <v>0.753588091681418</v>
      </c>
      <c r="P546" s="8" t="b">
        <f aca="false">O546-N546&lt;$S$2</f>
        <v>1</v>
      </c>
      <c r="Q546" s="2"/>
      <c r="R546" s="2"/>
      <c r="S546" s="2"/>
    </row>
    <row r="547" customFormat="false" ht="14.25" hidden="false" customHeight="false" outlineLevel="0" collapsed="false">
      <c r="A547" s="4" t="s">
        <v>615</v>
      </c>
      <c r="B547" s="4" t="s">
        <v>600</v>
      </c>
      <c r="C547" s="5" t="n">
        <v>2</v>
      </c>
      <c r="D547" s="5" t="n">
        <v>3064</v>
      </c>
      <c r="E547" s="5" t="n">
        <v>631</v>
      </c>
      <c r="F547" s="5" t="n">
        <v>6</v>
      </c>
      <c r="G547" s="5" t="n">
        <v>0</v>
      </c>
      <c r="H547" s="5" t="n">
        <v>3058</v>
      </c>
      <c r="I547" s="6" t="n">
        <v>4</v>
      </c>
      <c r="J547" s="6" t="n">
        <v>7.2</v>
      </c>
      <c r="K547" s="6" t="n">
        <v>20</v>
      </c>
      <c r="L547" s="6" t="n">
        <v>20</v>
      </c>
      <c r="M547" s="4" t="str">
        <f aca="false">IF(AND(K547="",L547=""),"No closed tickets",IF(K547="","MISSING in catalog",IF(L547="","No valid closed tickets",IF(AND(ABS(K547-L547)&gt;=$S$3,ABS(K547-L547)&gt;=$S$4*MAX(L547,1)),"FAR OFF","OK"))))</f>
        <v>OK</v>
      </c>
      <c r="N547" s="7" t="n">
        <f aca="false">D547/SUMIFS($D$2:$D$741,$B$2:$B$741,B547)</f>
        <v>0.0201630681556452</v>
      </c>
      <c r="O547" s="7" t="n">
        <f aca="false">SUMIFS($D$2:D547,$B$2:B547,B547)/SUMIFS($D$2:$D$741,$B$2:$B$741,B547)</f>
        <v>0.773751159837063</v>
      </c>
      <c r="P547" s="8" t="b">
        <f aca="false">O547-N547&lt;$S$2</f>
        <v>1</v>
      </c>
      <c r="Q547" s="2"/>
      <c r="R547" s="2"/>
      <c r="S547" s="2"/>
    </row>
    <row r="548" customFormat="false" ht="14.25" hidden="false" customHeight="false" outlineLevel="0" collapsed="false">
      <c r="A548" s="4" t="s">
        <v>616</v>
      </c>
      <c r="B548" s="4" t="s">
        <v>600</v>
      </c>
      <c r="C548" s="5" t="n">
        <v>2</v>
      </c>
      <c r="D548" s="5" t="n">
        <v>2939</v>
      </c>
      <c r="E548" s="5" t="n">
        <v>660</v>
      </c>
      <c r="F548" s="5" t="n">
        <v>0</v>
      </c>
      <c r="G548" s="5" t="n">
        <v>0</v>
      </c>
      <c r="H548" s="5" t="n">
        <v>2934</v>
      </c>
      <c r="I548" s="6" t="n">
        <v>2</v>
      </c>
      <c r="J548" s="6" t="n">
        <v>9.5</v>
      </c>
      <c r="K548" s="6" t="n">
        <v>18</v>
      </c>
      <c r="L548" s="6" t="n">
        <v>18</v>
      </c>
      <c r="M548" s="4" t="str">
        <f aca="false">IF(AND(K548="",L548=""),"No closed tickets",IF(K548="","MISSING in catalog",IF(L548="","No valid closed tickets",IF(AND(ABS(K548-L548)&gt;=$S$3,ABS(K548-L548)&gt;=$S$4*MAX(L548,1)),"FAR OFF","OK"))))</f>
        <v>OK</v>
      </c>
      <c r="N548" s="7" t="n">
        <f aca="false">D548/SUMIFS($D$2:$D$741,$B$2:$B$741,B548)</f>
        <v>0.0193404886780161</v>
      </c>
      <c r="O548" s="7" t="n">
        <f aca="false">SUMIFS($D$2:D548,$B$2:B548,B548)/SUMIFS($D$2:$D$741,$B$2:$B$741,B548)</f>
        <v>0.79309164851508</v>
      </c>
      <c r="P548" s="8" t="b">
        <f aca="false">O548-N548&lt;$S$2</f>
        <v>1</v>
      </c>
      <c r="Q548" s="2"/>
      <c r="R548" s="2"/>
      <c r="S548" s="2"/>
    </row>
    <row r="549" customFormat="false" ht="14.25" hidden="false" customHeight="false" outlineLevel="0" collapsed="false">
      <c r="A549" s="4" t="s">
        <v>617</v>
      </c>
      <c r="B549" s="4" t="s">
        <v>600</v>
      </c>
      <c r="C549" s="5" t="n">
        <v>2</v>
      </c>
      <c r="D549" s="5" t="n">
        <v>2923</v>
      </c>
      <c r="E549" s="5" t="n">
        <v>675</v>
      </c>
      <c r="F549" s="5" t="n">
        <v>7</v>
      </c>
      <c r="G549" s="5" t="n">
        <v>0</v>
      </c>
      <c r="H549" s="5" t="n">
        <v>2916</v>
      </c>
      <c r="I549" s="6" t="n">
        <v>3</v>
      </c>
      <c r="J549" s="6" t="n">
        <v>6</v>
      </c>
      <c r="K549" s="6" t="n">
        <v>16</v>
      </c>
      <c r="L549" s="6" t="n">
        <v>16</v>
      </c>
      <c r="M549" s="4" t="str">
        <f aca="false">IF(AND(K549="",L549=""),"No closed tickets",IF(K549="","MISSING in catalog",IF(L549="","No valid closed tickets",IF(AND(ABS(K549-L549)&gt;=$S$3,ABS(K549-L549)&gt;=$S$4*MAX(L549,1)),"FAR OFF","OK"))))</f>
        <v>OK</v>
      </c>
      <c r="N549" s="7" t="n">
        <f aca="false">D549/SUMIFS($D$2:$D$741,$B$2:$B$741,B549)</f>
        <v>0.0192351985048795</v>
      </c>
      <c r="O549" s="7" t="n">
        <f aca="false">SUMIFS($D$2:D549,$B$2:B549,B549)/SUMIFS($D$2:$D$741,$B$2:$B$741,B549)</f>
        <v>0.812326847019959</v>
      </c>
      <c r="P549" s="8" t="b">
        <f aca="false">O549-N549&lt;$S$2</f>
        <v>1</v>
      </c>
      <c r="Q549" s="2"/>
      <c r="R549" s="2"/>
      <c r="S549" s="2"/>
    </row>
    <row r="550" customFormat="false" ht="14.25" hidden="false" customHeight="false" outlineLevel="0" collapsed="false">
      <c r="A550" s="4" t="s">
        <v>618</v>
      </c>
      <c r="B550" s="4" t="s">
        <v>600</v>
      </c>
      <c r="C550" s="5" t="n">
        <v>2</v>
      </c>
      <c r="D550" s="5" t="n">
        <v>2836</v>
      </c>
      <c r="E550" s="5" t="n">
        <v>721</v>
      </c>
      <c r="F550" s="5" t="n">
        <v>27</v>
      </c>
      <c r="G550" s="5" t="n">
        <v>0</v>
      </c>
      <c r="H550" s="5" t="n">
        <v>2804</v>
      </c>
      <c r="I550" s="6" t="n">
        <v>6</v>
      </c>
      <c r="J550" s="6" t="n">
        <v>8.9</v>
      </c>
      <c r="K550" s="6" t="n">
        <v>19</v>
      </c>
      <c r="L550" s="6" t="n">
        <v>19</v>
      </c>
      <c r="M550" s="4" t="str">
        <f aca="false">IF(AND(K550="",L550=""),"No closed tickets",IF(K550="","MISSING in catalog",IF(L550="","No valid closed tickets",IF(AND(ABS(K550-L550)&gt;=$S$3,ABS(K550-L550)&gt;=$S$4*MAX(L550,1)),"FAR OFF","OK"))))</f>
        <v>OK</v>
      </c>
      <c r="N550" s="7" t="n">
        <f aca="false">D550/SUMIFS($D$2:$D$741,$B$2:$B$741,B550)</f>
        <v>0.0186626831884497</v>
      </c>
      <c r="O550" s="7" t="n">
        <f aca="false">SUMIFS($D$2:D550,$B$2:B550,B550)/SUMIFS($D$2:$D$741,$B$2:$B$741,B550)</f>
        <v>0.830989530208409</v>
      </c>
      <c r="P550" s="8" t="b">
        <f aca="false">O550-N550&lt;$S$2</f>
        <v>1</v>
      </c>
      <c r="Q550" s="2"/>
      <c r="R550" s="2"/>
      <c r="S550" s="2"/>
    </row>
    <row r="551" customFormat="false" ht="14.25" hidden="false" customHeight="false" outlineLevel="0" collapsed="false">
      <c r="A551" s="4" t="s">
        <v>619</v>
      </c>
      <c r="B551" s="4" t="s">
        <v>600</v>
      </c>
      <c r="C551" s="5" t="n">
        <v>1</v>
      </c>
      <c r="D551" s="5" t="n">
        <v>2805</v>
      </c>
      <c r="E551" s="5" t="n">
        <v>726</v>
      </c>
      <c r="F551" s="5" t="n">
        <v>265</v>
      </c>
      <c r="G551" s="5" t="n">
        <v>200</v>
      </c>
      <c r="H551" s="5" t="n">
        <v>2540</v>
      </c>
      <c r="I551" s="6" t="n">
        <v>29.5</v>
      </c>
      <c r="J551" s="6" t="n">
        <v>84.7</v>
      </c>
      <c r="K551" s="6" t="n">
        <v>237</v>
      </c>
      <c r="L551" s="6" t="n">
        <v>237</v>
      </c>
      <c r="M551" s="4" t="str">
        <f aca="false">IF(AND(K551="",L551=""),"No closed tickets",IF(K551="","MISSING in catalog",IF(L551="","No valid closed tickets",IF(AND(ABS(K551-L551)&gt;=$S$3,ABS(K551-L551)&gt;=$S$4*MAX(L551,1)),"FAR OFF","OK"))))</f>
        <v>OK</v>
      </c>
      <c r="N551" s="7" t="n">
        <f aca="false">D551/SUMIFS($D$2:$D$741,$B$2:$B$741,B551)</f>
        <v>0.0184586834779976</v>
      </c>
      <c r="O551" s="7" t="n">
        <f aca="false">SUMIFS($D$2:D551,$B$2:B551,B551)/SUMIFS($D$2:$D$741,$B$2:$B$741,B551)</f>
        <v>0.849448213686406</v>
      </c>
      <c r="P551" s="8" t="b">
        <f aca="false">O551-N551&lt;$S$2</f>
        <v>1</v>
      </c>
      <c r="Q551" s="2"/>
      <c r="R551" s="2"/>
      <c r="S551" s="2"/>
    </row>
    <row r="552" customFormat="false" ht="14.25" hidden="false" customHeight="false" outlineLevel="0" collapsed="false">
      <c r="A552" s="4" t="s">
        <v>620</v>
      </c>
      <c r="B552" s="4" t="s">
        <v>600</v>
      </c>
      <c r="C552" s="5" t="n">
        <v>2</v>
      </c>
      <c r="D552" s="5" t="n">
        <v>2455</v>
      </c>
      <c r="E552" s="5" t="n">
        <v>553</v>
      </c>
      <c r="F552" s="5" t="n">
        <v>13</v>
      </c>
      <c r="G552" s="5" t="n">
        <v>0</v>
      </c>
      <c r="H552" s="5" t="n">
        <v>2442</v>
      </c>
      <c r="I552" s="6" t="n">
        <v>1</v>
      </c>
      <c r="J552" s="6" t="n">
        <v>7.9</v>
      </c>
      <c r="K552" s="6" t="n">
        <v>14</v>
      </c>
      <c r="L552" s="6" t="n">
        <v>13.9</v>
      </c>
      <c r="M552" s="4" t="str">
        <f aca="false">IF(AND(K552="",L552=""),"No closed tickets",IF(K552="","MISSING in catalog",IF(L552="","No valid closed tickets",IF(AND(ABS(K552-L552)&gt;=$S$3,ABS(K552-L552)&gt;=$S$4*MAX(L552,1)),"FAR OFF","OK"))))</f>
        <v>OK</v>
      </c>
      <c r="N552" s="7" t="n">
        <f aca="false">D552/SUMIFS($D$2:$D$741,$B$2:$B$741,B552)</f>
        <v>0.0161554609406361</v>
      </c>
      <c r="O552" s="7" t="n">
        <f aca="false">SUMIFS($D$2:D552,$B$2:B552,B552)/SUMIFS($D$2:$D$741,$B$2:$B$741,B552)</f>
        <v>0.865603674627043</v>
      </c>
      <c r="P552" s="8" t="b">
        <f aca="false">O552-N552&lt;$S$2</f>
        <v>1</v>
      </c>
      <c r="Q552" s="2"/>
      <c r="R552" s="2"/>
      <c r="S552" s="2"/>
    </row>
    <row r="553" customFormat="false" ht="14.25" hidden="false" customHeight="false" outlineLevel="0" collapsed="false">
      <c r="A553" s="4" t="s">
        <v>621</v>
      </c>
      <c r="B553" s="4" t="s">
        <v>600</v>
      </c>
      <c r="C553" s="5" t="n">
        <v>1</v>
      </c>
      <c r="D553" s="5" t="n">
        <v>2024</v>
      </c>
      <c r="E553" s="5" t="n">
        <v>1083</v>
      </c>
      <c r="F553" s="5" t="n">
        <v>11</v>
      </c>
      <c r="G553" s="5" t="n">
        <v>4</v>
      </c>
      <c r="H553" s="5" t="n">
        <v>2013</v>
      </c>
      <c r="I553" s="6" t="n">
        <v>1</v>
      </c>
      <c r="J553" s="6" t="n">
        <v>3.8</v>
      </c>
      <c r="K553" s="6" t="n">
        <v>5</v>
      </c>
      <c r="L553" s="6" t="n">
        <v>5</v>
      </c>
      <c r="M553" s="4" t="str">
        <f aca="false">IF(AND(K553="",L553=""),"No closed tickets",IF(K553="","MISSING in catalog",IF(L553="","No valid closed tickets",IF(AND(ABS(K553-L553)&gt;=$S$3,ABS(K553-L553)&gt;=$S$4*MAX(L553,1)),"FAR OFF","OK"))))</f>
        <v>OK</v>
      </c>
      <c r="N553" s="7" t="n">
        <f aca="false">D553/SUMIFS($D$2:$D$741,$B$2:$B$741,B553)</f>
        <v>0.0133192069017708</v>
      </c>
      <c r="O553" s="7" t="n">
        <f aca="false">SUMIFS($D$2:D553,$B$2:B553,B553)/SUMIFS($D$2:$D$741,$B$2:$B$741,B553)</f>
        <v>0.878922881528813</v>
      </c>
      <c r="P553" s="8" t="b">
        <f aca="false">O553-N553&lt;$S$2</f>
        <v>1</v>
      </c>
      <c r="Q553" s="2"/>
      <c r="R553" s="2"/>
      <c r="S553" s="2"/>
    </row>
    <row r="554" customFormat="false" ht="14.25" hidden="false" customHeight="false" outlineLevel="0" collapsed="false">
      <c r="A554" s="4" t="s">
        <v>622</v>
      </c>
      <c r="B554" s="4" t="s">
        <v>600</v>
      </c>
      <c r="C554" s="5" t="n">
        <v>2</v>
      </c>
      <c r="D554" s="5" t="n">
        <v>1723</v>
      </c>
      <c r="E554" s="5" t="n">
        <v>286</v>
      </c>
      <c r="F554" s="5" t="n">
        <v>2</v>
      </c>
      <c r="G554" s="5" t="n">
        <v>2</v>
      </c>
      <c r="H554" s="5" t="n">
        <v>1721</v>
      </c>
      <c r="I554" s="6" t="n">
        <v>3</v>
      </c>
      <c r="J554" s="6" t="n">
        <v>8.4</v>
      </c>
      <c r="K554" s="6" t="n">
        <v>20</v>
      </c>
      <c r="L554" s="6" t="n">
        <v>20</v>
      </c>
      <c r="M554" s="4" t="str">
        <f aca="false">IF(AND(K554="",L554=""),"No closed tickets",IF(K554="","MISSING in catalog",IF(L554="","No valid closed tickets",IF(AND(ABS(K554-L554)&gt;=$S$3,ABS(K554-L554)&gt;=$S$4*MAX(L554,1)),"FAR OFF","OK"))))</f>
        <v>OK</v>
      </c>
      <c r="N554" s="7" t="n">
        <f aca="false">D554/SUMIFS($D$2:$D$741,$B$2:$B$741,B554)</f>
        <v>0.0113384355196399</v>
      </c>
      <c r="O554" s="7" t="n">
        <f aca="false">SUMIFS($D$2:D554,$B$2:B554,B554)/SUMIFS($D$2:$D$741,$B$2:$B$741,B554)</f>
        <v>0.890261317048453</v>
      </c>
      <c r="P554" s="8" t="b">
        <f aca="false">O554-N554&lt;$S$2</f>
        <v>1</v>
      </c>
      <c r="Q554" s="2"/>
      <c r="R554" s="2"/>
      <c r="S554" s="2"/>
    </row>
    <row r="555" customFormat="false" ht="14.25" hidden="false" customHeight="false" outlineLevel="0" collapsed="false">
      <c r="A555" s="4" t="s">
        <v>623</v>
      </c>
      <c r="B555" s="4" t="s">
        <v>600</v>
      </c>
      <c r="C555" s="5" t="n">
        <v>2</v>
      </c>
      <c r="D555" s="5" t="n">
        <v>1616</v>
      </c>
      <c r="E555" s="5" t="n">
        <v>352</v>
      </c>
      <c r="F555" s="5" t="n">
        <v>211</v>
      </c>
      <c r="G555" s="5" t="n">
        <v>134</v>
      </c>
      <c r="H555" s="5" t="n">
        <v>1405</v>
      </c>
      <c r="I555" s="6" t="n">
        <v>33</v>
      </c>
      <c r="J555" s="6" t="n">
        <v>50.9</v>
      </c>
      <c r="K555" s="6" t="n">
        <v>120</v>
      </c>
      <c r="L555" s="6" t="n">
        <v>120</v>
      </c>
      <c r="M555" s="4" t="str">
        <f aca="false">IF(AND(K555="",L555=""),"No closed tickets",IF(K555="","MISSING in catalog",IF(L555="","No valid closed tickets",IF(AND(ABS(K555-L555)&gt;=$S$3,ABS(K555-L555)&gt;=$S$4*MAX(L555,1)),"FAR OFF","OK"))))</f>
        <v>OK</v>
      </c>
      <c r="N555" s="7" t="n">
        <f aca="false">D555/SUMIFS($D$2:$D$741,$B$2:$B$741,B555)</f>
        <v>0.0106343074867894</v>
      </c>
      <c r="O555" s="7" t="n">
        <f aca="false">SUMIFS($D$2:D555,$B$2:B555,B555)/SUMIFS($D$2:$D$741,$B$2:$B$741,B555)</f>
        <v>0.900895624535243</v>
      </c>
      <c r="P555" s="8" t="b">
        <f aca="false">O555-N555&lt;$S$2</f>
        <v>1</v>
      </c>
      <c r="Q555" s="2"/>
      <c r="R555" s="2"/>
      <c r="S555" s="2"/>
    </row>
    <row r="556" customFormat="false" ht="14.25" hidden="false" customHeight="false" outlineLevel="0" collapsed="false">
      <c r="A556" s="4" t="s">
        <v>624</v>
      </c>
      <c r="B556" s="4" t="s">
        <v>600</v>
      </c>
      <c r="C556" s="5" t="n">
        <v>1</v>
      </c>
      <c r="D556" s="5" t="n">
        <v>1420</v>
      </c>
      <c r="E556" s="5" t="n">
        <v>395</v>
      </c>
      <c r="F556" s="5" t="n">
        <v>3</v>
      </c>
      <c r="G556" s="5" t="n">
        <v>0</v>
      </c>
      <c r="H556" s="5" t="n">
        <v>1417</v>
      </c>
      <c r="I556" s="6" t="n">
        <v>1</v>
      </c>
      <c r="J556" s="6" t="n">
        <v>2.8</v>
      </c>
      <c r="K556" s="6" t="n">
        <v>6</v>
      </c>
      <c r="L556" s="6" t="n">
        <v>6</v>
      </c>
      <c r="M556" s="4" t="str">
        <f aca="false">IF(AND(K556="",L556=""),"No closed tickets",IF(K556="","MISSING in catalog",IF(L556="","No valid closed tickets",IF(AND(ABS(K556-L556)&gt;=$S$3,ABS(K556-L556)&gt;=$S$4*MAX(L556,1)),"FAR OFF","OK"))))</f>
        <v>OK</v>
      </c>
      <c r="N556" s="7" t="n">
        <f aca="false">D556/SUMIFS($D$2:$D$741,$B$2:$B$741,B556)</f>
        <v>0.0093445028658669</v>
      </c>
      <c r="O556" s="7" t="n">
        <f aca="false">SUMIFS($D$2:D556,$B$2:B556,B556)/SUMIFS($D$2:$D$741,$B$2:$B$741,B556)</f>
        <v>0.91024012740111</v>
      </c>
      <c r="P556" s="8" t="b">
        <f aca="false">O556-N556&lt;$S$2</f>
        <v>1</v>
      </c>
      <c r="Q556" s="2"/>
      <c r="R556" s="2"/>
      <c r="S556" s="2"/>
    </row>
    <row r="557" customFormat="false" ht="14.25" hidden="false" customHeight="false" outlineLevel="0" collapsed="false">
      <c r="A557" s="4" t="s">
        <v>625</v>
      </c>
      <c r="B557" s="4" t="s">
        <v>600</v>
      </c>
      <c r="C557" s="5" t="n">
        <v>2</v>
      </c>
      <c r="D557" s="5" t="n">
        <v>1397</v>
      </c>
      <c r="E557" s="5" t="n">
        <v>234</v>
      </c>
      <c r="F557" s="5" t="n">
        <v>0</v>
      </c>
      <c r="G557" s="5" t="n">
        <v>0</v>
      </c>
      <c r="H557" s="5" t="n">
        <v>1397</v>
      </c>
      <c r="I557" s="6" t="n">
        <v>1</v>
      </c>
      <c r="J557" s="6" t="n">
        <v>3.4</v>
      </c>
      <c r="K557" s="6" t="n">
        <v>2</v>
      </c>
      <c r="L557" s="6" t="n">
        <v>2</v>
      </c>
      <c r="M557" s="4" t="str">
        <f aca="false">IF(AND(K557="",L557=""),"No closed tickets",IF(K557="","MISSING in catalog",IF(L557="","No valid closed tickets",IF(AND(ABS(K557-L557)&gt;=$S$3,ABS(K557-L557)&gt;=$S$4*MAX(L557,1)),"FAR OFF","OK"))))</f>
        <v>OK</v>
      </c>
      <c r="N557" s="7" t="n">
        <f aca="false">D557/SUMIFS($D$2:$D$741,$B$2:$B$741,B557)</f>
        <v>0.00919314824198314</v>
      </c>
      <c r="O557" s="7" t="n">
        <f aca="false">SUMIFS($D$2:D557,$B$2:B557,B557)/SUMIFS($D$2:$D$741,$B$2:$B$741,B557)</f>
        <v>0.919433275643093</v>
      </c>
      <c r="P557" s="8" t="b">
        <f aca="false">O557-N557&lt;$S$2</f>
        <v>1</v>
      </c>
      <c r="Q557" s="2"/>
      <c r="R557" s="2"/>
      <c r="S557" s="2"/>
    </row>
    <row r="558" customFormat="false" ht="14.25" hidden="false" customHeight="false" outlineLevel="0" collapsed="false">
      <c r="A558" s="4" t="s">
        <v>626</v>
      </c>
      <c r="B558" s="4" t="s">
        <v>600</v>
      </c>
      <c r="C558" s="5" t="n">
        <v>2</v>
      </c>
      <c r="D558" s="5" t="n">
        <v>1350</v>
      </c>
      <c r="E558" s="5" t="n">
        <v>399</v>
      </c>
      <c r="F558" s="5" t="n">
        <v>103</v>
      </c>
      <c r="G558" s="5" t="n">
        <v>63</v>
      </c>
      <c r="H558" s="5" t="n">
        <v>1247</v>
      </c>
      <c r="I558" s="6" t="n">
        <v>26</v>
      </c>
      <c r="J558" s="6" t="n">
        <v>65.7</v>
      </c>
      <c r="K558" s="6" t="n">
        <v>190</v>
      </c>
      <c r="L558" s="6" t="n">
        <v>190</v>
      </c>
      <c r="M558" s="4" t="str">
        <f aca="false">IF(AND(K558="",L558=""),"No closed tickets",IF(K558="","MISSING in catalog",IF(L558="","No valid closed tickets",IF(AND(ABS(K558-L558)&gt;=$S$3,ABS(K558-L558)&gt;=$S$4*MAX(L558,1)),"FAR OFF","OK"))))</f>
        <v>OK</v>
      </c>
      <c r="N558" s="7" t="n">
        <f aca="false">D558/SUMIFS($D$2:$D$741,$B$2:$B$741,B558)</f>
        <v>0.00888385835839459</v>
      </c>
      <c r="O558" s="7" t="n">
        <f aca="false">SUMIFS($D$2:D558,$B$2:B558,B558)/SUMIFS($D$2:$D$741,$B$2:$B$741,B558)</f>
        <v>0.928317134001487</v>
      </c>
      <c r="P558" s="8" t="b">
        <f aca="false">O558-N558&lt;$S$2</f>
        <v>1</v>
      </c>
      <c r="Q558" s="2"/>
      <c r="R558" s="2"/>
      <c r="S558" s="2"/>
    </row>
    <row r="559" customFormat="false" ht="14.25" hidden="false" customHeight="false" outlineLevel="0" collapsed="false">
      <c r="A559" s="4" t="s">
        <v>627</v>
      </c>
      <c r="B559" s="4" t="s">
        <v>600</v>
      </c>
      <c r="C559" s="5" t="n">
        <v>2</v>
      </c>
      <c r="D559" s="5" t="n">
        <v>1019</v>
      </c>
      <c r="E559" s="5" t="n">
        <v>189</v>
      </c>
      <c r="F559" s="5" t="n">
        <v>155</v>
      </c>
      <c r="G559" s="5" t="n">
        <v>121</v>
      </c>
      <c r="H559" s="5" t="n">
        <v>864</v>
      </c>
      <c r="I559" s="6" t="n">
        <v>49</v>
      </c>
      <c r="J559" s="6" t="n">
        <v>85.4</v>
      </c>
      <c r="K559" s="6" t="n">
        <v>210</v>
      </c>
      <c r="L559" s="6" t="n">
        <v>210</v>
      </c>
      <c r="M559" s="4" t="str">
        <f aca="false">IF(AND(K559="",L559=""),"No closed tickets",IF(K559="","MISSING in catalog",IF(L559="","No valid closed tickets",IF(AND(ABS(K559-L559)&gt;=$S$3,ABS(K559-L559)&gt;=$S$4*MAX(L559,1)),"FAR OFF","OK"))))</f>
        <v>OK</v>
      </c>
      <c r="N559" s="7" t="n">
        <f aca="false">D559/SUMIFS($D$2:$D$741,$B$2:$B$741,B559)</f>
        <v>0.00670566790163266</v>
      </c>
      <c r="O559" s="7" t="n">
        <f aca="false">SUMIFS($D$2:D559,$B$2:B559,B559)/SUMIFS($D$2:$D$741,$B$2:$B$741,B559)</f>
        <v>0.93502280190312</v>
      </c>
      <c r="P559" s="8" t="b">
        <f aca="false">O559-N559&lt;$S$2</f>
        <v>1</v>
      </c>
      <c r="Q559" s="2"/>
      <c r="R559" s="2"/>
      <c r="S559" s="2"/>
    </row>
    <row r="560" customFormat="false" ht="14.25" hidden="false" customHeight="false" outlineLevel="0" collapsed="false">
      <c r="A560" s="4" t="s">
        <v>628</v>
      </c>
      <c r="B560" s="4" t="s">
        <v>600</v>
      </c>
      <c r="C560" s="5" t="n">
        <v>2</v>
      </c>
      <c r="D560" s="5" t="n">
        <v>1016</v>
      </c>
      <c r="E560" s="5" t="n">
        <v>197</v>
      </c>
      <c r="F560" s="5" t="n">
        <v>77</v>
      </c>
      <c r="G560" s="5" t="n">
        <v>50</v>
      </c>
      <c r="H560" s="5" t="n">
        <v>938</v>
      </c>
      <c r="I560" s="6" t="n">
        <v>15</v>
      </c>
      <c r="J560" s="6" t="n">
        <v>48.8</v>
      </c>
      <c r="K560" s="6" t="n">
        <v>127</v>
      </c>
      <c r="L560" s="6" t="n">
        <v>127</v>
      </c>
      <c r="M560" s="4" t="str">
        <f aca="false">IF(AND(K560="",L560=""),"No closed tickets",IF(K560="","MISSING in catalog",IF(L560="","No valid closed tickets",IF(AND(ABS(K560-L560)&gt;=$S$3,ABS(K560-L560)&gt;=$S$4*MAX(L560,1)),"FAR OFF","OK"))))</f>
        <v>OK</v>
      </c>
      <c r="N560" s="7" t="n">
        <f aca="false">D560/SUMIFS($D$2:$D$741,$B$2:$B$741,B560)</f>
        <v>0.00668592599416956</v>
      </c>
      <c r="O560" s="7" t="n">
        <f aca="false">SUMIFS($D$2:D560,$B$2:B560,B560)/SUMIFS($D$2:$D$741,$B$2:$B$741,B560)</f>
        <v>0.941708727897289</v>
      </c>
      <c r="P560" s="8" t="b">
        <f aca="false">O560-N560&lt;$S$2</f>
        <v>1</v>
      </c>
      <c r="Q560" s="2"/>
      <c r="R560" s="2"/>
      <c r="S560" s="2"/>
    </row>
    <row r="561" customFormat="false" ht="14.25" hidden="false" customHeight="false" outlineLevel="0" collapsed="false">
      <c r="A561" s="4" t="s">
        <v>629</v>
      </c>
      <c r="B561" s="4" t="s">
        <v>600</v>
      </c>
      <c r="C561" s="5" t="n">
        <v>2</v>
      </c>
      <c r="D561" s="5" t="n">
        <v>982</v>
      </c>
      <c r="E561" s="5" t="n">
        <v>0</v>
      </c>
      <c r="F561" s="5" t="n">
        <v>0</v>
      </c>
      <c r="G561" s="5" t="n">
        <v>0</v>
      </c>
      <c r="H561" s="5" t="n">
        <v>982</v>
      </c>
      <c r="I561" s="6" t="n">
        <v>1</v>
      </c>
      <c r="J561" s="6" t="n">
        <v>3.5</v>
      </c>
      <c r="K561" s="6" t="n">
        <v>9</v>
      </c>
      <c r="L561" s="6" t="n">
        <v>9</v>
      </c>
      <c r="M561" s="4" t="str">
        <f aca="false">IF(AND(K561="",L561=""),"No closed tickets",IF(K561="","MISSING in catalog",IF(L561="","No valid closed tickets",IF(AND(ABS(K561-L561)&gt;=$S$3,ABS(K561-L561)&gt;=$S$4*MAX(L561,1)),"FAR OFF","OK"))))</f>
        <v>OK</v>
      </c>
      <c r="N561" s="7" t="n">
        <f aca="false">D561/SUMIFS($D$2:$D$741,$B$2:$B$741,B561)</f>
        <v>0.00646218437625443</v>
      </c>
      <c r="O561" s="7" t="n">
        <f aca="false">SUMIFS($D$2:D561,$B$2:B561,B561)/SUMIFS($D$2:$D$741,$B$2:$B$741,B561)</f>
        <v>0.948170912273544</v>
      </c>
      <c r="P561" s="8" t="b">
        <f aca="false">O561-N561&lt;$S$2</f>
        <v>1</v>
      </c>
      <c r="Q561" s="2"/>
      <c r="R561" s="2"/>
      <c r="S561" s="2"/>
    </row>
    <row r="562" customFormat="false" ht="14.25" hidden="false" customHeight="false" outlineLevel="0" collapsed="false">
      <c r="A562" s="4" t="s">
        <v>630</v>
      </c>
      <c r="B562" s="4" t="s">
        <v>600</v>
      </c>
      <c r="C562" s="5" t="n">
        <v>2</v>
      </c>
      <c r="D562" s="5" t="n">
        <v>935</v>
      </c>
      <c r="E562" s="5" t="n">
        <v>149</v>
      </c>
      <c r="F562" s="5" t="n">
        <v>0</v>
      </c>
      <c r="G562" s="5" t="n">
        <v>0</v>
      </c>
      <c r="H562" s="5" t="n">
        <v>931</v>
      </c>
      <c r="I562" s="6" t="n">
        <v>1</v>
      </c>
      <c r="J562" s="6" t="n">
        <v>2.7</v>
      </c>
      <c r="K562" s="6" t="n">
        <v>5</v>
      </c>
      <c r="L562" s="6" t="n">
        <v>5</v>
      </c>
      <c r="M562" s="4" t="str">
        <f aca="false">IF(AND(K562="",L562=""),"No closed tickets",IF(K562="","MISSING in catalog",IF(L562="","No valid closed tickets",IF(AND(ABS(K562-L562)&gt;=$S$3,ABS(K562-L562)&gt;=$S$4*MAX(L562,1)),"FAR OFF","OK"))))</f>
        <v>OK</v>
      </c>
      <c r="N562" s="7" t="n">
        <f aca="false">D562/SUMIFS($D$2:$D$741,$B$2:$B$741,B562)</f>
        <v>0.00615289449266588</v>
      </c>
      <c r="O562" s="7" t="n">
        <f aca="false">SUMIFS($D$2:D562,$B$2:B562,B562)/SUMIFS($D$2:$D$741,$B$2:$B$741,B562)</f>
        <v>0.95432380676621</v>
      </c>
      <c r="P562" s="8" t="b">
        <f aca="false">O562-N562&lt;$S$2</f>
        <v>1</v>
      </c>
      <c r="Q562" s="2"/>
      <c r="R562" s="2"/>
      <c r="S562" s="2"/>
    </row>
    <row r="563" customFormat="false" ht="14.25" hidden="false" customHeight="false" outlineLevel="0" collapsed="false">
      <c r="A563" s="4" t="s">
        <v>631</v>
      </c>
      <c r="B563" s="4" t="s">
        <v>600</v>
      </c>
      <c r="C563" s="5" t="n">
        <v>2</v>
      </c>
      <c r="D563" s="5" t="n">
        <v>821</v>
      </c>
      <c r="E563" s="5" t="n">
        <v>189</v>
      </c>
      <c r="F563" s="5" t="n">
        <v>8</v>
      </c>
      <c r="G563" s="5" t="n">
        <v>0</v>
      </c>
      <c r="H563" s="5" t="n">
        <v>813</v>
      </c>
      <c r="I563" s="6" t="n">
        <v>3</v>
      </c>
      <c r="J563" s="6" t="n">
        <v>6.4</v>
      </c>
      <c r="K563" s="6" t="n">
        <v>14</v>
      </c>
      <c r="L563" s="6" t="n">
        <v>14</v>
      </c>
      <c r="M563" s="4" t="str">
        <f aca="false">IF(AND(K563="",L563=""),"No closed tickets",IF(K563="","MISSING in catalog",IF(L563="","No valid closed tickets",IF(AND(ABS(K563-L563)&gt;=$S$3,ABS(K563-L563)&gt;=$S$4*MAX(L563,1)),"FAR OFF","OK"))))</f>
        <v>OK</v>
      </c>
      <c r="N563" s="7" t="n">
        <f aca="false">D563/SUMIFS($D$2:$D$741,$B$2:$B$741,B563)</f>
        <v>0.00540270200906812</v>
      </c>
      <c r="O563" s="7" t="n">
        <f aca="false">SUMIFS($D$2:D563,$B$2:B563,B563)/SUMIFS($D$2:$D$741,$B$2:$B$741,B563)</f>
        <v>0.959726508775278</v>
      </c>
      <c r="P563" s="8" t="b">
        <f aca="false">O563-N563&lt;$S$2</f>
        <v>0</v>
      </c>
      <c r="Q563" s="2"/>
      <c r="R563" s="2"/>
      <c r="S563" s="2"/>
    </row>
    <row r="564" customFormat="false" ht="14.25" hidden="false" customHeight="false" outlineLevel="0" collapsed="false">
      <c r="A564" s="4" t="s">
        <v>632</v>
      </c>
      <c r="B564" s="4" t="s">
        <v>600</v>
      </c>
      <c r="C564" s="5" t="n">
        <v>1</v>
      </c>
      <c r="D564" s="5" t="n">
        <v>738</v>
      </c>
      <c r="E564" s="5" t="n">
        <v>191</v>
      </c>
      <c r="F564" s="5" t="n">
        <v>3</v>
      </c>
      <c r="G564" s="5" t="n">
        <v>0</v>
      </c>
      <c r="H564" s="5" t="n">
        <v>735</v>
      </c>
      <c r="I564" s="6" t="n">
        <v>5</v>
      </c>
      <c r="J564" s="6" t="n">
        <v>66.1</v>
      </c>
      <c r="K564" s="6" t="n">
        <v>219</v>
      </c>
      <c r="L564" s="6" t="n">
        <v>219</v>
      </c>
      <c r="M564" s="4" t="str">
        <f aca="false">IF(AND(K564="",L564=""),"No closed tickets",IF(K564="","MISSING in catalog",IF(L564="","No valid closed tickets",IF(AND(ABS(K564-L564)&gt;=$S$3,ABS(K564-L564)&gt;=$S$4*MAX(L564,1)),"FAR OFF","OK"))))</f>
        <v>OK</v>
      </c>
      <c r="N564" s="7" t="n">
        <f aca="false">D564/SUMIFS($D$2:$D$741,$B$2:$B$741,B564)</f>
        <v>0.00485650923592238</v>
      </c>
      <c r="O564" s="7" t="n">
        <f aca="false">SUMIFS($D$2:D564,$B$2:B564,B564)/SUMIFS($D$2:$D$741,$B$2:$B$741,B564)</f>
        <v>0.9645830180112</v>
      </c>
      <c r="P564" s="8" t="b">
        <f aca="false">O564-N564&lt;$S$2</f>
        <v>0</v>
      </c>
      <c r="Q564" s="2"/>
      <c r="R564" s="2"/>
      <c r="S564" s="2"/>
    </row>
    <row r="565" customFormat="false" ht="14.25" hidden="false" customHeight="false" outlineLevel="0" collapsed="false">
      <c r="A565" s="4" t="s">
        <v>633</v>
      </c>
      <c r="B565" s="4" t="s">
        <v>600</v>
      </c>
      <c r="C565" s="5" t="n">
        <v>2</v>
      </c>
      <c r="D565" s="5" t="n">
        <v>590</v>
      </c>
      <c r="E565" s="5" t="n">
        <v>0</v>
      </c>
      <c r="F565" s="5" t="n">
        <v>2</v>
      </c>
      <c r="G565" s="5" t="n">
        <v>2</v>
      </c>
      <c r="H565" s="5" t="n">
        <v>586</v>
      </c>
      <c r="I565" s="6" t="n">
        <v>3</v>
      </c>
      <c r="J565" s="6" t="n">
        <v>17.9</v>
      </c>
      <c r="K565" s="6" t="n">
        <v>56</v>
      </c>
      <c r="L565" s="6" t="n">
        <v>55.5</v>
      </c>
      <c r="M565" s="4" t="str">
        <f aca="false">IF(AND(K565="",L565=""),"No closed tickets",IF(K565="","MISSING in catalog",IF(L565="","No valid closed tickets",IF(AND(ABS(K565-L565)&gt;=$S$3,ABS(K565-L565)&gt;=$S$4*MAX(L565,1)),"FAR OFF","OK"))))</f>
        <v>OK</v>
      </c>
      <c r="N565" s="7" t="n">
        <f aca="false">D565/SUMIFS($D$2:$D$741,$B$2:$B$741,B565)</f>
        <v>0.00388257513440949</v>
      </c>
      <c r="O565" s="7" t="n">
        <f aca="false">SUMIFS($D$2:D565,$B$2:B565,B565)/SUMIFS($D$2:$D$741,$B$2:$B$741,B565)</f>
        <v>0.96846559314561</v>
      </c>
      <c r="P565" s="8" t="b">
        <f aca="false">O565-N565&lt;$S$2</f>
        <v>0</v>
      </c>
      <c r="Q565" s="2"/>
      <c r="R565" s="2"/>
      <c r="S565" s="2"/>
    </row>
    <row r="566" customFormat="false" ht="14.25" hidden="false" customHeight="false" outlineLevel="0" collapsed="false">
      <c r="A566" s="4" t="s">
        <v>634</v>
      </c>
      <c r="B566" s="4" t="s">
        <v>600</v>
      </c>
      <c r="C566" s="5" t="n">
        <v>1</v>
      </c>
      <c r="D566" s="5" t="n">
        <v>525</v>
      </c>
      <c r="E566" s="5" t="n">
        <v>132</v>
      </c>
      <c r="F566" s="5" t="n">
        <v>1</v>
      </c>
      <c r="G566" s="5" t="n">
        <v>0</v>
      </c>
      <c r="H566" s="5" t="n">
        <v>524</v>
      </c>
      <c r="I566" s="6" t="n">
        <v>1</v>
      </c>
      <c r="J566" s="6" t="n">
        <v>13.1</v>
      </c>
      <c r="K566" s="6" t="n">
        <v>10</v>
      </c>
      <c r="L566" s="6" t="n">
        <v>10</v>
      </c>
      <c r="M566" s="4" t="str">
        <f aca="false">IF(AND(K566="",L566=""),"No closed tickets",IF(K566="","MISSING in catalog",IF(L566="","No valid closed tickets",IF(AND(ABS(K566-L566)&gt;=$S$3,ABS(K566-L566)&gt;=$S$4*MAX(L566,1)),"FAR OFF","OK"))))</f>
        <v>OK</v>
      </c>
      <c r="N566" s="7" t="n">
        <f aca="false">D566/SUMIFS($D$2:$D$741,$B$2:$B$741,B566)</f>
        <v>0.00345483380604234</v>
      </c>
      <c r="O566" s="7" t="n">
        <f aca="false">SUMIFS($D$2:D566,$B$2:B566,B566)/SUMIFS($D$2:$D$741,$B$2:$B$741,B566)</f>
        <v>0.971920426951652</v>
      </c>
      <c r="P566" s="8" t="b">
        <f aca="false">O566-N566&lt;$S$2</f>
        <v>0</v>
      </c>
      <c r="Q566" s="2"/>
      <c r="R566" s="2"/>
      <c r="S566" s="2"/>
    </row>
    <row r="567" customFormat="false" ht="14.25" hidden="false" customHeight="false" outlineLevel="0" collapsed="false">
      <c r="A567" s="4" t="s">
        <v>635</v>
      </c>
      <c r="B567" s="4" t="s">
        <v>600</v>
      </c>
      <c r="C567" s="5" t="n">
        <v>2</v>
      </c>
      <c r="D567" s="5" t="n">
        <v>510</v>
      </c>
      <c r="E567" s="5" t="n">
        <v>111</v>
      </c>
      <c r="F567" s="5" t="n">
        <v>0</v>
      </c>
      <c r="G567" s="5" t="n">
        <v>0</v>
      </c>
      <c r="H567" s="5" t="n">
        <v>510</v>
      </c>
      <c r="I567" s="6" t="n">
        <v>1</v>
      </c>
      <c r="J567" s="6" t="n">
        <v>5.9</v>
      </c>
      <c r="K567" s="6" t="n">
        <v>4</v>
      </c>
      <c r="L567" s="6" t="n">
        <v>4</v>
      </c>
      <c r="M567" s="4" t="str">
        <f aca="false">IF(AND(K567="",L567=""),"No closed tickets",IF(K567="","MISSING in catalog",IF(L567="","No valid closed tickets",IF(AND(ABS(K567-L567)&gt;=$S$3,ABS(K567-L567)&gt;=$S$4*MAX(L567,1)),"FAR OFF","OK"))))</f>
        <v>OK</v>
      </c>
      <c r="N567" s="7" t="n">
        <f aca="false">D567/SUMIFS($D$2:$D$741,$B$2:$B$741,B567)</f>
        <v>0.00335612426872684</v>
      </c>
      <c r="O567" s="7" t="n">
        <f aca="false">SUMIFS($D$2:D567,$B$2:B567,B567)/SUMIFS($D$2:$D$741,$B$2:$B$741,B567)</f>
        <v>0.975276551220379</v>
      </c>
      <c r="P567" s="8" t="b">
        <f aca="false">O567-N567&lt;$S$2</f>
        <v>0</v>
      </c>
      <c r="Q567" s="2"/>
      <c r="R567" s="2"/>
      <c r="S567" s="2"/>
    </row>
    <row r="568" customFormat="false" ht="14.25" hidden="false" customHeight="false" outlineLevel="0" collapsed="false">
      <c r="A568" s="4" t="s">
        <v>636</v>
      </c>
      <c r="B568" s="4" t="s">
        <v>600</v>
      </c>
      <c r="C568" s="5" t="n">
        <v>1</v>
      </c>
      <c r="D568" s="5" t="n">
        <v>502</v>
      </c>
      <c r="E568" s="5" t="n">
        <v>199</v>
      </c>
      <c r="F568" s="5" t="n">
        <v>1</v>
      </c>
      <c r="G568" s="5" t="n">
        <v>0</v>
      </c>
      <c r="H568" s="5" t="n">
        <v>501</v>
      </c>
      <c r="I568" s="6" t="n">
        <v>1</v>
      </c>
      <c r="J568" s="6" t="n">
        <v>5.8</v>
      </c>
      <c r="K568" s="6" t="n">
        <v>7</v>
      </c>
      <c r="L568" s="6" t="n">
        <v>7</v>
      </c>
      <c r="M568" s="4" t="str">
        <f aca="false">IF(AND(K568="",L568=""),"No closed tickets",IF(K568="","MISSING in catalog",IF(L568="","No valid closed tickets",IF(AND(ABS(K568-L568)&gt;=$S$3,ABS(K568-L568)&gt;=$S$4*MAX(L568,1)),"FAR OFF","OK"))))</f>
        <v>OK</v>
      </c>
      <c r="N568" s="7" t="n">
        <f aca="false">D568/SUMIFS($D$2:$D$741,$B$2:$B$741,B568)</f>
        <v>0.00330347918215858</v>
      </c>
      <c r="O568" s="7" t="n">
        <f aca="false">SUMIFS($D$2:D568,$B$2:B568,B568)/SUMIFS($D$2:$D$741,$B$2:$B$741,B568)</f>
        <v>0.978580030402538</v>
      </c>
      <c r="P568" s="8" t="b">
        <f aca="false">O568-N568&lt;$S$2</f>
        <v>0</v>
      </c>
      <c r="Q568" s="2"/>
      <c r="R568" s="2"/>
      <c r="S568" s="2"/>
    </row>
    <row r="569" customFormat="false" ht="14.25" hidden="false" customHeight="false" outlineLevel="0" collapsed="false">
      <c r="A569" s="4" t="s">
        <v>637</v>
      </c>
      <c r="B569" s="4" t="s">
        <v>600</v>
      </c>
      <c r="C569" s="5" t="n">
        <v>1</v>
      </c>
      <c r="D569" s="5" t="n">
        <v>499</v>
      </c>
      <c r="E569" s="5" t="n">
        <v>137</v>
      </c>
      <c r="F569" s="5" t="n">
        <v>129</v>
      </c>
      <c r="G569" s="5" t="n">
        <v>103</v>
      </c>
      <c r="H569" s="5" t="n">
        <v>370</v>
      </c>
      <c r="I569" s="6" t="n">
        <v>43</v>
      </c>
      <c r="J569" s="6" t="n">
        <v>132.7</v>
      </c>
      <c r="K569" s="6" t="n">
        <v>412</v>
      </c>
      <c r="L569" s="6" t="n">
        <v>412</v>
      </c>
      <c r="M569" s="4" t="str">
        <f aca="false">IF(AND(K569="",L569=""),"No closed tickets",IF(K569="","MISSING in catalog",IF(L569="","No valid closed tickets",IF(AND(ABS(K569-L569)&gt;=$S$3,ABS(K569-L569)&gt;=$S$4*MAX(L569,1)),"FAR OFF","OK"))))</f>
        <v>OK</v>
      </c>
      <c r="N569" s="7" t="n">
        <f aca="false">D569/SUMIFS($D$2:$D$741,$B$2:$B$741,B569)</f>
        <v>0.00328373727469548</v>
      </c>
      <c r="O569" s="7" t="n">
        <f aca="false">SUMIFS($D$2:D569,$B$2:B569,B569)/SUMIFS($D$2:$D$741,$B$2:$B$741,B569)</f>
        <v>0.981863767677233</v>
      </c>
      <c r="P569" s="8" t="b">
        <f aca="false">O569-N569&lt;$S$2</f>
        <v>0</v>
      </c>
      <c r="Q569" s="2"/>
      <c r="R569" s="2"/>
      <c r="S569" s="2"/>
    </row>
    <row r="570" customFormat="false" ht="14.25" hidden="false" customHeight="false" outlineLevel="0" collapsed="false">
      <c r="A570" s="4" t="s">
        <v>638</v>
      </c>
      <c r="B570" s="4" t="s">
        <v>600</v>
      </c>
      <c r="C570" s="5" t="n">
        <v>1</v>
      </c>
      <c r="D570" s="5" t="n">
        <v>406</v>
      </c>
      <c r="E570" s="5" t="n">
        <v>242</v>
      </c>
      <c r="F570" s="5" t="n">
        <v>3</v>
      </c>
      <c r="G570" s="5" t="n">
        <v>1</v>
      </c>
      <c r="H570" s="5" t="n">
        <v>403</v>
      </c>
      <c r="I570" s="6" t="n">
        <v>1</v>
      </c>
      <c r="J570" s="6" t="n">
        <v>4.5</v>
      </c>
      <c r="K570" s="6" t="n">
        <v>10</v>
      </c>
      <c r="L570" s="6" t="n">
        <v>9.8</v>
      </c>
      <c r="M570" s="4" t="str">
        <f aca="false">IF(AND(K570="",L570=""),"No closed tickets",IF(K570="","MISSING in catalog",IF(L570="","No valid closed tickets",IF(AND(ABS(K570-L570)&gt;=$S$3,ABS(K570-L570)&gt;=$S$4*MAX(L570,1)),"FAR OFF","OK"))))</f>
        <v>OK</v>
      </c>
      <c r="N570" s="7" t="n">
        <f aca="false">D570/SUMIFS($D$2:$D$741,$B$2:$B$741,B570)</f>
        <v>0.00267173814333941</v>
      </c>
      <c r="O570" s="7" t="n">
        <f aca="false">SUMIFS($D$2:D570,$B$2:B570,B570)/SUMIFS($D$2:$D$741,$B$2:$B$741,B570)</f>
        <v>0.984535505820572</v>
      </c>
      <c r="P570" s="8" t="b">
        <f aca="false">O570-N570&lt;$S$2</f>
        <v>0</v>
      </c>
      <c r="Q570" s="2"/>
      <c r="R570" s="2"/>
      <c r="S570" s="2"/>
    </row>
    <row r="571" customFormat="false" ht="14.25" hidden="false" customHeight="false" outlineLevel="0" collapsed="false">
      <c r="A571" s="4" t="s">
        <v>639</v>
      </c>
      <c r="B571" s="4" t="s">
        <v>600</v>
      </c>
      <c r="C571" s="5" t="n">
        <v>2</v>
      </c>
      <c r="D571" s="5" t="n">
        <v>365</v>
      </c>
      <c r="E571" s="5" t="n">
        <v>62</v>
      </c>
      <c r="F571" s="5" t="n">
        <v>1</v>
      </c>
      <c r="G571" s="5" t="n">
        <v>1</v>
      </c>
      <c r="H571" s="5" t="n">
        <v>364</v>
      </c>
      <c r="I571" s="6" t="n">
        <v>4</v>
      </c>
      <c r="J571" s="6" t="n">
        <v>32.1</v>
      </c>
      <c r="K571" s="6" t="n">
        <v>23</v>
      </c>
      <c r="L571" s="6" t="n">
        <v>23.4</v>
      </c>
      <c r="M571" s="4" t="str">
        <f aca="false">IF(AND(K571="",L571=""),"No closed tickets",IF(K571="","MISSING in catalog",IF(L571="","No valid closed tickets",IF(AND(ABS(K571-L571)&gt;=$S$3,ABS(K571-L571)&gt;=$S$4*MAX(L571,1)),"FAR OFF","OK"))))</f>
        <v>OK</v>
      </c>
      <c r="N571" s="7" t="n">
        <f aca="false">D571/SUMIFS($D$2:$D$741,$B$2:$B$741,B571)</f>
        <v>0.00240193207467706</v>
      </c>
      <c r="O571" s="7" t="n">
        <f aca="false">SUMIFS($D$2:D571,$B$2:B571,B571)/SUMIFS($D$2:$D$741,$B$2:$B$741,B571)</f>
        <v>0.98693743789525</v>
      </c>
      <c r="P571" s="8" t="b">
        <f aca="false">O571-N571&lt;$S$2</f>
        <v>0</v>
      </c>
      <c r="Q571" s="2"/>
      <c r="R571" s="2"/>
      <c r="S571" s="2"/>
    </row>
    <row r="572" customFormat="false" ht="14.25" hidden="false" customHeight="false" outlineLevel="0" collapsed="false">
      <c r="A572" s="4" t="s">
        <v>640</v>
      </c>
      <c r="B572" s="4" t="s">
        <v>600</v>
      </c>
      <c r="C572" s="5" t="n">
        <v>2</v>
      </c>
      <c r="D572" s="5" t="n">
        <v>361</v>
      </c>
      <c r="E572" s="5" t="n">
        <v>116</v>
      </c>
      <c r="F572" s="5" t="n">
        <v>0</v>
      </c>
      <c r="G572" s="5" t="n">
        <v>0</v>
      </c>
      <c r="H572" s="5" t="n">
        <v>361</v>
      </c>
      <c r="I572" s="6" t="n">
        <v>1</v>
      </c>
      <c r="J572" s="6" t="n">
        <v>4.3</v>
      </c>
      <c r="K572" s="6" t="n">
        <v>11</v>
      </c>
      <c r="L572" s="6" t="n">
        <v>11</v>
      </c>
      <c r="M572" s="4" t="str">
        <f aca="false">IF(AND(K572="",L572=""),"No closed tickets",IF(K572="","MISSING in catalog",IF(L572="","No valid closed tickets",IF(AND(ABS(K572-L572)&gt;=$S$3,ABS(K572-L572)&gt;=$S$4*MAX(L572,1)),"FAR OFF","OK"))))</f>
        <v>OK</v>
      </c>
      <c r="N572" s="7" t="n">
        <f aca="false">D572/SUMIFS($D$2:$D$741,$B$2:$B$741,B572)</f>
        <v>0.00237560953139292</v>
      </c>
      <c r="O572" s="7" t="n">
        <f aca="false">SUMIFS($D$2:D572,$B$2:B572,B572)/SUMIFS($D$2:$D$741,$B$2:$B$741,B572)</f>
        <v>0.989313047426642</v>
      </c>
      <c r="P572" s="8" t="b">
        <f aca="false">O572-N572&lt;$S$2</f>
        <v>0</v>
      </c>
      <c r="Q572" s="2"/>
      <c r="R572" s="2"/>
      <c r="S572" s="2"/>
    </row>
    <row r="573" customFormat="false" ht="14.25" hidden="false" customHeight="false" outlineLevel="0" collapsed="false">
      <c r="A573" s="4" t="s">
        <v>641</v>
      </c>
      <c r="B573" s="4" t="s">
        <v>600</v>
      </c>
      <c r="C573" s="5" t="n">
        <v>2</v>
      </c>
      <c r="D573" s="5" t="n">
        <v>265</v>
      </c>
      <c r="E573" s="5" t="n">
        <v>45</v>
      </c>
      <c r="F573" s="5" t="n">
        <v>1</v>
      </c>
      <c r="G573" s="5" t="n">
        <v>0</v>
      </c>
      <c r="H573" s="5" t="n">
        <v>264</v>
      </c>
      <c r="I573" s="6" t="n">
        <v>3</v>
      </c>
      <c r="J573" s="6" t="n">
        <v>3.9</v>
      </c>
      <c r="K573" s="6" t="n">
        <v>7</v>
      </c>
      <c r="L573" s="6" t="n">
        <v>7</v>
      </c>
      <c r="M573" s="4" t="str">
        <f aca="false">IF(AND(K573="",L573=""),"No closed tickets",IF(K573="","MISSING in catalog",IF(L573="","No valid closed tickets",IF(AND(ABS(K573-L573)&gt;=$S$3,ABS(K573-L573)&gt;=$S$4*MAX(L573,1)),"FAR OFF","OK"))))</f>
        <v>OK</v>
      </c>
      <c r="N573" s="7" t="n">
        <f aca="false">D573/SUMIFS($D$2:$D$741,$B$2:$B$741,B573)</f>
        <v>0.00174386849257375</v>
      </c>
      <c r="O573" s="7" t="n">
        <f aca="false">SUMIFS($D$2:D573,$B$2:B573,B573)/SUMIFS($D$2:$D$741,$B$2:$B$741,B573)</f>
        <v>0.991056915919216</v>
      </c>
      <c r="P573" s="8" t="b">
        <f aca="false">O573-N573&lt;$S$2</f>
        <v>0</v>
      </c>
      <c r="Q573" s="2"/>
      <c r="R573" s="2"/>
      <c r="S573" s="2"/>
    </row>
    <row r="574" customFormat="false" ht="14.25" hidden="false" customHeight="false" outlineLevel="0" collapsed="false">
      <c r="A574" s="4" t="s">
        <v>642</v>
      </c>
      <c r="B574" s="4" t="s">
        <v>600</v>
      </c>
      <c r="C574" s="5" t="n">
        <v>1</v>
      </c>
      <c r="D574" s="5" t="n">
        <v>259</v>
      </c>
      <c r="E574" s="5" t="n">
        <v>60</v>
      </c>
      <c r="F574" s="5" t="n">
        <v>1</v>
      </c>
      <c r="G574" s="5" t="n">
        <v>0</v>
      </c>
      <c r="H574" s="5" t="n">
        <v>258</v>
      </c>
      <c r="I574" s="6" t="n">
        <v>4</v>
      </c>
      <c r="J574" s="6" t="n">
        <v>22.2</v>
      </c>
      <c r="K574" s="6" t="n">
        <v>42</v>
      </c>
      <c r="L574" s="6" t="n">
        <v>42</v>
      </c>
      <c r="M574" s="4" t="str">
        <f aca="false">IF(AND(K574="",L574=""),"No closed tickets",IF(K574="","MISSING in catalog",IF(L574="","No valid closed tickets",IF(AND(ABS(K574-L574)&gt;=$S$3,ABS(K574-L574)&gt;=$S$4*MAX(L574,1)),"FAR OFF","OK"))))</f>
        <v>OK</v>
      </c>
      <c r="N574" s="7" t="n">
        <f aca="false">D574/SUMIFS($D$2:$D$741,$B$2:$B$741,B574)</f>
        <v>0.00170438467764755</v>
      </c>
      <c r="O574" s="7" t="n">
        <f aca="false">SUMIFS($D$2:D574,$B$2:B574,B574)/SUMIFS($D$2:$D$741,$B$2:$B$741,B574)</f>
        <v>0.992761300596864</v>
      </c>
      <c r="P574" s="8" t="b">
        <f aca="false">O574-N574&lt;$S$2</f>
        <v>0</v>
      </c>
      <c r="Q574" s="2"/>
      <c r="R574" s="2"/>
      <c r="S574" s="2"/>
    </row>
    <row r="575" customFormat="false" ht="14.25" hidden="false" customHeight="false" outlineLevel="0" collapsed="false">
      <c r="A575" s="4" t="s">
        <v>643</v>
      </c>
      <c r="B575" s="4" t="s">
        <v>600</v>
      </c>
      <c r="C575" s="5" t="n">
        <v>1</v>
      </c>
      <c r="D575" s="5" t="n">
        <v>252</v>
      </c>
      <c r="E575" s="5" t="n">
        <v>60</v>
      </c>
      <c r="F575" s="5" t="n">
        <v>2</v>
      </c>
      <c r="G575" s="5" t="n">
        <v>0</v>
      </c>
      <c r="H575" s="5" t="n">
        <v>250</v>
      </c>
      <c r="I575" s="6" t="n">
        <v>2</v>
      </c>
      <c r="J575" s="6" t="n">
        <v>7.9</v>
      </c>
      <c r="K575" s="6" t="n">
        <v>13</v>
      </c>
      <c r="L575" s="6" t="n">
        <v>13.1</v>
      </c>
      <c r="M575" s="4" t="str">
        <f aca="false">IF(AND(K575="",L575=""),"No closed tickets",IF(K575="","MISSING in catalog",IF(L575="","No valid closed tickets",IF(AND(ABS(K575-L575)&gt;=$S$3,ABS(K575-L575)&gt;=$S$4*MAX(L575,1)),"FAR OFF","OK"))))</f>
        <v>OK</v>
      </c>
      <c r="N575" s="7" t="n">
        <f aca="false">D575/SUMIFS($D$2:$D$741,$B$2:$B$741,B575)</f>
        <v>0.00165832022690032</v>
      </c>
      <c r="O575" s="7" t="n">
        <f aca="false">SUMIFS($D$2:D575,$B$2:B575,B575)/SUMIFS($D$2:$D$741,$B$2:$B$741,B575)</f>
        <v>0.994419620823764</v>
      </c>
      <c r="P575" s="8" t="b">
        <f aca="false">O575-N575&lt;$S$2</f>
        <v>0</v>
      </c>
      <c r="Q575" s="2"/>
      <c r="R575" s="2"/>
      <c r="S575" s="2"/>
    </row>
    <row r="576" customFormat="false" ht="14.25" hidden="false" customHeight="false" outlineLevel="0" collapsed="false">
      <c r="A576" s="4" t="s">
        <v>644</v>
      </c>
      <c r="B576" s="4" t="s">
        <v>600</v>
      </c>
      <c r="C576" s="5" t="n">
        <v>2</v>
      </c>
      <c r="D576" s="5" t="n">
        <v>213</v>
      </c>
      <c r="E576" s="5" t="n">
        <v>75</v>
      </c>
      <c r="F576" s="5" t="n">
        <v>35</v>
      </c>
      <c r="G576" s="5" t="n">
        <v>21</v>
      </c>
      <c r="H576" s="5" t="n">
        <v>178</v>
      </c>
      <c r="I576" s="6" t="n">
        <v>15.5</v>
      </c>
      <c r="J576" s="6" t="n">
        <v>40.9</v>
      </c>
      <c r="K576" s="6" t="n">
        <v>113</v>
      </c>
      <c r="L576" s="6" t="n">
        <v>112.5</v>
      </c>
      <c r="M576" s="4" t="str">
        <f aca="false">IF(AND(K576="",L576=""),"No closed tickets",IF(K576="","MISSING in catalog",IF(L576="","No valid closed tickets",IF(AND(ABS(K576-L576)&gt;=$S$3,ABS(K576-L576)&gt;=$S$4*MAX(L576,1)),"FAR OFF","OK"))))</f>
        <v>OK</v>
      </c>
      <c r="N576" s="7" t="n">
        <f aca="false">D576/SUMIFS($D$2:$D$741,$B$2:$B$741,B576)</f>
        <v>0.00140167542988004</v>
      </c>
      <c r="O576" s="7" t="n">
        <f aca="false">SUMIFS($D$2:D576,$B$2:B576,B576)/SUMIFS($D$2:$D$741,$B$2:$B$741,B576)</f>
        <v>0.995821296253644</v>
      </c>
      <c r="P576" s="8" t="b">
        <f aca="false">O576-N576&lt;$S$2</f>
        <v>0</v>
      </c>
      <c r="Q576" s="2"/>
      <c r="R576" s="2"/>
      <c r="S576" s="2"/>
    </row>
    <row r="577" customFormat="false" ht="14.25" hidden="false" customHeight="false" outlineLevel="0" collapsed="false">
      <c r="A577" s="4" t="s">
        <v>645</v>
      </c>
      <c r="B577" s="4" t="s">
        <v>600</v>
      </c>
      <c r="C577" s="5" t="n">
        <v>2</v>
      </c>
      <c r="D577" s="5" t="n">
        <v>173</v>
      </c>
      <c r="E577" s="5" t="n">
        <v>0</v>
      </c>
      <c r="F577" s="5" t="n">
        <v>0</v>
      </c>
      <c r="G577" s="5" t="n">
        <v>0</v>
      </c>
      <c r="H577" s="5" t="n">
        <v>173</v>
      </c>
      <c r="I577" s="6" t="n">
        <v>1</v>
      </c>
      <c r="J577" s="6" t="n">
        <v>6.7</v>
      </c>
      <c r="K577" s="6" t="n">
        <v>6</v>
      </c>
      <c r="L577" s="6" t="n">
        <v>5.8</v>
      </c>
      <c r="M577" s="4" t="str">
        <f aca="false">IF(AND(K577="",L577=""),"No closed tickets",IF(K577="","MISSING in catalog",IF(L577="","No valid closed tickets",IF(AND(ABS(K577-L577)&gt;=$S$3,ABS(K577-L577)&gt;=$S$4*MAX(L577,1)),"FAR OFF","OK"))))</f>
        <v>OK</v>
      </c>
      <c r="N577" s="7" t="n">
        <f aca="false">D577/SUMIFS($D$2:$D$741,$B$2:$B$741,B577)</f>
        <v>0.00113844999703871</v>
      </c>
      <c r="O577" s="7" t="n">
        <f aca="false">SUMIFS($D$2:D577,$B$2:B577,B577)/SUMIFS($D$2:$D$741,$B$2:$B$741,B577)</f>
        <v>0.996959746250683</v>
      </c>
      <c r="P577" s="8" t="b">
        <f aca="false">O577-N577&lt;$S$2</f>
        <v>0</v>
      </c>
      <c r="Q577" s="2"/>
      <c r="R577" s="2"/>
      <c r="S577" s="2"/>
    </row>
    <row r="578" customFormat="false" ht="14.25" hidden="false" customHeight="false" outlineLevel="0" collapsed="false">
      <c r="A578" s="4" t="s">
        <v>646</v>
      </c>
      <c r="B578" s="4" t="s">
        <v>600</v>
      </c>
      <c r="C578" s="5" t="n">
        <v>2</v>
      </c>
      <c r="D578" s="5" t="n">
        <v>162</v>
      </c>
      <c r="E578" s="5" t="n">
        <v>45</v>
      </c>
      <c r="F578" s="5" t="n">
        <v>28</v>
      </c>
      <c r="G578" s="5" t="n">
        <v>11</v>
      </c>
      <c r="H578" s="5" t="n">
        <v>134</v>
      </c>
      <c r="I578" s="6" t="n">
        <v>173.5</v>
      </c>
      <c r="J578" s="6" t="n">
        <v>259.8</v>
      </c>
      <c r="K578" s="6" t="n">
        <v>662</v>
      </c>
      <c r="L578" s="6" t="n">
        <v>662.5</v>
      </c>
      <c r="M578" s="4" t="str">
        <f aca="false">IF(AND(K578="",L578=""),"No closed tickets",IF(K578="","MISSING in catalog",IF(L578="","No valid closed tickets",IF(AND(ABS(K578-L578)&gt;=$S$3,ABS(K578-L578)&gt;=$S$4*MAX(L578,1)),"FAR OFF","OK"))))</f>
        <v>OK</v>
      </c>
      <c r="N578" s="7" t="n">
        <f aca="false">D578/SUMIFS($D$2:$D$741,$B$2:$B$741,B578)</f>
        <v>0.00106606300300735</v>
      </c>
      <c r="O578" s="7" t="n">
        <f aca="false">SUMIFS($D$2:D578,$B$2:B578,B578)/SUMIFS($D$2:$D$741,$B$2:$B$741,B578)</f>
        <v>0.99802580925369</v>
      </c>
      <c r="P578" s="8" t="b">
        <f aca="false">O578-N578&lt;$S$2</f>
        <v>0</v>
      </c>
      <c r="Q578" s="2"/>
      <c r="R578" s="2"/>
      <c r="S578" s="2"/>
    </row>
    <row r="579" customFormat="false" ht="14.25" hidden="false" customHeight="false" outlineLevel="0" collapsed="false">
      <c r="A579" s="4" t="s">
        <v>647</v>
      </c>
      <c r="B579" s="4" t="s">
        <v>600</v>
      </c>
      <c r="C579" s="5" t="n">
        <v>2</v>
      </c>
      <c r="D579" s="5" t="n">
        <v>120</v>
      </c>
      <c r="E579" s="5" t="n">
        <v>0</v>
      </c>
      <c r="F579" s="5" t="n">
        <v>0</v>
      </c>
      <c r="G579" s="5" t="n">
        <v>0</v>
      </c>
      <c r="H579" s="5" t="n">
        <v>120</v>
      </c>
      <c r="I579" s="6" t="n">
        <v>1</v>
      </c>
      <c r="J579" s="6" t="n">
        <v>1.5</v>
      </c>
      <c r="K579" s="6" t="n">
        <v>4</v>
      </c>
      <c r="L579" s="6" t="n">
        <v>4</v>
      </c>
      <c r="M579" s="4" t="str">
        <f aca="false">IF(AND(K579="",L579=""),"No closed tickets",IF(K579="","MISSING in catalog",IF(L579="","No valid closed tickets",IF(AND(ABS(K579-L579)&gt;=$S$3,ABS(K579-L579)&gt;=$S$4*MAX(L579,1)),"FAR OFF","OK"))))</f>
        <v>OK</v>
      </c>
      <c r="N579" s="7" t="n">
        <f aca="false">D579/SUMIFS($D$2:$D$741,$B$2:$B$741,B579)</f>
        <v>0.000789676298523963</v>
      </c>
      <c r="O579" s="7" t="n">
        <f aca="false">SUMIFS($D$2:D579,$B$2:B579,B579)/SUMIFS($D$2:$D$741,$B$2:$B$741,B579)</f>
        <v>0.998815485552214</v>
      </c>
      <c r="P579" s="8" t="b">
        <f aca="false">O579-N579&lt;$S$2</f>
        <v>0</v>
      </c>
      <c r="Q579" s="2"/>
      <c r="R579" s="2"/>
      <c r="S579" s="2"/>
    </row>
    <row r="580" customFormat="false" ht="14.25" hidden="false" customHeight="false" outlineLevel="0" collapsed="false">
      <c r="A580" s="4" t="s">
        <v>648</v>
      </c>
      <c r="B580" s="4" t="s">
        <v>600</v>
      </c>
      <c r="C580" s="5" t="n">
        <v>1</v>
      </c>
      <c r="D580" s="5" t="n">
        <v>84</v>
      </c>
      <c r="E580" s="5" t="n">
        <v>41</v>
      </c>
      <c r="F580" s="5" t="n">
        <v>0</v>
      </c>
      <c r="G580" s="5" t="n">
        <v>0</v>
      </c>
      <c r="H580" s="5" t="n">
        <v>84</v>
      </c>
      <c r="I580" s="6" t="n">
        <v>1</v>
      </c>
      <c r="J580" s="6" t="n">
        <v>36.3</v>
      </c>
      <c r="K580" s="6" t="n">
        <v>198</v>
      </c>
      <c r="L580" s="6" t="n">
        <v>198.2</v>
      </c>
      <c r="M580" s="4" t="str">
        <f aca="false">IF(AND(K580="",L580=""),"No closed tickets",IF(K580="","MISSING in catalog",IF(L580="","No valid closed tickets",IF(AND(ABS(K580-L580)&gt;=$S$3,ABS(K580-L580)&gt;=$S$4*MAX(L580,1)),"FAR OFF","OK"))))</f>
        <v>OK</v>
      </c>
      <c r="N580" s="7" t="n">
        <f aca="false">D580/SUMIFS($D$2:$D$741,$B$2:$B$741,B580)</f>
        <v>0.000552773408966774</v>
      </c>
      <c r="O580" s="7" t="n">
        <f aca="false">SUMIFS($D$2:D580,$B$2:B580,B580)/SUMIFS($D$2:$D$741,$B$2:$B$741,B580)</f>
        <v>0.999368258961181</v>
      </c>
      <c r="P580" s="8" t="b">
        <f aca="false">O580-N580&lt;$S$2</f>
        <v>0</v>
      </c>
      <c r="Q580" s="2"/>
      <c r="R580" s="2"/>
      <c r="S580" s="2"/>
    </row>
    <row r="581" customFormat="false" ht="14.25" hidden="false" customHeight="false" outlineLevel="0" collapsed="false">
      <c r="A581" s="4" t="s">
        <v>649</v>
      </c>
      <c r="B581" s="4" t="s">
        <v>600</v>
      </c>
      <c r="C581" s="5" t="n">
        <v>1</v>
      </c>
      <c r="D581" s="5" t="n">
        <v>52</v>
      </c>
      <c r="E581" s="5" t="n">
        <v>0</v>
      </c>
      <c r="F581" s="5" t="n">
        <v>0</v>
      </c>
      <c r="G581" s="5" t="n">
        <v>0</v>
      </c>
      <c r="H581" s="5" t="n">
        <v>52</v>
      </c>
      <c r="I581" s="6" t="n">
        <v>2</v>
      </c>
      <c r="J581" s="6" t="n">
        <v>5.3</v>
      </c>
      <c r="K581" s="6" t="n">
        <v>7</v>
      </c>
      <c r="L581" s="6" t="n">
        <v>6.9</v>
      </c>
      <c r="M581" s="4" t="str">
        <f aca="false">IF(AND(K581="",L581=""),"No closed tickets",IF(K581="","MISSING in catalog",IF(L581="","No valid closed tickets",IF(AND(ABS(K581-L581)&gt;=$S$3,ABS(K581-L581)&gt;=$S$4*MAX(L581,1)),"FAR OFF","OK"))))</f>
        <v>OK</v>
      </c>
      <c r="N581" s="7" t="n">
        <f aca="false">D581/SUMIFS($D$2:$D$741,$B$2:$B$741,B581)</f>
        <v>0.000342193062693718</v>
      </c>
      <c r="O581" s="7" t="n">
        <f aca="false">SUMIFS($D$2:D581,$B$2:B581,B581)/SUMIFS($D$2:$D$741,$B$2:$B$741,B581)</f>
        <v>0.999710452023875</v>
      </c>
      <c r="P581" s="8" t="b">
        <f aca="false">O581-N581&lt;$S$2</f>
        <v>0</v>
      </c>
      <c r="Q581" s="2"/>
      <c r="R581" s="2"/>
      <c r="S581" s="2"/>
    </row>
    <row r="582" customFormat="false" ht="14.25" hidden="false" customHeight="false" outlineLevel="0" collapsed="false">
      <c r="A582" s="4" t="s">
        <v>650</v>
      </c>
      <c r="B582" s="4" t="s">
        <v>600</v>
      </c>
      <c r="C582" s="5" t="n">
        <v>1</v>
      </c>
      <c r="D582" s="5" t="n">
        <v>40</v>
      </c>
      <c r="E582" s="5" t="n">
        <v>21</v>
      </c>
      <c r="F582" s="5" t="n">
        <v>0</v>
      </c>
      <c r="G582" s="5" t="n">
        <v>0</v>
      </c>
      <c r="H582" s="5" t="n">
        <v>40</v>
      </c>
      <c r="I582" s="6" t="n">
        <v>1</v>
      </c>
      <c r="J582" s="6" t="n">
        <v>2.8</v>
      </c>
      <c r="K582" s="6" t="n">
        <v>5</v>
      </c>
      <c r="L582" s="6" t="n">
        <v>5.2</v>
      </c>
      <c r="M582" s="4" t="str">
        <f aca="false">IF(AND(K582="",L582=""),"No closed tickets",IF(K582="","MISSING in catalog",IF(L582="","No valid closed tickets",IF(AND(ABS(K582-L582)&gt;=$S$3,ABS(K582-L582)&gt;=$S$4*MAX(L582,1)),"FAR OFF","OK"))))</f>
        <v>OK</v>
      </c>
      <c r="N582" s="7" t="n">
        <f aca="false">D582/SUMIFS($D$2:$D$741,$B$2:$B$741,B582)</f>
        <v>0.000263225432841321</v>
      </c>
      <c r="O582" s="7" t="n">
        <f aca="false">SUMIFS($D$2:D582,$B$2:B582,B582)/SUMIFS($D$2:$D$741,$B$2:$B$741,B582)</f>
        <v>0.999973677456716</v>
      </c>
      <c r="P582" s="8" t="b">
        <f aca="false">O582-N582&lt;$S$2</f>
        <v>0</v>
      </c>
      <c r="Q582" s="2"/>
      <c r="R582" s="2"/>
      <c r="S582" s="2"/>
    </row>
    <row r="583" customFormat="false" ht="14.25" hidden="false" customHeight="false" outlineLevel="0" collapsed="false">
      <c r="A583" s="4" t="s">
        <v>651</v>
      </c>
      <c r="B583" s="4" t="s">
        <v>600</v>
      </c>
      <c r="C583" s="5" t="n">
        <v>1</v>
      </c>
      <c r="D583" s="5" t="n">
        <v>4</v>
      </c>
      <c r="E583" s="5" t="n">
        <v>4</v>
      </c>
      <c r="F583" s="5" t="n">
        <v>0</v>
      </c>
      <c r="G583" s="5" t="n">
        <v>0</v>
      </c>
      <c r="H583" s="5" t="n">
        <v>4</v>
      </c>
      <c r="I583" s="6" t="n">
        <v>5.5</v>
      </c>
      <c r="J583" s="6" t="n">
        <v>5</v>
      </c>
      <c r="K583" s="6" t="n">
        <v>7</v>
      </c>
      <c r="L583" s="6" t="n">
        <v>6.7</v>
      </c>
      <c r="M583" s="4" t="str">
        <f aca="false">IF(AND(K583="",L583=""),"No closed tickets",IF(K583="","MISSING in catalog",IF(L583="","No valid closed tickets",IF(AND(ABS(K583-L583)&gt;=$S$3,ABS(K583-L583)&gt;=$S$4*MAX(L583,1)),"FAR OFF","OK"))))</f>
        <v>OK</v>
      </c>
      <c r="N583" s="7" t="n">
        <f aca="false">D583/SUMIFS($D$2:$D$741,$B$2:$B$741,B583)</f>
        <v>2.63225432841321E-005</v>
      </c>
      <c r="O583" s="7" t="n">
        <f aca="false">SUMIFS($D$2:D583,$B$2:B583,B583)/SUMIFS($D$2:$D$741,$B$2:$B$741,B583)</f>
        <v>1</v>
      </c>
      <c r="P583" s="8" t="b">
        <f aca="false">O583-N583&lt;$S$2</f>
        <v>0</v>
      </c>
      <c r="Q583" s="2"/>
      <c r="R583" s="2"/>
      <c r="S583" s="2"/>
    </row>
    <row r="584" customFormat="false" ht="14.25" hidden="false" customHeight="false" outlineLevel="0" collapsed="false">
      <c r="A584" s="10" t="s">
        <v>652</v>
      </c>
      <c r="B584" s="10" t="s">
        <v>653</v>
      </c>
      <c r="C584" s="11" t="n">
        <v>2</v>
      </c>
      <c r="D584" s="11" t="n">
        <v>4100</v>
      </c>
      <c r="E584" s="11" t="n">
        <v>939</v>
      </c>
      <c r="F584" s="11" t="n">
        <v>2</v>
      </c>
      <c r="G584" s="11" t="n">
        <v>1</v>
      </c>
      <c r="H584" s="11" t="n">
        <v>4098</v>
      </c>
      <c r="I584" s="12" t="n">
        <v>1</v>
      </c>
      <c r="J584" s="12" t="n">
        <v>1.3</v>
      </c>
      <c r="K584" s="12" t="n">
        <v>3</v>
      </c>
      <c r="L584" s="12" t="n">
        <v>3</v>
      </c>
      <c r="M584" s="10" t="str">
        <f aca="false">IF(AND(K584="",L584=""),"No closed tickets",IF(K584="","MISSING in catalog",IF(L584="","No valid closed tickets",IF(AND(ABS(K584-L584)&gt;=$S$3,ABS(K584-L584)&gt;=$S$4*MAX(L584,1)),"FAR OFF","OK"))))</f>
        <v>OK</v>
      </c>
      <c r="N584" s="13" t="n">
        <f aca="false">D584/SUMIFS($D$2:$D$741,$B$2:$B$741,B584)</f>
        <v>0.500671632677983</v>
      </c>
      <c r="O584" s="13" t="n">
        <f aca="false">SUMIFS($D$2:D584,$B$2:B584,B584)/SUMIFS($D$2:$D$741,$B$2:$B$741,B584)</f>
        <v>0.500671632677983</v>
      </c>
      <c r="P584" s="14" t="b">
        <f aca="false">O584-N584&lt;$S$2</f>
        <v>1</v>
      </c>
      <c r="Q584" s="2"/>
      <c r="R584" s="2"/>
      <c r="S584" s="2"/>
    </row>
    <row r="585" customFormat="false" ht="14.25" hidden="false" customHeight="false" outlineLevel="0" collapsed="false">
      <c r="A585" s="4" t="s">
        <v>654</v>
      </c>
      <c r="B585" s="4" t="s">
        <v>653</v>
      </c>
      <c r="C585" s="5" t="n">
        <v>2</v>
      </c>
      <c r="D585" s="5" t="n">
        <v>2206</v>
      </c>
      <c r="E585" s="5" t="n">
        <v>421</v>
      </c>
      <c r="F585" s="5" t="n">
        <v>3</v>
      </c>
      <c r="G585" s="5" t="n">
        <v>0</v>
      </c>
      <c r="H585" s="5" t="n">
        <v>2203</v>
      </c>
      <c r="I585" s="6" t="n">
        <v>2</v>
      </c>
      <c r="J585" s="6" t="n">
        <v>3</v>
      </c>
      <c r="K585" s="6" t="n">
        <v>6</v>
      </c>
      <c r="L585" s="6" t="n">
        <v>6</v>
      </c>
      <c r="M585" s="4" t="str">
        <f aca="false">IF(AND(K585="",L585=""),"No closed tickets",IF(K585="","MISSING in catalog",IF(L585="","No valid closed tickets",IF(AND(ABS(K585-L585)&gt;=$S$3,ABS(K585-L585)&gt;=$S$4*MAX(L585,1)),"FAR OFF","OK"))))</f>
        <v>OK</v>
      </c>
      <c r="N585" s="7" t="n">
        <f aca="false">D585/SUMIFS($D$2:$D$741,$B$2:$B$741,B585)</f>
        <v>0.269385761387227</v>
      </c>
      <c r="O585" s="7" t="n">
        <f aca="false">SUMIFS($D$2:D585,$B$2:B585,B585)/SUMIFS($D$2:$D$741,$B$2:$B$741,B585)</f>
        <v>0.77005739406521</v>
      </c>
      <c r="P585" s="8" t="b">
        <f aca="false">O585-N585&lt;$S$2</f>
        <v>1</v>
      </c>
      <c r="Q585" s="2"/>
      <c r="R585" s="2"/>
      <c r="S585" s="2"/>
    </row>
    <row r="586" customFormat="false" ht="14.25" hidden="false" customHeight="false" outlineLevel="0" collapsed="false">
      <c r="A586" s="4" t="s">
        <v>655</v>
      </c>
      <c r="B586" s="4" t="s">
        <v>653</v>
      </c>
      <c r="C586" s="5" t="n">
        <v>2</v>
      </c>
      <c r="D586" s="5" t="n">
        <v>1603</v>
      </c>
      <c r="E586" s="5" t="n">
        <v>376</v>
      </c>
      <c r="F586" s="5" t="n">
        <v>0</v>
      </c>
      <c r="G586" s="5" t="n">
        <v>0</v>
      </c>
      <c r="H586" s="5" t="n">
        <v>1603</v>
      </c>
      <c r="I586" s="6" t="n">
        <v>1</v>
      </c>
      <c r="J586" s="6" t="n">
        <v>3.5</v>
      </c>
      <c r="K586" s="6" t="n">
        <v>7</v>
      </c>
      <c r="L586" s="6" t="n">
        <v>7</v>
      </c>
      <c r="M586" s="4" t="str">
        <f aca="false">IF(AND(K586="",L586=""),"No closed tickets",IF(K586="","MISSING in catalog",IF(L586="","No valid closed tickets",IF(AND(ABS(K586-L586)&gt;=$S$3,ABS(K586-L586)&gt;=$S$4*MAX(L586,1)),"FAR OFF","OK"))))</f>
        <v>OK</v>
      </c>
      <c r="N586" s="7" t="n">
        <f aca="false">D586/SUMIFS($D$2:$D$741,$B$2:$B$741,B586)</f>
        <v>0.195750396873855</v>
      </c>
      <c r="O586" s="7" t="n">
        <f aca="false">SUMIFS($D$2:D586,$B$2:B586,B586)/SUMIFS($D$2:$D$741,$B$2:$B$741,B586)</f>
        <v>0.965807790939065</v>
      </c>
      <c r="P586" s="8" t="b">
        <f aca="false">O586-N586&lt;$S$2</f>
        <v>1</v>
      </c>
      <c r="Q586" s="2"/>
      <c r="R586" s="2"/>
      <c r="S586" s="2"/>
    </row>
    <row r="587" customFormat="false" ht="14.25" hidden="false" customHeight="false" outlineLevel="0" collapsed="false">
      <c r="A587" s="4" t="s">
        <v>656</v>
      </c>
      <c r="B587" s="4" t="s">
        <v>653</v>
      </c>
      <c r="C587" s="5" t="n">
        <v>1</v>
      </c>
      <c r="D587" s="5" t="n">
        <v>111</v>
      </c>
      <c r="E587" s="5" t="n">
        <v>111</v>
      </c>
      <c r="F587" s="5" t="n">
        <v>1</v>
      </c>
      <c r="G587" s="5" t="n">
        <v>0</v>
      </c>
      <c r="H587" s="5" t="n">
        <v>110</v>
      </c>
      <c r="I587" s="6" t="n">
        <v>1.5</v>
      </c>
      <c r="J587" s="6" t="n">
        <v>2.9</v>
      </c>
      <c r="K587" s="6" t="n">
        <v>4</v>
      </c>
      <c r="L587" s="6" t="n">
        <v>4</v>
      </c>
      <c r="M587" s="4" t="str">
        <f aca="false">IF(AND(K587="",L587=""),"No closed tickets",IF(K587="","MISSING in catalog",IF(L587="","No valid closed tickets",IF(AND(ABS(K587-L587)&gt;=$S$3,ABS(K587-L587)&gt;=$S$4*MAX(L587,1)),"FAR OFF","OK"))))</f>
        <v>OK</v>
      </c>
      <c r="N587" s="7" t="n">
        <f aca="false">D587/SUMIFS($D$2:$D$741,$B$2:$B$741,B587)</f>
        <v>0.0135547685920137</v>
      </c>
      <c r="O587" s="7" t="n">
        <f aca="false">SUMIFS($D$2:D587,$B$2:B587,B587)/SUMIFS($D$2:$D$741,$B$2:$B$741,B587)</f>
        <v>0.979362559531078</v>
      </c>
      <c r="P587" s="8" t="b">
        <f aca="false">O587-N587&lt;$S$2</f>
        <v>0</v>
      </c>
      <c r="Q587" s="2"/>
      <c r="R587" s="2"/>
      <c r="S587" s="2"/>
    </row>
    <row r="588" customFormat="false" ht="14.25" hidden="false" customHeight="false" outlineLevel="0" collapsed="false">
      <c r="A588" s="4" t="s">
        <v>657</v>
      </c>
      <c r="B588" s="4" t="s">
        <v>653</v>
      </c>
      <c r="C588" s="5" t="n">
        <v>1</v>
      </c>
      <c r="D588" s="5" t="n">
        <v>93</v>
      </c>
      <c r="E588" s="5" t="n">
        <v>93</v>
      </c>
      <c r="F588" s="5" t="n">
        <v>1</v>
      </c>
      <c r="G588" s="5" t="n">
        <v>0</v>
      </c>
      <c r="H588" s="5" t="n">
        <v>92</v>
      </c>
      <c r="I588" s="6" t="n">
        <v>5</v>
      </c>
      <c r="J588" s="6" t="n">
        <v>5.1</v>
      </c>
      <c r="K588" s="6" t="n">
        <v>9</v>
      </c>
      <c r="L588" s="6" t="n">
        <v>8.9</v>
      </c>
      <c r="M588" s="4" t="str">
        <f aca="false">IF(AND(K588="",L588=""),"No closed tickets",IF(K588="","MISSING in catalog",IF(L588="","No valid closed tickets",IF(AND(ABS(K588-L588)&gt;=$S$3,ABS(K588-L588)&gt;=$S$4*MAX(L588,1)),"FAR OFF","OK"))))</f>
        <v>OK</v>
      </c>
      <c r="N588" s="7" t="n">
        <f aca="false">D588/SUMIFS($D$2:$D$741,$B$2:$B$741,B588)</f>
        <v>0.011356698009525</v>
      </c>
      <c r="O588" s="7" t="n">
        <f aca="false">SUMIFS($D$2:D588,$B$2:B588,B588)/SUMIFS($D$2:$D$741,$B$2:$B$741,B588)</f>
        <v>0.990719257540603</v>
      </c>
      <c r="P588" s="8" t="b">
        <f aca="false">O588-N588&lt;$S$2</f>
        <v>0</v>
      </c>
      <c r="Q588" s="2"/>
      <c r="R588" s="2"/>
      <c r="S588" s="2"/>
    </row>
    <row r="589" customFormat="false" ht="14.25" hidden="false" customHeight="false" outlineLevel="0" collapsed="false">
      <c r="A589" s="4" t="s">
        <v>658</v>
      </c>
      <c r="B589" s="4" t="s">
        <v>653</v>
      </c>
      <c r="C589" s="5" t="n">
        <v>1</v>
      </c>
      <c r="D589" s="5" t="n">
        <v>76</v>
      </c>
      <c r="E589" s="5" t="n">
        <v>76</v>
      </c>
      <c r="F589" s="5" t="n">
        <v>0</v>
      </c>
      <c r="G589" s="5" t="n">
        <v>0</v>
      </c>
      <c r="H589" s="5" t="n">
        <v>76</v>
      </c>
      <c r="I589" s="6" t="n">
        <v>1.5</v>
      </c>
      <c r="J589" s="6" t="n">
        <v>2.3</v>
      </c>
      <c r="K589" s="6" t="n">
        <v>5</v>
      </c>
      <c r="L589" s="6" t="n">
        <v>5</v>
      </c>
      <c r="M589" s="4" t="str">
        <f aca="false">IF(AND(K589="",L589=""),"No closed tickets",IF(K589="","MISSING in catalog",IF(L589="","No valid closed tickets",IF(AND(ABS(K589-L589)&gt;=$S$3,ABS(K589-L589)&gt;=$S$4*MAX(L589,1)),"FAR OFF","OK"))))</f>
        <v>OK</v>
      </c>
      <c r="N589" s="7" t="n">
        <f aca="false">D589/SUMIFS($D$2:$D$741,$B$2:$B$741,B589)</f>
        <v>0.00928074245939675</v>
      </c>
      <c r="O589" s="7" t="n">
        <f aca="false">SUMIFS($D$2:D589,$B$2:B589,B589)/SUMIFS($D$2:$D$741,$B$2:$B$741,B589)</f>
        <v>1</v>
      </c>
      <c r="P589" s="8" t="b">
        <f aca="false">O589-N589&lt;$S$2</f>
        <v>0</v>
      </c>
      <c r="Q589" s="2"/>
      <c r="R589" s="2"/>
      <c r="S589" s="2"/>
    </row>
    <row r="590" customFormat="false" ht="14.25" hidden="false" customHeight="false" outlineLevel="0" collapsed="false">
      <c r="A590" s="10" t="s">
        <v>659</v>
      </c>
      <c r="B590" s="10" t="s">
        <v>660</v>
      </c>
      <c r="C590" s="11" t="n">
        <v>1</v>
      </c>
      <c r="D590" s="11" t="n">
        <v>86</v>
      </c>
      <c r="E590" s="11" t="n">
        <v>86</v>
      </c>
      <c r="F590" s="11" t="n">
        <v>3</v>
      </c>
      <c r="G590" s="11" t="n">
        <v>1</v>
      </c>
      <c r="H590" s="11" t="n">
        <v>83</v>
      </c>
      <c r="I590" s="12" t="n">
        <v>1</v>
      </c>
      <c r="J590" s="12" t="n">
        <v>1.7</v>
      </c>
      <c r="K590" s="12" t="n">
        <v>3</v>
      </c>
      <c r="L590" s="12" t="n">
        <v>3</v>
      </c>
      <c r="M590" s="10" t="str">
        <f aca="false">IF(AND(K590="",L590=""),"No closed tickets",IF(K590="","MISSING in catalog",IF(L590="","No valid closed tickets",IF(AND(ABS(K590-L590)&gt;=$S$3,ABS(K590-L590)&gt;=$S$4*MAX(L590,1)),"FAR OFF","OK"))))</f>
        <v>OK</v>
      </c>
      <c r="N590" s="13" t="n">
        <f aca="false">D590/SUMIFS($D$2:$D$741,$B$2:$B$741,B590)</f>
        <v>1</v>
      </c>
      <c r="O590" s="13" t="n">
        <f aca="false">SUMIFS($D$2:D590,$B$2:B590,B590)/SUMIFS($D$2:$D$741,$B$2:$B$741,B590)</f>
        <v>1</v>
      </c>
      <c r="P590" s="14" t="b">
        <f aca="false">O590-N590&lt;$S$2</f>
        <v>1</v>
      </c>
      <c r="Q590" s="2"/>
      <c r="R590" s="2"/>
      <c r="S590" s="2"/>
    </row>
    <row r="591" customFormat="false" ht="14.25" hidden="false" customHeight="false" outlineLevel="0" collapsed="false">
      <c r="A591" s="10" t="s">
        <v>661</v>
      </c>
      <c r="B591" s="10" t="s">
        <v>662</v>
      </c>
      <c r="C591" s="11" t="n">
        <v>2</v>
      </c>
      <c r="D591" s="11" t="n">
        <v>15182</v>
      </c>
      <c r="E591" s="11" t="n">
        <v>3546</v>
      </c>
      <c r="F591" s="11" t="n">
        <v>26</v>
      </c>
      <c r="G591" s="11" t="n">
        <v>0</v>
      </c>
      <c r="H591" s="11" t="n">
        <v>15156</v>
      </c>
      <c r="I591" s="12" t="n">
        <v>1</v>
      </c>
      <c r="J591" s="12" t="n">
        <v>2.5</v>
      </c>
      <c r="K591" s="12" t="n">
        <v>4</v>
      </c>
      <c r="L591" s="12" t="n">
        <v>4</v>
      </c>
      <c r="M591" s="10" t="str">
        <f aca="false">IF(AND(K591="",L591=""),"No closed tickets",IF(K591="","MISSING in catalog",IF(L591="","No valid closed tickets",IF(AND(ABS(K591-L591)&gt;=$S$3,ABS(K591-L591)&gt;=$S$4*MAX(L591,1)),"FAR OFF","OK"))))</f>
        <v>OK</v>
      </c>
      <c r="N591" s="13" t="n">
        <f aca="false">D591/SUMIFS($D$2:$D$741,$B$2:$B$741,B591)</f>
        <v>1</v>
      </c>
      <c r="O591" s="13" t="n">
        <f aca="false">SUMIFS($D$2:D591,$B$2:B591,B591)/SUMIFS($D$2:$D$741,$B$2:$B$741,B591)</f>
        <v>1</v>
      </c>
      <c r="P591" s="14" t="b">
        <f aca="false">O591-N591&lt;$S$2</f>
        <v>1</v>
      </c>
      <c r="Q591" s="2"/>
      <c r="R591" s="2"/>
      <c r="S591" s="2"/>
    </row>
    <row r="592" customFormat="false" ht="14.25" hidden="false" customHeight="false" outlineLevel="0" collapsed="false">
      <c r="A592" s="10" t="s">
        <v>663</v>
      </c>
      <c r="B592" s="10" t="s">
        <v>664</v>
      </c>
      <c r="C592" s="11" t="n">
        <v>1</v>
      </c>
      <c r="D592" s="11" t="n">
        <v>7</v>
      </c>
      <c r="E592" s="11" t="n">
        <v>0</v>
      </c>
      <c r="F592" s="11" t="n">
        <v>0</v>
      </c>
      <c r="G592" s="11" t="n">
        <v>0</v>
      </c>
      <c r="H592" s="11" t="n">
        <v>7</v>
      </c>
      <c r="I592" s="12" t="n">
        <v>2</v>
      </c>
      <c r="J592" s="12" t="n">
        <v>36.9</v>
      </c>
      <c r="K592" s="12" t="n">
        <v>100</v>
      </c>
      <c r="L592" s="12" t="n">
        <v>100.4</v>
      </c>
      <c r="M592" s="10" t="str">
        <f aca="false">IF(AND(K592="",L592=""),"No closed tickets",IF(K592="","MISSING in catalog",IF(L592="","No valid closed tickets",IF(AND(ABS(K592-L592)&gt;=$S$3,ABS(K592-L592)&gt;=$S$4*MAX(L592,1)),"FAR OFF","OK"))))</f>
        <v>OK</v>
      </c>
      <c r="N592" s="13" t="n">
        <f aca="false">D592/SUMIFS($D$2:$D$741,$B$2:$B$741,B592)</f>
        <v>0.7</v>
      </c>
      <c r="O592" s="13" t="n">
        <f aca="false">SUMIFS($D$2:D592,$B$2:B592,B592)/SUMIFS($D$2:$D$741,$B$2:$B$741,B592)</f>
        <v>0.7</v>
      </c>
      <c r="P592" s="14" t="b">
        <f aca="false">O592-N592&lt;$S$2</f>
        <v>1</v>
      </c>
      <c r="Q592" s="2"/>
      <c r="R592" s="2"/>
      <c r="S592" s="2"/>
    </row>
    <row r="593" customFormat="false" ht="14.25" hidden="false" customHeight="false" outlineLevel="0" collapsed="false">
      <c r="A593" s="4" t="s">
        <v>665</v>
      </c>
      <c r="B593" s="4" t="s">
        <v>664</v>
      </c>
      <c r="C593" s="5" t="n">
        <v>1</v>
      </c>
      <c r="D593" s="5" t="n">
        <v>3</v>
      </c>
      <c r="E593" s="5" t="n">
        <v>3</v>
      </c>
      <c r="F593" s="5" t="n">
        <v>0</v>
      </c>
      <c r="G593" s="5" t="n">
        <v>0</v>
      </c>
      <c r="H593" s="5" t="n">
        <v>3</v>
      </c>
      <c r="I593" s="6" t="n">
        <v>3</v>
      </c>
      <c r="J593" s="6" t="n">
        <v>3.3</v>
      </c>
      <c r="K593" s="6" t="n">
        <v>5</v>
      </c>
      <c r="L593" s="6" t="n">
        <v>5.4</v>
      </c>
      <c r="M593" s="4" t="str">
        <f aca="false">IF(AND(K593="",L593=""),"No closed tickets",IF(K593="","MISSING in catalog",IF(L593="","No valid closed tickets",IF(AND(ABS(K593-L593)&gt;=$S$3,ABS(K593-L593)&gt;=$S$4*MAX(L593,1)),"FAR OFF","OK"))))</f>
        <v>OK</v>
      </c>
      <c r="N593" s="7" t="n">
        <f aca="false">D593/SUMIFS($D$2:$D$741,$B$2:$B$741,B593)</f>
        <v>0.3</v>
      </c>
      <c r="O593" s="7" t="n">
        <f aca="false">SUMIFS($D$2:D593,$B$2:B593,B593)/SUMIFS($D$2:$D$741,$B$2:$B$741,B593)</f>
        <v>1</v>
      </c>
      <c r="P593" s="8" t="b">
        <f aca="false">O593-N593&lt;$S$2</f>
        <v>1</v>
      </c>
      <c r="Q593" s="2"/>
      <c r="R593" s="2"/>
      <c r="S593" s="2"/>
    </row>
    <row r="594" customFormat="false" ht="14.25" hidden="false" customHeight="false" outlineLevel="0" collapsed="false">
      <c r="A594" s="10" t="s">
        <v>666</v>
      </c>
      <c r="B594" s="10" t="s">
        <v>667</v>
      </c>
      <c r="C594" s="11" t="n">
        <v>1</v>
      </c>
      <c r="D594" s="11" t="n">
        <v>1</v>
      </c>
      <c r="E594" s="11" t="n">
        <v>0</v>
      </c>
      <c r="F594" s="11" t="n">
        <v>0</v>
      </c>
      <c r="G594" s="11" t="n">
        <v>0</v>
      </c>
      <c r="H594" s="11" t="n">
        <v>1</v>
      </c>
      <c r="I594" s="12" t="n">
        <v>31</v>
      </c>
      <c r="J594" s="12" t="n">
        <v>31</v>
      </c>
      <c r="K594" s="12" t="n">
        <v>31</v>
      </c>
      <c r="L594" s="12" t="n">
        <v>31</v>
      </c>
      <c r="M594" s="10" t="str">
        <f aca="false">IF(AND(K594="",L594=""),"No closed tickets",IF(K594="","MISSING in catalog",IF(L594="","No valid closed tickets",IF(AND(ABS(K594-L594)&gt;=$S$3,ABS(K594-L594)&gt;=$S$4*MAX(L594,1)),"FAR OFF","OK"))))</f>
        <v>OK</v>
      </c>
      <c r="N594" s="13" t="n">
        <f aca="false">D594/SUMIFS($D$2:$D$741,$B$2:$B$741,B594)</f>
        <v>1</v>
      </c>
      <c r="O594" s="13" t="n">
        <f aca="false">SUMIFS($D$2:D594,$B$2:B594,B594)/SUMIFS($D$2:$D$741,$B$2:$B$741,B594)</f>
        <v>1</v>
      </c>
      <c r="P594" s="14" t="b">
        <f aca="false">O594-N594&lt;$S$2</f>
        <v>1</v>
      </c>
      <c r="Q594" s="2"/>
      <c r="R594" s="2"/>
      <c r="S594" s="2"/>
    </row>
    <row r="595" customFormat="false" ht="14.25" hidden="false" customHeight="false" outlineLevel="0" collapsed="false">
      <c r="A595" s="10" t="s">
        <v>668</v>
      </c>
      <c r="B595" s="10" t="s">
        <v>669</v>
      </c>
      <c r="C595" s="11" t="n">
        <v>2</v>
      </c>
      <c r="D595" s="11" t="n">
        <v>4028</v>
      </c>
      <c r="E595" s="11" t="n">
        <v>0</v>
      </c>
      <c r="F595" s="11" t="n">
        <v>1</v>
      </c>
      <c r="G595" s="11" t="n">
        <v>1</v>
      </c>
      <c r="H595" s="11" t="n">
        <v>4027</v>
      </c>
      <c r="I595" s="12" t="n">
        <v>3</v>
      </c>
      <c r="J595" s="12" t="n">
        <v>3.9</v>
      </c>
      <c r="K595" s="12" t="n">
        <v>7</v>
      </c>
      <c r="L595" s="12" t="n">
        <v>7</v>
      </c>
      <c r="M595" s="10" t="str">
        <f aca="false">IF(AND(K595="",L595=""),"No closed tickets",IF(K595="","MISSING in catalog",IF(L595="","No valid closed tickets",IF(AND(ABS(K595-L595)&gt;=$S$3,ABS(K595-L595)&gt;=$S$4*MAX(L595,1)),"FAR OFF","OK"))))</f>
        <v>OK</v>
      </c>
      <c r="N595" s="13" t="n">
        <f aca="false">D595/SUMIFS($D$2:$D$741,$B$2:$B$741,B595)</f>
        <v>0.416072719760355</v>
      </c>
      <c r="O595" s="13" t="n">
        <f aca="false">SUMIFS($D$2:D595,$B$2:B595,B595)/SUMIFS($D$2:$D$741,$B$2:$B$741,B595)</f>
        <v>0.416072719760355</v>
      </c>
      <c r="P595" s="14" t="b">
        <f aca="false">O595-N595&lt;$S$2</f>
        <v>1</v>
      </c>
      <c r="Q595" s="2"/>
      <c r="R595" s="2"/>
      <c r="S595" s="2"/>
    </row>
    <row r="596" customFormat="false" ht="14.25" hidden="false" customHeight="false" outlineLevel="0" collapsed="false">
      <c r="A596" s="4" t="s">
        <v>670</v>
      </c>
      <c r="B596" s="4" t="s">
        <v>669</v>
      </c>
      <c r="C596" s="5" t="n">
        <v>2</v>
      </c>
      <c r="D596" s="5" t="n">
        <v>3056</v>
      </c>
      <c r="E596" s="5" t="n">
        <v>0</v>
      </c>
      <c r="F596" s="5" t="n">
        <v>0</v>
      </c>
      <c r="G596" s="5" t="n">
        <v>0</v>
      </c>
      <c r="H596" s="5" t="n">
        <v>3056</v>
      </c>
      <c r="I596" s="6" t="n">
        <v>5</v>
      </c>
      <c r="J596" s="6" t="n">
        <v>5.4</v>
      </c>
      <c r="K596" s="6" t="n">
        <v>10</v>
      </c>
      <c r="L596" s="6" t="n">
        <v>10</v>
      </c>
      <c r="M596" s="4" t="str">
        <f aca="false">IF(AND(K596="",L596=""),"No closed tickets",IF(K596="","MISSING in catalog",IF(L596="","No valid closed tickets",IF(AND(ABS(K596-L596)&gt;=$S$3,ABS(K596-L596)&gt;=$S$4*MAX(L596,1)),"FAR OFF","OK"))))</f>
        <v>OK</v>
      </c>
      <c r="N596" s="7" t="n">
        <f aca="false">D596/SUMIFS($D$2:$D$741,$B$2:$B$741,B596)</f>
        <v>0.315669868815205</v>
      </c>
      <c r="O596" s="7" t="n">
        <f aca="false">SUMIFS($D$2:D596,$B$2:B596,B596)/SUMIFS($D$2:$D$741,$B$2:$B$741,B596)</f>
        <v>0.73174258857556</v>
      </c>
      <c r="P596" s="8" t="b">
        <f aca="false">O596-N596&lt;$S$2</f>
        <v>1</v>
      </c>
      <c r="Q596" s="2"/>
      <c r="R596" s="2"/>
      <c r="S596" s="2"/>
    </row>
    <row r="597" customFormat="false" ht="14.25" hidden="false" customHeight="false" outlineLevel="0" collapsed="false">
      <c r="A597" s="4" t="s">
        <v>671</v>
      </c>
      <c r="B597" s="4" t="s">
        <v>669</v>
      </c>
      <c r="C597" s="5" t="n">
        <v>2</v>
      </c>
      <c r="D597" s="5" t="n">
        <v>1371</v>
      </c>
      <c r="E597" s="5" t="n">
        <v>0</v>
      </c>
      <c r="F597" s="5" t="n">
        <v>0</v>
      </c>
      <c r="G597" s="5" t="n">
        <v>0</v>
      </c>
      <c r="H597" s="5" t="n">
        <v>1371</v>
      </c>
      <c r="I597" s="6" t="n">
        <v>0</v>
      </c>
      <c r="J597" s="6" t="n">
        <v>0.8</v>
      </c>
      <c r="K597" s="6" t="n">
        <v>2</v>
      </c>
      <c r="L597" s="6" t="n">
        <v>2</v>
      </c>
      <c r="M597" s="4" t="str">
        <f aca="false">IF(AND(K597="",L597=""),"No closed tickets",IF(K597="","MISSING in catalog",IF(L597="","No valid closed tickets",IF(AND(ABS(K597-L597)&gt;=$S$3,ABS(K597-L597)&gt;=$S$4*MAX(L597,1)),"FAR OFF","OK"))))</f>
        <v>OK</v>
      </c>
      <c r="N597" s="7" t="n">
        <f aca="false">D597/SUMIFS($D$2:$D$741,$B$2:$B$741,B597)</f>
        <v>0.14161760148745</v>
      </c>
      <c r="O597" s="7" t="n">
        <f aca="false">SUMIFS($D$2:D597,$B$2:B597,B597)/SUMIFS($D$2:$D$741,$B$2:$B$741,B597)</f>
        <v>0.87336019006301</v>
      </c>
      <c r="P597" s="8" t="b">
        <f aca="false">O597-N597&lt;$S$2</f>
        <v>1</v>
      </c>
      <c r="Q597" s="2"/>
      <c r="R597" s="2"/>
      <c r="S597" s="2"/>
    </row>
    <row r="598" customFormat="false" ht="14.25" hidden="false" customHeight="false" outlineLevel="0" collapsed="false">
      <c r="A598" s="4" t="s">
        <v>672</v>
      </c>
      <c r="B598" s="4" t="s">
        <v>669</v>
      </c>
      <c r="C598" s="5" t="n">
        <v>2</v>
      </c>
      <c r="D598" s="5" t="n">
        <v>970</v>
      </c>
      <c r="E598" s="5" t="n">
        <v>0</v>
      </c>
      <c r="F598" s="5" t="n">
        <v>0</v>
      </c>
      <c r="G598" s="5" t="n">
        <v>0</v>
      </c>
      <c r="H598" s="5" t="n">
        <v>970</v>
      </c>
      <c r="I598" s="6" t="n">
        <v>15</v>
      </c>
      <c r="J598" s="6" t="n">
        <v>18.8</v>
      </c>
      <c r="K598" s="6" t="n">
        <v>35</v>
      </c>
      <c r="L598" s="6" t="n">
        <v>35</v>
      </c>
      <c r="M598" s="4" t="str">
        <f aca="false">IF(AND(K598="",L598=""),"No closed tickets",IF(K598="","MISSING in catalog",IF(L598="","No valid closed tickets",IF(AND(ABS(K598-L598)&gt;=$S$3,ABS(K598-L598)&gt;=$S$4*MAX(L598,1)),"FAR OFF","OK"))))</f>
        <v>OK</v>
      </c>
      <c r="N598" s="7" t="n">
        <f aca="false">D598/SUMIFS($D$2:$D$741,$B$2:$B$741,B598)</f>
        <v>0.100196260716868</v>
      </c>
      <c r="O598" s="7" t="n">
        <f aca="false">SUMIFS($D$2:D598,$B$2:B598,B598)/SUMIFS($D$2:$D$741,$B$2:$B$741,B598)</f>
        <v>0.973556450779878</v>
      </c>
      <c r="P598" s="8" t="b">
        <f aca="false">O598-N598&lt;$S$2</f>
        <v>1</v>
      </c>
      <c r="Q598" s="2"/>
      <c r="R598" s="2"/>
      <c r="S598" s="2"/>
    </row>
    <row r="599" customFormat="false" ht="14.25" hidden="false" customHeight="false" outlineLevel="0" collapsed="false">
      <c r="A599" s="4" t="s">
        <v>673</v>
      </c>
      <c r="B599" s="4" t="s">
        <v>669</v>
      </c>
      <c r="C599" s="5" t="n">
        <v>2</v>
      </c>
      <c r="D599" s="5" t="n">
        <v>132</v>
      </c>
      <c r="E599" s="5" t="n">
        <v>0</v>
      </c>
      <c r="F599" s="5" t="n">
        <v>0</v>
      </c>
      <c r="G599" s="5" t="n">
        <v>0</v>
      </c>
      <c r="H599" s="5" t="n">
        <v>132</v>
      </c>
      <c r="I599" s="6" t="n">
        <v>1</v>
      </c>
      <c r="J599" s="6" t="n">
        <v>8.6</v>
      </c>
      <c r="K599" s="6" t="n">
        <v>40</v>
      </c>
      <c r="L599" s="6" t="n">
        <v>39.9</v>
      </c>
      <c r="M599" s="4" t="str">
        <f aca="false">IF(AND(K599="",L599=""),"No closed tickets",IF(K599="","MISSING in catalog",IF(L599="","No valid closed tickets",IF(AND(ABS(K599-L599)&gt;=$S$3,ABS(K599-L599)&gt;=$S$4*MAX(L599,1)),"FAR OFF","OK"))))</f>
        <v>OK</v>
      </c>
      <c r="N599" s="7" t="n">
        <f aca="false">D599/SUMIFS($D$2:$D$741,$B$2:$B$741,B599)</f>
        <v>0.0136349550666253</v>
      </c>
      <c r="O599" s="7" t="n">
        <f aca="false">SUMIFS($D$2:D599,$B$2:B599,B599)/SUMIFS($D$2:$D$741,$B$2:$B$741,B599)</f>
        <v>0.987191405846503</v>
      </c>
      <c r="P599" s="8" t="b">
        <f aca="false">O599-N599&lt;$S$2</f>
        <v>0</v>
      </c>
      <c r="Q599" s="2"/>
      <c r="R599" s="2"/>
      <c r="S599" s="2"/>
    </row>
    <row r="600" customFormat="false" ht="14.25" hidden="false" customHeight="false" outlineLevel="0" collapsed="false">
      <c r="A600" s="4" t="s">
        <v>674</v>
      </c>
      <c r="B600" s="4" t="s">
        <v>669</v>
      </c>
      <c r="C600" s="5" t="n">
        <v>2</v>
      </c>
      <c r="D600" s="5" t="n">
        <v>54</v>
      </c>
      <c r="E600" s="5" t="n">
        <v>0</v>
      </c>
      <c r="F600" s="5" t="n">
        <v>0</v>
      </c>
      <c r="G600" s="5" t="n">
        <v>0</v>
      </c>
      <c r="H600" s="5" t="n">
        <v>54</v>
      </c>
      <c r="I600" s="6" t="n">
        <v>4</v>
      </c>
      <c r="J600" s="6" t="n">
        <v>4</v>
      </c>
      <c r="K600" s="6" t="n">
        <v>7</v>
      </c>
      <c r="L600" s="6" t="n">
        <v>7</v>
      </c>
      <c r="M600" s="4" t="str">
        <f aca="false">IF(AND(K600="",L600=""),"No closed tickets",IF(K600="","MISSING in catalog",IF(L600="","No valid closed tickets",IF(AND(ABS(K600-L600)&gt;=$S$3,ABS(K600-L600)&gt;=$S$4*MAX(L600,1)),"FAR OFF","OK"))))</f>
        <v>OK</v>
      </c>
      <c r="N600" s="7" t="n">
        <f aca="false">D600/SUMIFS($D$2:$D$741,$B$2:$B$741,B600)</f>
        <v>0.00557793616361946</v>
      </c>
      <c r="O600" s="7" t="n">
        <f aca="false">SUMIFS($D$2:D600,$B$2:B600,B600)/SUMIFS($D$2:$D$741,$B$2:$B$741,B600)</f>
        <v>0.992769342010123</v>
      </c>
      <c r="P600" s="8" t="b">
        <f aca="false">O600-N600&lt;$S$2</f>
        <v>0</v>
      </c>
      <c r="Q600" s="2"/>
      <c r="R600" s="2"/>
      <c r="S600" s="2"/>
    </row>
    <row r="601" customFormat="false" ht="14.25" hidden="false" customHeight="false" outlineLevel="0" collapsed="false">
      <c r="A601" s="4" t="s">
        <v>675</v>
      </c>
      <c r="B601" s="4" t="s">
        <v>669</v>
      </c>
      <c r="C601" s="5" t="n">
        <v>2</v>
      </c>
      <c r="D601" s="5" t="n">
        <v>50</v>
      </c>
      <c r="E601" s="5" t="n">
        <v>0</v>
      </c>
      <c r="F601" s="5" t="n">
        <v>0</v>
      </c>
      <c r="G601" s="5" t="n">
        <v>0</v>
      </c>
      <c r="H601" s="5" t="n">
        <v>50</v>
      </c>
      <c r="I601" s="6" t="n">
        <v>0</v>
      </c>
      <c r="J601" s="6" t="n">
        <v>2.2</v>
      </c>
      <c r="K601" s="6" t="n">
        <v>3</v>
      </c>
      <c r="L601" s="6" t="n">
        <v>3</v>
      </c>
      <c r="M601" s="4" t="str">
        <f aca="false">IF(AND(K601="",L601=""),"No closed tickets",IF(K601="","MISSING in catalog",IF(L601="","No valid closed tickets",IF(AND(ABS(K601-L601)&gt;=$S$3,ABS(K601-L601)&gt;=$S$4*MAX(L601,1)),"FAR OFF","OK"))))</f>
        <v>OK</v>
      </c>
      <c r="N601" s="7" t="n">
        <f aca="false">D601/SUMIFS($D$2:$D$741,$B$2:$B$741,B601)</f>
        <v>0.00516475570705506</v>
      </c>
      <c r="O601" s="7" t="n">
        <f aca="false">SUMIFS($D$2:D601,$B$2:B601,B601)/SUMIFS($D$2:$D$741,$B$2:$B$741,B601)</f>
        <v>0.997934097717178</v>
      </c>
      <c r="P601" s="8" t="b">
        <f aca="false">O601-N601&lt;$S$2</f>
        <v>0</v>
      </c>
      <c r="Q601" s="2"/>
      <c r="R601" s="2"/>
      <c r="S601" s="2"/>
    </row>
    <row r="602" customFormat="false" ht="14.25" hidden="false" customHeight="false" outlineLevel="0" collapsed="false">
      <c r="A602" s="4" t="s">
        <v>676</v>
      </c>
      <c r="B602" s="4" t="s">
        <v>669</v>
      </c>
      <c r="C602" s="5" t="n">
        <v>2</v>
      </c>
      <c r="D602" s="5" t="n">
        <v>14</v>
      </c>
      <c r="E602" s="5" t="n">
        <v>0</v>
      </c>
      <c r="F602" s="5" t="n">
        <v>0</v>
      </c>
      <c r="G602" s="5" t="n">
        <v>0</v>
      </c>
      <c r="H602" s="5" t="n">
        <v>14</v>
      </c>
      <c r="I602" s="6" t="n">
        <v>2</v>
      </c>
      <c r="J602" s="6" t="n">
        <v>4.6</v>
      </c>
      <c r="K602" s="6" t="n">
        <v>10</v>
      </c>
      <c r="L602" s="6" t="n">
        <v>9.7</v>
      </c>
      <c r="M602" s="4" t="str">
        <f aca="false">IF(AND(K602="",L602=""),"No closed tickets",IF(K602="","MISSING in catalog",IF(L602="","No valid closed tickets",IF(AND(ABS(K602-L602)&gt;=$S$3,ABS(K602-L602)&gt;=$S$4*MAX(L602,1)),"FAR OFF","OK"))))</f>
        <v>OK</v>
      </c>
      <c r="N602" s="7" t="n">
        <f aca="false">D602/SUMIFS($D$2:$D$741,$B$2:$B$741,B602)</f>
        <v>0.00144613159797542</v>
      </c>
      <c r="O602" s="7" t="n">
        <f aca="false">SUMIFS($D$2:D602,$B$2:B602,B602)/SUMIFS($D$2:$D$741,$B$2:$B$741,B602)</f>
        <v>0.999380229315153</v>
      </c>
      <c r="P602" s="8" t="b">
        <f aca="false">O602-N602&lt;$S$2</f>
        <v>0</v>
      </c>
      <c r="Q602" s="2"/>
      <c r="R602" s="2"/>
      <c r="S602" s="2"/>
    </row>
    <row r="603" customFormat="false" ht="14.25" hidden="false" customHeight="false" outlineLevel="0" collapsed="false">
      <c r="A603" s="4" t="s">
        <v>677</v>
      </c>
      <c r="B603" s="4" t="s">
        <v>669</v>
      </c>
      <c r="C603" s="5" t="n">
        <v>1</v>
      </c>
      <c r="D603" s="5" t="n">
        <v>5</v>
      </c>
      <c r="E603" s="5" t="n">
        <v>0</v>
      </c>
      <c r="F603" s="5" t="n">
        <v>0</v>
      </c>
      <c r="G603" s="5" t="n">
        <v>0</v>
      </c>
      <c r="H603" s="5" t="n">
        <v>5</v>
      </c>
      <c r="I603" s="6" t="n">
        <v>1</v>
      </c>
      <c r="J603" s="6" t="n">
        <v>12.4</v>
      </c>
      <c r="K603" s="6" t="n">
        <v>35</v>
      </c>
      <c r="L603" s="6" t="n">
        <v>35</v>
      </c>
      <c r="M603" s="4" t="str">
        <f aca="false">IF(AND(K603="",L603=""),"No closed tickets",IF(K603="","MISSING in catalog",IF(L603="","No valid closed tickets",IF(AND(ABS(K603-L603)&gt;=$S$3,ABS(K603-L603)&gt;=$S$4*MAX(L603,1)),"FAR OFF","OK"))))</f>
        <v>OK</v>
      </c>
      <c r="N603" s="7" t="n">
        <f aca="false">D603/SUMIFS($D$2:$D$741,$B$2:$B$741,B603)</f>
        <v>0.000516475570705506</v>
      </c>
      <c r="O603" s="7" t="n">
        <f aca="false">SUMIFS($D$2:D603,$B$2:B603,B603)/SUMIFS($D$2:$D$741,$B$2:$B$741,B603)</f>
        <v>0.999896704885859</v>
      </c>
      <c r="P603" s="8" t="b">
        <f aca="false">O603-N603&lt;$S$2</f>
        <v>0</v>
      </c>
      <c r="Q603" s="2"/>
      <c r="R603" s="2"/>
      <c r="S603" s="2"/>
    </row>
    <row r="604" customFormat="false" ht="14.25" hidden="false" customHeight="false" outlineLevel="0" collapsed="false">
      <c r="A604" s="4" t="s">
        <v>678</v>
      </c>
      <c r="B604" s="4" t="s">
        <v>669</v>
      </c>
      <c r="C604" s="5" t="n">
        <v>1</v>
      </c>
      <c r="D604" s="5" t="n">
        <v>1</v>
      </c>
      <c r="E604" s="5" t="n">
        <v>0</v>
      </c>
      <c r="F604" s="5" t="n">
        <v>0</v>
      </c>
      <c r="G604" s="5" t="n">
        <v>0</v>
      </c>
      <c r="H604" s="5" t="n">
        <v>1</v>
      </c>
      <c r="I604" s="6" t="n">
        <v>4</v>
      </c>
      <c r="J604" s="6" t="n">
        <v>4</v>
      </c>
      <c r="K604" s="6" t="n">
        <v>4</v>
      </c>
      <c r="L604" s="6" t="n">
        <v>4</v>
      </c>
      <c r="M604" s="4" t="str">
        <f aca="false">IF(AND(K604="",L604=""),"No closed tickets",IF(K604="","MISSING in catalog",IF(L604="","No valid closed tickets",IF(AND(ABS(K604-L604)&gt;=$S$3,ABS(K604-L604)&gt;=$S$4*MAX(L604,1)),"FAR OFF","OK"))))</f>
        <v>OK</v>
      </c>
      <c r="N604" s="7" t="n">
        <f aca="false">D604/SUMIFS($D$2:$D$741,$B$2:$B$741,B604)</f>
        <v>0.000103295114141101</v>
      </c>
      <c r="O604" s="7" t="n">
        <f aca="false">SUMIFS($D$2:D604,$B$2:B604,B604)/SUMIFS($D$2:$D$741,$B$2:$B$741,B604)</f>
        <v>1</v>
      </c>
      <c r="P604" s="8" t="b">
        <f aca="false">O604-N604&lt;$S$2</f>
        <v>0</v>
      </c>
      <c r="Q604" s="2"/>
      <c r="R604" s="2"/>
      <c r="S604" s="2"/>
    </row>
    <row r="605" customFormat="false" ht="14.25" hidden="false" customHeight="false" outlineLevel="0" collapsed="false">
      <c r="A605" s="10" t="s">
        <v>679</v>
      </c>
      <c r="B605" s="10" t="s">
        <v>680</v>
      </c>
      <c r="C605" s="11" t="n">
        <v>1</v>
      </c>
      <c r="D605" s="11" t="n">
        <v>97</v>
      </c>
      <c r="E605" s="11" t="n">
        <v>97</v>
      </c>
      <c r="F605" s="11" t="n">
        <v>19</v>
      </c>
      <c r="G605" s="11" t="n">
        <v>0</v>
      </c>
      <c r="H605" s="11" t="n">
        <v>78</v>
      </c>
      <c r="I605" s="12" t="n">
        <v>14.5</v>
      </c>
      <c r="J605" s="12" t="n">
        <v>13.9</v>
      </c>
      <c r="K605" s="12" t="n">
        <v>22</v>
      </c>
      <c r="L605" s="12" t="n">
        <v>22</v>
      </c>
      <c r="M605" s="10" t="str">
        <f aca="false">IF(AND(K605="",L605=""),"No closed tickets",IF(K605="","MISSING in catalog",IF(L605="","No valid closed tickets",IF(AND(ABS(K605-L605)&gt;=$S$3,ABS(K605-L605)&gt;=$S$4*MAX(L605,1)),"FAR OFF","OK"))))</f>
        <v>OK</v>
      </c>
      <c r="N605" s="13" t="n">
        <f aca="false">D605/SUMIFS($D$2:$D$741,$B$2:$B$741,B605)</f>
        <v>0.425438596491228</v>
      </c>
      <c r="O605" s="13" t="n">
        <f aca="false">SUMIFS($D$2:D605,$B$2:B605,B605)/SUMIFS($D$2:$D$741,$B$2:$B$741,B605)</f>
        <v>0.425438596491228</v>
      </c>
      <c r="P605" s="14" t="b">
        <f aca="false">O605-N605&lt;$S$2</f>
        <v>1</v>
      </c>
      <c r="Q605" s="2"/>
      <c r="R605" s="2"/>
      <c r="S605" s="2"/>
    </row>
    <row r="606" customFormat="false" ht="14.25" hidden="false" customHeight="false" outlineLevel="0" collapsed="false">
      <c r="A606" s="4" t="s">
        <v>681</v>
      </c>
      <c r="B606" s="4" t="s">
        <v>680</v>
      </c>
      <c r="C606" s="5" t="n">
        <v>1</v>
      </c>
      <c r="D606" s="5" t="n">
        <v>61</v>
      </c>
      <c r="E606" s="5" t="n">
        <v>0</v>
      </c>
      <c r="F606" s="5" t="n">
        <v>0</v>
      </c>
      <c r="G606" s="5" t="n">
        <v>0</v>
      </c>
      <c r="H606" s="5" t="n">
        <v>61</v>
      </c>
      <c r="I606" s="6" t="n">
        <v>6</v>
      </c>
      <c r="J606" s="6" t="n">
        <v>11.2</v>
      </c>
      <c r="K606" s="6" t="n">
        <v>28</v>
      </c>
      <c r="L606" s="6" t="n">
        <v>28</v>
      </c>
      <c r="M606" s="4" t="str">
        <f aca="false">IF(AND(K606="",L606=""),"No closed tickets",IF(K606="","MISSING in catalog",IF(L606="","No valid closed tickets",IF(AND(ABS(K606-L606)&gt;=$S$3,ABS(K606-L606)&gt;=$S$4*MAX(L606,1)),"FAR OFF","OK"))))</f>
        <v>OK</v>
      </c>
      <c r="N606" s="7" t="n">
        <f aca="false">D606/SUMIFS($D$2:$D$741,$B$2:$B$741,B606)</f>
        <v>0.267543859649123</v>
      </c>
      <c r="O606" s="7" t="n">
        <f aca="false">SUMIFS($D$2:D606,$B$2:B606,B606)/SUMIFS($D$2:$D$741,$B$2:$B$741,B606)</f>
        <v>0.692982456140351</v>
      </c>
      <c r="P606" s="8" t="b">
        <f aca="false">O606-N606&lt;$S$2</f>
        <v>1</v>
      </c>
      <c r="Q606" s="2"/>
      <c r="R606" s="2"/>
      <c r="S606" s="2"/>
    </row>
    <row r="607" customFormat="false" ht="14.25" hidden="false" customHeight="false" outlineLevel="0" collapsed="false">
      <c r="A607" s="4" t="s">
        <v>682</v>
      </c>
      <c r="B607" s="4" t="s">
        <v>680</v>
      </c>
      <c r="C607" s="5" t="n">
        <v>1</v>
      </c>
      <c r="D607" s="5" t="n">
        <v>41</v>
      </c>
      <c r="E607" s="5" t="n">
        <v>25</v>
      </c>
      <c r="F607" s="5" t="n">
        <v>1</v>
      </c>
      <c r="G607" s="5" t="n">
        <v>0</v>
      </c>
      <c r="H607" s="5" t="n">
        <v>40</v>
      </c>
      <c r="I607" s="6" t="n">
        <v>6</v>
      </c>
      <c r="J607" s="6" t="n">
        <v>36.4</v>
      </c>
      <c r="K607" s="6" t="n">
        <v>75</v>
      </c>
      <c r="L607" s="6" t="n">
        <v>75.1</v>
      </c>
      <c r="M607" s="4" t="str">
        <f aca="false">IF(AND(K607="",L607=""),"No closed tickets",IF(K607="","MISSING in catalog",IF(L607="","No valid closed tickets",IF(AND(ABS(K607-L607)&gt;=$S$3,ABS(K607-L607)&gt;=$S$4*MAX(L607,1)),"FAR OFF","OK"))))</f>
        <v>OK</v>
      </c>
      <c r="N607" s="7" t="n">
        <f aca="false">D607/SUMIFS($D$2:$D$741,$B$2:$B$741,B607)</f>
        <v>0.179824561403509</v>
      </c>
      <c r="O607" s="7" t="n">
        <f aca="false">SUMIFS($D$2:D607,$B$2:B607,B607)/SUMIFS($D$2:$D$741,$B$2:$B$741,B607)</f>
        <v>0.87280701754386</v>
      </c>
      <c r="P607" s="8" t="b">
        <f aca="false">O607-N607&lt;$S$2</f>
        <v>1</v>
      </c>
      <c r="Q607" s="2"/>
      <c r="R607" s="2"/>
      <c r="S607" s="2"/>
    </row>
    <row r="608" customFormat="false" ht="14.25" hidden="false" customHeight="false" outlineLevel="0" collapsed="false">
      <c r="A608" s="4" t="s">
        <v>683</v>
      </c>
      <c r="B608" s="4" t="s">
        <v>680</v>
      </c>
      <c r="C608" s="5" t="n">
        <v>2</v>
      </c>
      <c r="D608" s="5" t="n">
        <v>17</v>
      </c>
      <c r="E608" s="5" t="n">
        <v>0</v>
      </c>
      <c r="F608" s="5" t="n">
        <v>0</v>
      </c>
      <c r="G608" s="5" t="n">
        <v>0</v>
      </c>
      <c r="H608" s="5" t="n">
        <v>17</v>
      </c>
      <c r="I608" s="6" t="n">
        <v>10</v>
      </c>
      <c r="J608" s="6" t="n">
        <v>16.1</v>
      </c>
      <c r="K608" s="6" t="n">
        <v>45</v>
      </c>
      <c r="L608" s="6" t="n">
        <v>45</v>
      </c>
      <c r="M608" s="4" t="str">
        <f aca="false">IF(AND(K608="",L608=""),"No closed tickets",IF(K608="","MISSING in catalog",IF(L608="","No valid closed tickets",IF(AND(ABS(K608-L608)&gt;=$S$3,ABS(K608-L608)&gt;=$S$4*MAX(L608,1)),"FAR OFF","OK"))))</f>
        <v>OK</v>
      </c>
      <c r="N608" s="7" t="n">
        <f aca="false">D608/SUMIFS($D$2:$D$741,$B$2:$B$741,B608)</f>
        <v>0.0745614035087719</v>
      </c>
      <c r="O608" s="7" t="n">
        <f aca="false">SUMIFS($D$2:D608,$B$2:B608,B608)/SUMIFS($D$2:$D$741,$B$2:$B$741,B608)</f>
        <v>0.947368421052632</v>
      </c>
      <c r="P608" s="8" t="b">
        <f aca="false">O608-N608&lt;$S$2</f>
        <v>1</v>
      </c>
      <c r="Q608" s="2"/>
      <c r="R608" s="2"/>
      <c r="S608" s="2"/>
    </row>
    <row r="609" customFormat="false" ht="14.25" hidden="false" customHeight="false" outlineLevel="0" collapsed="false">
      <c r="A609" s="4" t="s">
        <v>684</v>
      </c>
      <c r="B609" s="4" t="s">
        <v>680</v>
      </c>
      <c r="C609" s="5" t="n">
        <v>2</v>
      </c>
      <c r="D609" s="5" t="n">
        <v>12</v>
      </c>
      <c r="E609" s="5" t="n">
        <v>0</v>
      </c>
      <c r="F609" s="5" t="n">
        <v>0</v>
      </c>
      <c r="G609" s="5" t="n">
        <v>0</v>
      </c>
      <c r="H609" s="5" t="n">
        <v>12</v>
      </c>
      <c r="I609" s="6" t="n">
        <v>3</v>
      </c>
      <c r="J609" s="6" t="n">
        <v>8</v>
      </c>
      <c r="K609" s="6" t="n">
        <v>18</v>
      </c>
      <c r="L609" s="6" t="n">
        <v>18</v>
      </c>
      <c r="M609" s="4" t="str">
        <f aca="false">IF(AND(K609="",L609=""),"No closed tickets",IF(K609="","MISSING in catalog",IF(L609="","No valid closed tickets",IF(AND(ABS(K609-L609)&gt;=$S$3,ABS(K609-L609)&gt;=$S$4*MAX(L609,1)),"FAR OFF","OK"))))</f>
        <v>OK</v>
      </c>
      <c r="N609" s="7" t="n">
        <f aca="false">D609/SUMIFS($D$2:$D$741,$B$2:$B$741,B609)</f>
        <v>0.0526315789473684</v>
      </c>
      <c r="O609" s="7" t="n">
        <f aca="false">SUMIFS($D$2:D609,$B$2:B609,B609)/SUMIFS($D$2:$D$741,$B$2:$B$741,B609)</f>
        <v>1</v>
      </c>
      <c r="P609" s="8" t="b">
        <f aca="false">O609-N609&lt;$S$2</f>
        <v>1</v>
      </c>
      <c r="Q609" s="2"/>
      <c r="R609" s="2"/>
      <c r="S609" s="2"/>
    </row>
    <row r="610" customFormat="false" ht="14.25" hidden="false" customHeight="false" outlineLevel="0" collapsed="false">
      <c r="A610" s="10" t="s">
        <v>685</v>
      </c>
      <c r="B610" s="10" t="s">
        <v>686</v>
      </c>
      <c r="C610" s="11" t="n">
        <v>1</v>
      </c>
      <c r="D610" s="11" t="n">
        <v>909</v>
      </c>
      <c r="E610" s="11" t="n">
        <v>65</v>
      </c>
      <c r="F610" s="11" t="n">
        <v>0</v>
      </c>
      <c r="G610" s="11" t="n">
        <v>0</v>
      </c>
      <c r="H610" s="11" t="n">
        <v>909</v>
      </c>
      <c r="I610" s="12" t="n">
        <v>2</v>
      </c>
      <c r="J610" s="12" t="n">
        <v>13</v>
      </c>
      <c r="K610" s="12" t="n">
        <v>12</v>
      </c>
      <c r="L610" s="12" t="n">
        <v>12.2</v>
      </c>
      <c r="M610" s="10" t="str">
        <f aca="false">IF(AND(K610="",L610=""),"No closed tickets",IF(K610="","MISSING in catalog",IF(L610="","No valid closed tickets",IF(AND(ABS(K610-L610)&gt;=$S$3,ABS(K610-L610)&gt;=$S$4*MAX(L610,1)),"FAR OFF","OK"))))</f>
        <v>OK</v>
      </c>
      <c r="N610" s="13" t="n">
        <f aca="false">D610/SUMIFS($D$2:$D$741,$B$2:$B$741,B610)</f>
        <v>0.601190476190476</v>
      </c>
      <c r="O610" s="13" t="n">
        <f aca="false">SUMIFS($D$2:D610,$B$2:B610,B610)/SUMIFS($D$2:$D$741,$B$2:$B$741,B610)</f>
        <v>0.601190476190476</v>
      </c>
      <c r="P610" s="14" t="b">
        <f aca="false">O610-N610&lt;$S$2</f>
        <v>1</v>
      </c>
      <c r="Q610" s="2"/>
      <c r="R610" s="2"/>
      <c r="S610" s="2"/>
    </row>
    <row r="611" customFormat="false" ht="14.25" hidden="false" customHeight="false" outlineLevel="0" collapsed="false">
      <c r="A611" s="4" t="s">
        <v>687</v>
      </c>
      <c r="B611" s="4" t="s">
        <v>686</v>
      </c>
      <c r="C611" s="5" t="n">
        <v>1</v>
      </c>
      <c r="D611" s="5" t="n">
        <v>174</v>
      </c>
      <c r="E611" s="5" t="n">
        <v>23</v>
      </c>
      <c r="F611" s="5" t="n">
        <v>0</v>
      </c>
      <c r="G611" s="5" t="n">
        <v>0</v>
      </c>
      <c r="H611" s="5" t="n">
        <v>174</v>
      </c>
      <c r="I611" s="6" t="n">
        <v>4</v>
      </c>
      <c r="J611" s="6" t="n">
        <v>12.4</v>
      </c>
      <c r="K611" s="6" t="n">
        <v>16</v>
      </c>
      <c r="L611" s="6" t="n">
        <v>15.7</v>
      </c>
      <c r="M611" s="4" t="str">
        <f aca="false">IF(AND(K611="",L611=""),"No closed tickets",IF(K611="","MISSING in catalog",IF(L611="","No valid closed tickets",IF(AND(ABS(K611-L611)&gt;=$S$3,ABS(K611-L611)&gt;=$S$4*MAX(L611,1)),"FAR OFF","OK"))))</f>
        <v>OK</v>
      </c>
      <c r="N611" s="7" t="n">
        <f aca="false">D611/SUMIFS($D$2:$D$741,$B$2:$B$741,B611)</f>
        <v>0.115079365079365</v>
      </c>
      <c r="O611" s="7" t="n">
        <f aca="false">SUMIFS($D$2:D611,$B$2:B611,B611)/SUMIFS($D$2:$D$741,$B$2:$B$741,B611)</f>
        <v>0.716269841269841</v>
      </c>
      <c r="P611" s="8" t="b">
        <f aca="false">O611-N611&lt;$S$2</f>
        <v>1</v>
      </c>
      <c r="Q611" s="2"/>
      <c r="R611" s="2"/>
      <c r="S611" s="2"/>
    </row>
    <row r="612" customFormat="false" ht="14.25" hidden="false" customHeight="false" outlineLevel="0" collapsed="false">
      <c r="A612" s="4" t="s">
        <v>688</v>
      </c>
      <c r="B612" s="4" t="s">
        <v>686</v>
      </c>
      <c r="C612" s="5" t="n">
        <v>1</v>
      </c>
      <c r="D612" s="5" t="n">
        <v>121</v>
      </c>
      <c r="E612" s="5" t="n">
        <v>0</v>
      </c>
      <c r="F612" s="5" t="n">
        <v>0</v>
      </c>
      <c r="G612" s="5" t="n">
        <v>0</v>
      </c>
      <c r="H612" s="5" t="n">
        <v>121</v>
      </c>
      <c r="I612" s="6" t="n">
        <v>2</v>
      </c>
      <c r="J612" s="6" t="n">
        <v>2.1</v>
      </c>
      <c r="K612" s="6" t="n">
        <v>5</v>
      </c>
      <c r="L612" s="6" t="n">
        <v>5</v>
      </c>
      <c r="M612" s="4" t="str">
        <f aca="false">IF(AND(K612="",L612=""),"No closed tickets",IF(K612="","MISSING in catalog",IF(L612="","No valid closed tickets",IF(AND(ABS(K612-L612)&gt;=$S$3,ABS(K612-L612)&gt;=$S$4*MAX(L612,1)),"FAR OFF","OK"))))</f>
        <v>OK</v>
      </c>
      <c r="N612" s="7" t="n">
        <f aca="false">D612/SUMIFS($D$2:$D$741,$B$2:$B$741,B612)</f>
        <v>0.080026455026455</v>
      </c>
      <c r="O612" s="7" t="n">
        <f aca="false">SUMIFS($D$2:D612,$B$2:B612,B612)/SUMIFS($D$2:$D$741,$B$2:$B$741,B612)</f>
        <v>0.796296296296296</v>
      </c>
      <c r="P612" s="8" t="b">
        <f aca="false">O612-N612&lt;$S$2</f>
        <v>1</v>
      </c>
      <c r="Q612" s="2"/>
      <c r="R612" s="2"/>
      <c r="S612" s="2"/>
    </row>
    <row r="613" customFormat="false" ht="14.25" hidden="false" customHeight="false" outlineLevel="0" collapsed="false">
      <c r="A613" s="4" t="s">
        <v>689</v>
      </c>
      <c r="B613" s="4" t="s">
        <v>686</v>
      </c>
      <c r="C613" s="5" t="n">
        <v>1</v>
      </c>
      <c r="D613" s="5" t="n">
        <v>120</v>
      </c>
      <c r="E613" s="5" t="n">
        <v>24</v>
      </c>
      <c r="F613" s="5" t="n">
        <v>0</v>
      </c>
      <c r="G613" s="5" t="n">
        <v>0</v>
      </c>
      <c r="H613" s="5" t="n">
        <v>120</v>
      </c>
      <c r="I613" s="6" t="n">
        <v>3</v>
      </c>
      <c r="J613" s="6" t="n">
        <v>7</v>
      </c>
      <c r="K613" s="6" t="n">
        <v>11</v>
      </c>
      <c r="L613" s="6" t="n">
        <v>11</v>
      </c>
      <c r="M613" s="4" t="str">
        <f aca="false">IF(AND(K613="",L613=""),"No closed tickets",IF(K613="","MISSING in catalog",IF(L613="","No valid closed tickets",IF(AND(ABS(K613-L613)&gt;=$S$3,ABS(K613-L613)&gt;=$S$4*MAX(L613,1)),"FAR OFF","OK"))))</f>
        <v>OK</v>
      </c>
      <c r="N613" s="7" t="n">
        <f aca="false">D613/SUMIFS($D$2:$D$741,$B$2:$B$741,B613)</f>
        <v>0.0793650793650794</v>
      </c>
      <c r="O613" s="7" t="n">
        <f aca="false">SUMIFS($D$2:D613,$B$2:B613,B613)/SUMIFS($D$2:$D$741,$B$2:$B$741,B613)</f>
        <v>0.875661375661376</v>
      </c>
      <c r="P613" s="8" t="b">
        <f aca="false">O613-N613&lt;$S$2</f>
        <v>1</v>
      </c>
      <c r="Q613" s="2"/>
      <c r="R613" s="2"/>
      <c r="S613" s="2"/>
    </row>
    <row r="614" customFormat="false" ht="14.25" hidden="false" customHeight="false" outlineLevel="0" collapsed="false">
      <c r="A614" s="4" t="s">
        <v>690</v>
      </c>
      <c r="B614" s="4" t="s">
        <v>686</v>
      </c>
      <c r="C614" s="5" t="n">
        <v>1</v>
      </c>
      <c r="D614" s="5" t="n">
        <v>67</v>
      </c>
      <c r="E614" s="5" t="n">
        <v>7</v>
      </c>
      <c r="F614" s="5" t="n">
        <v>0</v>
      </c>
      <c r="G614" s="5" t="n">
        <v>0</v>
      </c>
      <c r="H614" s="5" t="n">
        <v>67</v>
      </c>
      <c r="I614" s="6" t="n">
        <v>7</v>
      </c>
      <c r="J614" s="6" t="n">
        <v>24.6</v>
      </c>
      <c r="K614" s="6" t="n">
        <v>28</v>
      </c>
      <c r="L614" s="6" t="n">
        <v>27.8</v>
      </c>
      <c r="M614" s="4" t="str">
        <f aca="false">IF(AND(K614="",L614=""),"No closed tickets",IF(K614="","MISSING in catalog",IF(L614="","No valid closed tickets",IF(AND(ABS(K614-L614)&gt;=$S$3,ABS(K614-L614)&gt;=$S$4*MAX(L614,1)),"FAR OFF","OK"))))</f>
        <v>OK</v>
      </c>
      <c r="N614" s="7" t="n">
        <f aca="false">D614/SUMIFS($D$2:$D$741,$B$2:$B$741,B614)</f>
        <v>0.0443121693121693</v>
      </c>
      <c r="O614" s="7" t="n">
        <f aca="false">SUMIFS($D$2:D614,$B$2:B614,B614)/SUMIFS($D$2:$D$741,$B$2:$B$741,B614)</f>
        <v>0.919973544973545</v>
      </c>
      <c r="P614" s="8" t="b">
        <f aca="false">O614-N614&lt;$S$2</f>
        <v>1</v>
      </c>
      <c r="Q614" s="2"/>
      <c r="R614" s="2"/>
      <c r="S614" s="2"/>
    </row>
    <row r="615" customFormat="false" ht="14.25" hidden="false" customHeight="false" outlineLevel="0" collapsed="false">
      <c r="A615" s="4" t="s">
        <v>691</v>
      </c>
      <c r="B615" s="4" t="s">
        <v>686</v>
      </c>
      <c r="C615" s="5" t="n">
        <v>1</v>
      </c>
      <c r="D615" s="5" t="n">
        <v>37</v>
      </c>
      <c r="E615" s="5" t="n">
        <v>6</v>
      </c>
      <c r="F615" s="5" t="n">
        <v>0</v>
      </c>
      <c r="G615" s="5" t="n">
        <v>0</v>
      </c>
      <c r="H615" s="5" t="n">
        <v>37</v>
      </c>
      <c r="I615" s="6" t="n">
        <v>2</v>
      </c>
      <c r="J615" s="6" t="n">
        <v>8.9</v>
      </c>
      <c r="K615" s="6" t="n">
        <v>16</v>
      </c>
      <c r="L615" s="6" t="n">
        <v>16</v>
      </c>
      <c r="M615" s="4" t="str">
        <f aca="false">IF(AND(K615="",L615=""),"No closed tickets",IF(K615="","MISSING in catalog",IF(L615="","No valid closed tickets",IF(AND(ABS(K615-L615)&gt;=$S$3,ABS(K615-L615)&gt;=$S$4*MAX(L615,1)),"FAR OFF","OK"))))</f>
        <v>OK</v>
      </c>
      <c r="N615" s="7" t="n">
        <f aca="false">D615/SUMIFS($D$2:$D$741,$B$2:$B$741,B615)</f>
        <v>0.0244708994708995</v>
      </c>
      <c r="O615" s="7" t="n">
        <f aca="false">SUMIFS($D$2:D615,$B$2:B615,B615)/SUMIFS($D$2:$D$741,$B$2:$B$741,B615)</f>
        <v>0.944444444444444</v>
      </c>
      <c r="P615" s="8" t="b">
        <f aca="false">O615-N615&lt;$S$2</f>
        <v>1</v>
      </c>
      <c r="Q615" s="2"/>
      <c r="R615" s="2"/>
      <c r="S615" s="2"/>
    </row>
    <row r="616" customFormat="false" ht="14.25" hidden="false" customHeight="false" outlineLevel="0" collapsed="false">
      <c r="A616" s="4" t="s">
        <v>692</v>
      </c>
      <c r="B616" s="4" t="s">
        <v>686</v>
      </c>
      <c r="C616" s="5" t="n">
        <v>2</v>
      </c>
      <c r="D616" s="5" t="n">
        <v>25</v>
      </c>
      <c r="E616" s="5" t="n">
        <v>0</v>
      </c>
      <c r="F616" s="5" t="n">
        <v>0</v>
      </c>
      <c r="G616" s="5" t="n">
        <v>0</v>
      </c>
      <c r="H616" s="5" t="n">
        <v>25</v>
      </c>
      <c r="I616" s="6" t="n">
        <v>11</v>
      </c>
      <c r="J616" s="6" t="n">
        <v>17.5</v>
      </c>
      <c r="K616" s="6" t="n">
        <v>24</v>
      </c>
      <c r="L616" s="6" t="n">
        <v>24</v>
      </c>
      <c r="M616" s="4" t="str">
        <f aca="false">IF(AND(K616="",L616=""),"No closed tickets",IF(K616="","MISSING in catalog",IF(L616="","No valid closed tickets",IF(AND(ABS(K616-L616)&gt;=$S$3,ABS(K616-L616)&gt;=$S$4*MAX(L616,1)),"FAR OFF","OK"))))</f>
        <v>OK</v>
      </c>
      <c r="N616" s="7" t="n">
        <f aca="false">D616/SUMIFS($D$2:$D$741,$B$2:$B$741,B616)</f>
        <v>0.0165343915343915</v>
      </c>
      <c r="O616" s="7" t="n">
        <f aca="false">SUMIFS($D$2:D616,$B$2:B616,B616)/SUMIFS($D$2:$D$741,$B$2:$B$741,B616)</f>
        <v>0.960978835978836</v>
      </c>
      <c r="P616" s="8" t="b">
        <f aca="false">O616-N616&lt;$S$2</f>
        <v>1</v>
      </c>
      <c r="Q616" s="2"/>
      <c r="R616" s="2"/>
      <c r="S616" s="2"/>
    </row>
    <row r="617" customFormat="false" ht="14.25" hidden="false" customHeight="false" outlineLevel="0" collapsed="false">
      <c r="A617" s="4" t="s">
        <v>693</v>
      </c>
      <c r="B617" s="4" t="s">
        <v>686</v>
      </c>
      <c r="C617" s="5" t="n">
        <v>1</v>
      </c>
      <c r="D617" s="5" t="n">
        <v>18</v>
      </c>
      <c r="E617" s="5" t="n">
        <v>0</v>
      </c>
      <c r="F617" s="5" t="n">
        <v>0</v>
      </c>
      <c r="G617" s="5" t="n">
        <v>0</v>
      </c>
      <c r="H617" s="5" t="n">
        <v>18</v>
      </c>
      <c r="I617" s="6" t="n">
        <v>3</v>
      </c>
      <c r="J617" s="6" t="n">
        <v>5.1</v>
      </c>
      <c r="K617" s="6" t="n">
        <v>11</v>
      </c>
      <c r="L617" s="6" t="n">
        <v>11.4</v>
      </c>
      <c r="M617" s="4" t="str">
        <f aca="false">IF(AND(K617="",L617=""),"No closed tickets",IF(K617="","MISSING in catalog",IF(L617="","No valid closed tickets",IF(AND(ABS(K617-L617)&gt;=$S$3,ABS(K617-L617)&gt;=$S$4*MAX(L617,1)),"FAR OFF","OK"))))</f>
        <v>OK</v>
      </c>
      <c r="N617" s="7" t="n">
        <f aca="false">D617/SUMIFS($D$2:$D$741,$B$2:$B$741,B617)</f>
        <v>0.0119047619047619</v>
      </c>
      <c r="O617" s="7" t="n">
        <f aca="false">SUMIFS($D$2:D617,$B$2:B617,B617)/SUMIFS($D$2:$D$741,$B$2:$B$741,B617)</f>
        <v>0.972883597883598</v>
      </c>
      <c r="P617" s="8" t="b">
        <f aca="false">O617-N617&lt;$S$2</f>
        <v>0</v>
      </c>
      <c r="Q617" s="2"/>
      <c r="R617" s="2"/>
      <c r="S617" s="2"/>
    </row>
    <row r="618" customFormat="false" ht="14.25" hidden="false" customHeight="false" outlineLevel="0" collapsed="false">
      <c r="A618" s="4" t="s">
        <v>694</v>
      </c>
      <c r="B618" s="4" t="s">
        <v>686</v>
      </c>
      <c r="C618" s="5" t="n">
        <v>1</v>
      </c>
      <c r="D618" s="5" t="n">
        <v>14</v>
      </c>
      <c r="E618" s="5" t="n">
        <v>2</v>
      </c>
      <c r="F618" s="5" t="n">
        <v>0</v>
      </c>
      <c r="G618" s="5" t="n">
        <v>0</v>
      </c>
      <c r="H618" s="5" t="n">
        <v>14</v>
      </c>
      <c r="I618" s="6" t="n">
        <v>8.5</v>
      </c>
      <c r="J618" s="6" t="n">
        <v>27.9</v>
      </c>
      <c r="K618" s="6" t="n">
        <v>20</v>
      </c>
      <c r="L618" s="6" t="n">
        <v>19.6</v>
      </c>
      <c r="M618" s="4" t="str">
        <f aca="false">IF(AND(K618="",L618=""),"No closed tickets",IF(K618="","MISSING in catalog",IF(L618="","No valid closed tickets",IF(AND(ABS(K618-L618)&gt;=$S$3,ABS(K618-L618)&gt;=$S$4*MAX(L618,1)),"FAR OFF","OK"))))</f>
        <v>OK</v>
      </c>
      <c r="N618" s="7" t="n">
        <f aca="false">D618/SUMIFS($D$2:$D$741,$B$2:$B$741,B618)</f>
        <v>0.00925925925925926</v>
      </c>
      <c r="O618" s="7" t="n">
        <f aca="false">SUMIFS($D$2:D618,$B$2:B618,B618)/SUMIFS($D$2:$D$741,$B$2:$B$741,B618)</f>
        <v>0.982142857142857</v>
      </c>
      <c r="P618" s="8" t="b">
        <f aca="false">O618-N618&lt;$S$2</f>
        <v>0</v>
      </c>
      <c r="Q618" s="2"/>
      <c r="R618" s="2"/>
      <c r="S618" s="2"/>
    </row>
    <row r="619" customFormat="false" ht="14.25" hidden="false" customHeight="false" outlineLevel="0" collapsed="false">
      <c r="A619" s="4" t="s">
        <v>695</v>
      </c>
      <c r="B619" s="4" t="s">
        <v>686</v>
      </c>
      <c r="C619" s="5" t="n">
        <v>2</v>
      </c>
      <c r="D619" s="5" t="n">
        <v>14</v>
      </c>
      <c r="E619" s="5" t="n">
        <v>0</v>
      </c>
      <c r="F619" s="5" t="n">
        <v>0</v>
      </c>
      <c r="G619" s="5" t="n">
        <v>0</v>
      </c>
      <c r="H619" s="5" t="n">
        <v>14</v>
      </c>
      <c r="I619" s="6" t="n">
        <v>1.5</v>
      </c>
      <c r="J619" s="6" t="n">
        <v>3.1</v>
      </c>
      <c r="K619" s="6" t="n">
        <v>7</v>
      </c>
      <c r="L619" s="6" t="n">
        <v>7</v>
      </c>
      <c r="M619" s="4" t="str">
        <f aca="false">IF(AND(K619="",L619=""),"No closed tickets",IF(K619="","MISSING in catalog",IF(L619="","No valid closed tickets",IF(AND(ABS(K619-L619)&gt;=$S$3,ABS(K619-L619)&gt;=$S$4*MAX(L619,1)),"FAR OFF","OK"))))</f>
        <v>OK</v>
      </c>
      <c r="N619" s="7" t="n">
        <f aca="false">D619/SUMIFS($D$2:$D$741,$B$2:$B$741,B619)</f>
        <v>0.00925925925925926</v>
      </c>
      <c r="O619" s="7" t="n">
        <f aca="false">SUMIFS($D$2:D619,$B$2:B619,B619)/SUMIFS($D$2:$D$741,$B$2:$B$741,B619)</f>
        <v>0.991402116402116</v>
      </c>
      <c r="P619" s="8" t="b">
        <f aca="false">O619-N619&lt;$S$2</f>
        <v>0</v>
      </c>
      <c r="Q619" s="2"/>
      <c r="R619" s="2"/>
      <c r="S619" s="2"/>
    </row>
    <row r="620" customFormat="false" ht="14.25" hidden="false" customHeight="false" outlineLevel="0" collapsed="false">
      <c r="A620" s="4" t="s">
        <v>696</v>
      </c>
      <c r="B620" s="4" t="s">
        <v>686</v>
      </c>
      <c r="C620" s="5" t="n">
        <v>2</v>
      </c>
      <c r="D620" s="5" t="n">
        <v>7</v>
      </c>
      <c r="E620" s="5" t="n">
        <v>0</v>
      </c>
      <c r="F620" s="5" t="n">
        <v>0</v>
      </c>
      <c r="G620" s="5" t="n">
        <v>0</v>
      </c>
      <c r="H620" s="5" t="n">
        <v>7</v>
      </c>
      <c r="I620" s="6" t="n">
        <v>19</v>
      </c>
      <c r="J620" s="6" t="n">
        <v>17.3</v>
      </c>
      <c r="K620" s="6" t="n">
        <v>24</v>
      </c>
      <c r="L620" s="6" t="n">
        <v>24</v>
      </c>
      <c r="M620" s="4" t="str">
        <f aca="false">IF(AND(K620="",L620=""),"No closed tickets",IF(K620="","MISSING in catalog",IF(L620="","No valid closed tickets",IF(AND(ABS(K620-L620)&gt;=$S$3,ABS(K620-L620)&gt;=$S$4*MAX(L620,1)),"FAR OFF","OK"))))</f>
        <v>OK</v>
      </c>
      <c r="N620" s="7" t="n">
        <f aca="false">D620/SUMIFS($D$2:$D$741,$B$2:$B$741,B620)</f>
        <v>0.00462962962962963</v>
      </c>
      <c r="O620" s="7" t="n">
        <f aca="false">SUMIFS($D$2:D620,$B$2:B620,B620)/SUMIFS($D$2:$D$741,$B$2:$B$741,B620)</f>
        <v>0.996031746031746</v>
      </c>
      <c r="P620" s="8" t="b">
        <f aca="false">O620-N620&lt;$S$2</f>
        <v>0</v>
      </c>
      <c r="Q620" s="2"/>
      <c r="R620" s="2"/>
      <c r="S620" s="2"/>
    </row>
    <row r="621" customFormat="false" ht="14.25" hidden="false" customHeight="false" outlineLevel="0" collapsed="false">
      <c r="A621" s="4" t="s">
        <v>697</v>
      </c>
      <c r="B621" s="4" t="s">
        <v>686</v>
      </c>
      <c r="C621" s="5" t="n">
        <v>1</v>
      </c>
      <c r="D621" s="5" t="n">
        <v>3</v>
      </c>
      <c r="E621" s="5" t="n">
        <v>2</v>
      </c>
      <c r="F621" s="5" t="n">
        <v>0</v>
      </c>
      <c r="G621" s="5" t="n">
        <v>0</v>
      </c>
      <c r="H621" s="5" t="n">
        <v>3</v>
      </c>
      <c r="I621" s="6" t="n">
        <v>4</v>
      </c>
      <c r="J621" s="6" t="n">
        <v>4</v>
      </c>
      <c r="K621" s="6" t="n">
        <v>5</v>
      </c>
      <c r="L621" s="6" t="n">
        <v>4.8</v>
      </c>
      <c r="M621" s="4" t="str">
        <f aca="false">IF(AND(K621="",L621=""),"No closed tickets",IF(K621="","MISSING in catalog",IF(L621="","No valid closed tickets",IF(AND(ABS(K621-L621)&gt;=$S$3,ABS(K621-L621)&gt;=$S$4*MAX(L621,1)),"FAR OFF","OK"))))</f>
        <v>OK</v>
      </c>
      <c r="N621" s="7" t="n">
        <f aca="false">D621/SUMIFS($D$2:$D$741,$B$2:$B$741,B621)</f>
        <v>0.00198412698412698</v>
      </c>
      <c r="O621" s="7" t="n">
        <f aca="false">SUMIFS($D$2:D621,$B$2:B621,B621)/SUMIFS($D$2:$D$741,$B$2:$B$741,B621)</f>
        <v>0.998015873015873</v>
      </c>
      <c r="P621" s="8" t="b">
        <f aca="false">O621-N621&lt;$S$2</f>
        <v>0</v>
      </c>
      <c r="Q621" s="2"/>
      <c r="R621" s="2"/>
      <c r="S621" s="2"/>
    </row>
    <row r="622" customFormat="false" ht="14.25" hidden="false" customHeight="false" outlineLevel="0" collapsed="false">
      <c r="A622" s="4" t="s">
        <v>698</v>
      </c>
      <c r="B622" s="4" t="s">
        <v>686</v>
      </c>
      <c r="C622" s="5" t="n">
        <v>1</v>
      </c>
      <c r="D622" s="5" t="n">
        <v>2</v>
      </c>
      <c r="E622" s="5" t="n">
        <v>0</v>
      </c>
      <c r="F622" s="5" t="n">
        <v>0</v>
      </c>
      <c r="G622" s="5" t="n">
        <v>0</v>
      </c>
      <c r="H622" s="5" t="n">
        <v>2</v>
      </c>
      <c r="I622" s="6" t="n">
        <v>36</v>
      </c>
      <c r="J622" s="6" t="n">
        <v>36</v>
      </c>
      <c r="K622" s="6" t="n">
        <v>49</v>
      </c>
      <c r="L622" s="6" t="n">
        <v>48.8</v>
      </c>
      <c r="M622" s="4" t="str">
        <f aca="false">IF(AND(K622="",L622=""),"No closed tickets",IF(K622="","MISSING in catalog",IF(L622="","No valid closed tickets",IF(AND(ABS(K622-L622)&gt;=$S$3,ABS(K622-L622)&gt;=$S$4*MAX(L622,1)),"FAR OFF","OK"))))</f>
        <v>OK</v>
      </c>
      <c r="N622" s="7" t="n">
        <f aca="false">D622/SUMIFS($D$2:$D$741,$B$2:$B$741,B622)</f>
        <v>0.00132275132275132</v>
      </c>
      <c r="O622" s="7" t="n">
        <f aca="false">SUMIFS($D$2:D622,$B$2:B622,B622)/SUMIFS($D$2:$D$741,$B$2:$B$741,B622)</f>
        <v>0.999338624338624</v>
      </c>
      <c r="P622" s="8" t="b">
        <f aca="false">O622-N622&lt;$S$2</f>
        <v>0</v>
      </c>
      <c r="Q622" s="2"/>
      <c r="R622" s="2"/>
      <c r="S622" s="2"/>
    </row>
    <row r="623" customFormat="false" ht="14.25" hidden="false" customHeight="false" outlineLevel="0" collapsed="false">
      <c r="A623" s="4" t="s">
        <v>699</v>
      </c>
      <c r="B623" s="4" t="s">
        <v>686</v>
      </c>
      <c r="C623" s="5" t="n">
        <v>1</v>
      </c>
      <c r="D623" s="5" t="n">
        <v>1</v>
      </c>
      <c r="E623" s="5" t="n">
        <v>0</v>
      </c>
      <c r="F623" s="5" t="n">
        <v>0</v>
      </c>
      <c r="G623" s="5" t="n">
        <v>0</v>
      </c>
      <c r="H623" s="5" t="n">
        <v>1</v>
      </c>
      <c r="I623" s="6" t="n">
        <v>9</v>
      </c>
      <c r="J623" s="6" t="n">
        <v>9</v>
      </c>
      <c r="K623" s="6" t="n">
        <v>9</v>
      </c>
      <c r="L623" s="6" t="n">
        <v>9</v>
      </c>
      <c r="M623" s="4" t="str">
        <f aca="false">IF(AND(K623="",L623=""),"No closed tickets",IF(K623="","MISSING in catalog",IF(L623="","No valid closed tickets",IF(AND(ABS(K623-L623)&gt;=$S$3,ABS(K623-L623)&gt;=$S$4*MAX(L623,1)),"FAR OFF","OK"))))</f>
        <v>OK</v>
      </c>
      <c r="N623" s="7" t="n">
        <f aca="false">D623/SUMIFS($D$2:$D$741,$B$2:$B$741,B623)</f>
        <v>0.000661375661375661</v>
      </c>
      <c r="O623" s="7" t="n">
        <f aca="false">SUMIFS($D$2:D623,$B$2:B623,B623)/SUMIFS($D$2:$D$741,$B$2:$B$741,B623)</f>
        <v>1</v>
      </c>
      <c r="P623" s="8" t="b">
        <f aca="false">O623-N623&lt;$S$2</f>
        <v>0</v>
      </c>
      <c r="Q623" s="2"/>
      <c r="R623" s="2"/>
      <c r="S623" s="2"/>
    </row>
    <row r="624" customFormat="false" ht="14.25" hidden="false" customHeight="false" outlineLevel="0" collapsed="false">
      <c r="A624" s="10" t="s">
        <v>700</v>
      </c>
      <c r="B624" s="10" t="s">
        <v>701</v>
      </c>
      <c r="C624" s="11" t="n">
        <v>1</v>
      </c>
      <c r="D624" s="11" t="n">
        <v>332</v>
      </c>
      <c r="E624" s="11" t="n">
        <v>120</v>
      </c>
      <c r="F624" s="11" t="n">
        <v>15</v>
      </c>
      <c r="G624" s="11" t="n">
        <v>1</v>
      </c>
      <c r="H624" s="11" t="n">
        <v>317</v>
      </c>
      <c r="I624" s="12" t="n">
        <v>15</v>
      </c>
      <c r="J624" s="12" t="n">
        <v>17.7</v>
      </c>
      <c r="K624" s="12" t="n">
        <v>31</v>
      </c>
      <c r="L624" s="12" t="n">
        <v>30.8</v>
      </c>
      <c r="M624" s="10" t="str">
        <f aca="false">IF(AND(K624="",L624=""),"No closed tickets",IF(K624="","MISSING in catalog",IF(L624="","No valid closed tickets",IF(AND(ABS(K624-L624)&gt;=$S$3,ABS(K624-L624)&gt;=$S$4*MAX(L624,1)),"FAR OFF","OK"))))</f>
        <v>OK</v>
      </c>
      <c r="N624" s="13" t="n">
        <f aca="false">D624/SUMIFS($D$2:$D$741,$B$2:$B$741,B624)</f>
        <v>0.433420365535248</v>
      </c>
      <c r="O624" s="13" t="n">
        <f aca="false">SUMIFS($D$2:D624,$B$2:B624,B624)/SUMIFS($D$2:$D$741,$B$2:$B$741,B624)</f>
        <v>0.433420365535248</v>
      </c>
      <c r="P624" s="14" t="b">
        <f aca="false">O624-N624&lt;$S$2</f>
        <v>1</v>
      </c>
      <c r="Q624" s="2"/>
      <c r="R624" s="2"/>
      <c r="S624" s="2"/>
    </row>
    <row r="625" customFormat="false" ht="14.25" hidden="false" customHeight="false" outlineLevel="0" collapsed="false">
      <c r="A625" s="4" t="s">
        <v>702</v>
      </c>
      <c r="B625" s="4" t="s">
        <v>701</v>
      </c>
      <c r="C625" s="5" t="n">
        <v>2</v>
      </c>
      <c r="D625" s="5" t="n">
        <v>161</v>
      </c>
      <c r="E625" s="5" t="n">
        <v>0</v>
      </c>
      <c r="F625" s="5" t="n">
        <v>1</v>
      </c>
      <c r="G625" s="5" t="n">
        <v>1</v>
      </c>
      <c r="H625" s="5" t="n">
        <v>160</v>
      </c>
      <c r="I625" s="6" t="n">
        <v>7</v>
      </c>
      <c r="J625" s="6" t="n">
        <v>42.9</v>
      </c>
      <c r="K625" s="6" t="n">
        <v>158</v>
      </c>
      <c r="L625" s="6" t="n">
        <v>158.4</v>
      </c>
      <c r="M625" s="4" t="str">
        <f aca="false">IF(AND(K625="",L625=""),"No closed tickets",IF(K625="","MISSING in catalog",IF(L625="","No valid closed tickets",IF(AND(ABS(K625-L625)&gt;=$S$3,ABS(K625-L625)&gt;=$S$4*MAX(L625,1)),"FAR OFF","OK"))))</f>
        <v>OK</v>
      </c>
      <c r="N625" s="7" t="n">
        <f aca="false">D625/SUMIFS($D$2:$D$741,$B$2:$B$741,B625)</f>
        <v>0.210182767624021</v>
      </c>
      <c r="O625" s="7" t="n">
        <f aca="false">SUMIFS($D$2:D625,$B$2:B625,B625)/SUMIFS($D$2:$D$741,$B$2:$B$741,B625)</f>
        <v>0.643603133159269</v>
      </c>
      <c r="P625" s="8" t="b">
        <f aca="false">O625-N625&lt;$S$2</f>
        <v>1</v>
      </c>
      <c r="Q625" s="2"/>
      <c r="R625" s="2"/>
      <c r="S625" s="2"/>
    </row>
    <row r="626" customFormat="false" ht="14.25" hidden="false" customHeight="false" outlineLevel="0" collapsed="false">
      <c r="A626" s="4" t="s">
        <v>703</v>
      </c>
      <c r="B626" s="4" t="s">
        <v>701</v>
      </c>
      <c r="C626" s="5" t="n">
        <v>1</v>
      </c>
      <c r="D626" s="5" t="n">
        <v>154</v>
      </c>
      <c r="E626" s="5" t="n">
        <v>35</v>
      </c>
      <c r="F626" s="5" t="n">
        <v>0</v>
      </c>
      <c r="G626" s="5" t="n">
        <v>0</v>
      </c>
      <c r="H626" s="5" t="n">
        <v>154</v>
      </c>
      <c r="I626" s="6" t="n">
        <v>20</v>
      </c>
      <c r="J626" s="6" t="n">
        <v>26.1</v>
      </c>
      <c r="K626" s="6" t="n">
        <v>52</v>
      </c>
      <c r="L626" s="6" t="n">
        <v>52</v>
      </c>
      <c r="M626" s="4" t="str">
        <f aca="false">IF(AND(K626="",L626=""),"No closed tickets",IF(K626="","MISSING in catalog",IF(L626="","No valid closed tickets",IF(AND(ABS(K626-L626)&gt;=$S$3,ABS(K626-L626)&gt;=$S$4*MAX(L626,1)),"FAR OFF","OK"))))</f>
        <v>OK</v>
      </c>
      <c r="N626" s="7" t="n">
        <f aca="false">D626/SUMIFS($D$2:$D$741,$B$2:$B$741,B626)</f>
        <v>0.201044386422977</v>
      </c>
      <c r="O626" s="7" t="n">
        <f aca="false">SUMIFS($D$2:D626,$B$2:B626,B626)/SUMIFS($D$2:$D$741,$B$2:$B$741,B626)</f>
        <v>0.844647519582245</v>
      </c>
      <c r="P626" s="8" t="b">
        <f aca="false">O626-N626&lt;$S$2</f>
        <v>1</v>
      </c>
      <c r="Q626" s="2"/>
      <c r="R626" s="2"/>
      <c r="S626" s="2"/>
    </row>
    <row r="627" customFormat="false" ht="14.25" hidden="false" customHeight="false" outlineLevel="0" collapsed="false">
      <c r="A627" s="4" t="s">
        <v>704</v>
      </c>
      <c r="B627" s="4" t="s">
        <v>701</v>
      </c>
      <c r="C627" s="5" t="n">
        <v>1</v>
      </c>
      <c r="D627" s="5" t="n">
        <v>99</v>
      </c>
      <c r="E627" s="5" t="n">
        <v>47</v>
      </c>
      <c r="F627" s="5" t="n">
        <v>2</v>
      </c>
      <c r="G627" s="5" t="n">
        <v>0</v>
      </c>
      <c r="H627" s="5" t="n">
        <v>97</v>
      </c>
      <c r="I627" s="6" t="n">
        <v>9</v>
      </c>
      <c r="J627" s="6" t="n">
        <v>12.7</v>
      </c>
      <c r="K627" s="6" t="n">
        <v>27</v>
      </c>
      <c r="L627" s="6" t="n">
        <v>27</v>
      </c>
      <c r="M627" s="4" t="str">
        <f aca="false">IF(AND(K627="",L627=""),"No closed tickets",IF(K627="","MISSING in catalog",IF(L627="","No valid closed tickets",IF(AND(ABS(K627-L627)&gt;=$S$3,ABS(K627-L627)&gt;=$S$4*MAX(L627,1)),"FAR OFF","OK"))))</f>
        <v>OK</v>
      </c>
      <c r="N627" s="7" t="n">
        <f aca="false">D627/SUMIFS($D$2:$D$741,$B$2:$B$741,B627)</f>
        <v>0.129242819843342</v>
      </c>
      <c r="O627" s="7" t="n">
        <f aca="false">SUMIFS($D$2:D627,$B$2:B627,B627)/SUMIFS($D$2:$D$741,$B$2:$B$741,B627)</f>
        <v>0.973890339425587</v>
      </c>
      <c r="P627" s="8" t="b">
        <f aca="false">O627-N627&lt;$S$2</f>
        <v>1</v>
      </c>
      <c r="Q627" s="2"/>
      <c r="R627" s="2"/>
      <c r="S627" s="2"/>
    </row>
    <row r="628" customFormat="false" ht="14.25" hidden="false" customHeight="false" outlineLevel="0" collapsed="false">
      <c r="A628" s="4" t="s">
        <v>705</v>
      </c>
      <c r="B628" s="4" t="s">
        <v>701</v>
      </c>
      <c r="C628" s="5" t="n">
        <v>1</v>
      </c>
      <c r="D628" s="5" t="n">
        <v>11</v>
      </c>
      <c r="E628" s="5" t="n">
        <v>1</v>
      </c>
      <c r="F628" s="5" t="n">
        <v>1</v>
      </c>
      <c r="G628" s="5" t="n">
        <v>0</v>
      </c>
      <c r="H628" s="5" t="n">
        <v>10</v>
      </c>
      <c r="I628" s="6" t="n">
        <v>24</v>
      </c>
      <c r="J628" s="6" t="n">
        <v>31.1</v>
      </c>
      <c r="K628" s="6" t="n">
        <v>65</v>
      </c>
      <c r="L628" s="6" t="n">
        <v>64.9</v>
      </c>
      <c r="M628" s="4" t="str">
        <f aca="false">IF(AND(K628="",L628=""),"No closed tickets",IF(K628="","MISSING in catalog",IF(L628="","No valid closed tickets",IF(AND(ABS(K628-L628)&gt;=$S$3,ABS(K628-L628)&gt;=$S$4*MAX(L628,1)),"FAR OFF","OK"))))</f>
        <v>OK</v>
      </c>
      <c r="N628" s="7" t="n">
        <f aca="false">D628/SUMIFS($D$2:$D$741,$B$2:$B$741,B628)</f>
        <v>0.0143603133159269</v>
      </c>
      <c r="O628" s="7" t="n">
        <f aca="false">SUMIFS($D$2:D628,$B$2:B628,B628)/SUMIFS($D$2:$D$741,$B$2:$B$741,B628)</f>
        <v>0.988250652741514</v>
      </c>
      <c r="P628" s="8" t="b">
        <f aca="false">O628-N628&lt;$S$2</f>
        <v>0</v>
      </c>
      <c r="Q628" s="2"/>
      <c r="R628" s="2"/>
      <c r="S628" s="2"/>
    </row>
    <row r="629" customFormat="false" ht="14.25" hidden="false" customHeight="false" outlineLevel="0" collapsed="false">
      <c r="A629" s="4" t="s">
        <v>706</v>
      </c>
      <c r="B629" s="4" t="s">
        <v>701</v>
      </c>
      <c r="C629" s="5" t="n">
        <v>1</v>
      </c>
      <c r="D629" s="5" t="n">
        <v>9</v>
      </c>
      <c r="E629" s="5" t="n">
        <v>3</v>
      </c>
      <c r="F629" s="5" t="n">
        <v>0</v>
      </c>
      <c r="G629" s="5" t="n">
        <v>0</v>
      </c>
      <c r="H629" s="5" t="n">
        <v>9</v>
      </c>
      <c r="I629" s="6" t="n">
        <v>14</v>
      </c>
      <c r="J629" s="6" t="n">
        <v>30.3</v>
      </c>
      <c r="K629" s="6" t="n">
        <v>81</v>
      </c>
      <c r="L629" s="6" t="n">
        <v>81.4</v>
      </c>
      <c r="M629" s="4" t="str">
        <f aca="false">IF(AND(K629="",L629=""),"No closed tickets",IF(K629="","MISSING in catalog",IF(L629="","No valid closed tickets",IF(AND(ABS(K629-L629)&gt;=$S$3,ABS(K629-L629)&gt;=$S$4*MAX(L629,1)),"FAR OFF","OK"))))</f>
        <v>OK</v>
      </c>
      <c r="N629" s="7" t="n">
        <f aca="false">D629/SUMIFS($D$2:$D$741,$B$2:$B$741,B629)</f>
        <v>0.0117493472584856</v>
      </c>
      <c r="O629" s="7" t="n">
        <f aca="false">SUMIFS($D$2:D629,$B$2:B629,B629)/SUMIFS($D$2:$D$741,$B$2:$B$741,B629)</f>
        <v>1</v>
      </c>
      <c r="P629" s="8" t="b">
        <f aca="false">O629-N629&lt;$S$2</f>
        <v>0</v>
      </c>
      <c r="Q629" s="2"/>
      <c r="R629" s="2"/>
      <c r="S629" s="2"/>
    </row>
    <row r="630" customFormat="false" ht="14.25" hidden="false" customHeight="false" outlineLevel="0" collapsed="false">
      <c r="A630" s="10" t="s">
        <v>707</v>
      </c>
      <c r="B630" s="10" t="s">
        <v>708</v>
      </c>
      <c r="C630" s="11" t="n">
        <v>1</v>
      </c>
      <c r="D630" s="11" t="n">
        <v>16747</v>
      </c>
      <c r="E630" s="11" t="n">
        <v>2104</v>
      </c>
      <c r="F630" s="11" t="n">
        <v>15</v>
      </c>
      <c r="G630" s="11" t="n">
        <v>15</v>
      </c>
      <c r="H630" s="11" t="n">
        <v>16732</v>
      </c>
      <c r="I630" s="12" t="n">
        <v>40</v>
      </c>
      <c r="J630" s="12" t="n">
        <v>53.7</v>
      </c>
      <c r="K630" s="12" t="n">
        <v>74</v>
      </c>
      <c r="L630" s="12" t="n">
        <v>74</v>
      </c>
      <c r="M630" s="10" t="str">
        <f aca="false">IF(AND(K630="",L630=""),"No closed tickets",IF(K630="","MISSING in catalog",IF(L630="","No valid closed tickets",IF(AND(ABS(K630-L630)&gt;=$S$3,ABS(K630-L630)&gt;=$S$4*MAX(L630,1)),"FAR OFF","OK"))))</f>
        <v>OK</v>
      </c>
      <c r="N630" s="13" t="n">
        <f aca="false">D630/SUMIFS($D$2:$D$741,$B$2:$B$741,B630)</f>
        <v>0.13936786391931</v>
      </c>
      <c r="O630" s="13" t="n">
        <f aca="false">SUMIFS($D$2:D630,$B$2:B630,B630)/SUMIFS($D$2:$D$741,$B$2:$B$741,B630)</f>
        <v>0.13936786391931</v>
      </c>
      <c r="P630" s="14" t="b">
        <f aca="false">O630-N630&lt;$S$2</f>
        <v>1</v>
      </c>
      <c r="Q630" s="2"/>
      <c r="R630" s="2"/>
      <c r="S630" s="2"/>
    </row>
    <row r="631" customFormat="false" ht="14.25" hidden="false" customHeight="false" outlineLevel="0" collapsed="false">
      <c r="A631" s="4" t="s">
        <v>709</v>
      </c>
      <c r="B631" s="4" t="s">
        <v>708</v>
      </c>
      <c r="C631" s="5" t="n">
        <v>2</v>
      </c>
      <c r="D631" s="5" t="n">
        <v>10483</v>
      </c>
      <c r="E631" s="5" t="n">
        <v>0</v>
      </c>
      <c r="F631" s="5" t="n">
        <v>0</v>
      </c>
      <c r="G631" s="5" t="n">
        <v>0</v>
      </c>
      <c r="H631" s="5" t="n">
        <v>10483</v>
      </c>
      <c r="I631" s="6" t="n">
        <v>6</v>
      </c>
      <c r="J631" s="6" t="n">
        <v>6.5</v>
      </c>
      <c r="K631" s="6" t="n">
        <v>13</v>
      </c>
      <c r="L631" s="6" t="n">
        <v>13</v>
      </c>
      <c r="M631" s="4" t="str">
        <f aca="false">IF(AND(K631="",L631=""),"No closed tickets",IF(K631="","MISSING in catalog",IF(L631="","No valid closed tickets",IF(AND(ABS(K631-L631)&gt;=$S$3,ABS(K631-L631)&gt;=$S$4*MAX(L631,1)),"FAR OFF","OK"))))</f>
        <v>OK</v>
      </c>
      <c r="N631" s="7" t="n">
        <f aca="false">D631/SUMIFS($D$2:$D$741,$B$2:$B$741,B631)</f>
        <v>0.0872391065543757</v>
      </c>
      <c r="O631" s="7" t="n">
        <f aca="false">SUMIFS($D$2:D631,$B$2:B631,B631)/SUMIFS($D$2:$D$741,$B$2:$B$741,B631)</f>
        <v>0.226606970473686</v>
      </c>
      <c r="P631" s="8" t="b">
        <f aca="false">O631-N631&lt;$S$2</f>
        <v>1</v>
      </c>
      <c r="Q631" s="2"/>
      <c r="R631" s="2"/>
      <c r="S631" s="2"/>
    </row>
    <row r="632" customFormat="false" ht="14.25" hidden="false" customHeight="false" outlineLevel="0" collapsed="false">
      <c r="A632" s="4" t="s">
        <v>710</v>
      </c>
      <c r="B632" s="4" t="s">
        <v>708</v>
      </c>
      <c r="C632" s="5" t="n">
        <v>1</v>
      </c>
      <c r="D632" s="5" t="n">
        <v>8419</v>
      </c>
      <c r="E632" s="5" t="n">
        <v>0</v>
      </c>
      <c r="F632" s="5" t="n">
        <v>0</v>
      </c>
      <c r="G632" s="5" t="n">
        <v>0</v>
      </c>
      <c r="H632" s="5" t="n">
        <v>8419</v>
      </c>
      <c r="I632" s="6" t="n">
        <v>3</v>
      </c>
      <c r="J632" s="6" t="n">
        <v>4.1</v>
      </c>
      <c r="K632" s="6" t="n">
        <v>8</v>
      </c>
      <c r="L632" s="6" t="n">
        <v>8</v>
      </c>
      <c r="M632" s="4" t="str">
        <f aca="false">IF(AND(K632="",L632=""),"No closed tickets",IF(K632="","MISSING in catalog",IF(L632="","No valid closed tickets",IF(AND(ABS(K632-L632)&gt;=$S$3,ABS(K632-L632)&gt;=$S$4*MAX(L632,1)),"FAR OFF","OK"))))</f>
        <v>OK</v>
      </c>
      <c r="N632" s="7" t="n">
        <f aca="false">D632/SUMIFS($D$2:$D$741,$B$2:$B$741,B632)</f>
        <v>0.0700625811391099</v>
      </c>
      <c r="O632" s="7" t="n">
        <f aca="false">SUMIFS($D$2:D632,$B$2:B632,B632)/SUMIFS($D$2:$D$741,$B$2:$B$741,B632)</f>
        <v>0.296669551612796</v>
      </c>
      <c r="P632" s="8" t="b">
        <f aca="false">O632-N632&lt;$S$2</f>
        <v>1</v>
      </c>
      <c r="Q632" s="2"/>
      <c r="R632" s="2"/>
      <c r="S632" s="2"/>
    </row>
    <row r="633" customFormat="false" ht="14.25" hidden="false" customHeight="false" outlineLevel="0" collapsed="false">
      <c r="A633" s="4" t="s">
        <v>711</v>
      </c>
      <c r="B633" s="4" t="s">
        <v>708</v>
      </c>
      <c r="C633" s="5" t="n">
        <v>2</v>
      </c>
      <c r="D633" s="5" t="n">
        <v>6382</v>
      </c>
      <c r="E633" s="5" t="n">
        <v>0</v>
      </c>
      <c r="F633" s="5" t="n">
        <v>0</v>
      </c>
      <c r="G633" s="5" t="n">
        <v>0</v>
      </c>
      <c r="H633" s="5" t="n">
        <v>6382</v>
      </c>
      <c r="I633" s="6" t="n">
        <v>2</v>
      </c>
      <c r="J633" s="6" t="n">
        <v>3.2</v>
      </c>
      <c r="K633" s="6" t="n">
        <v>6</v>
      </c>
      <c r="L633" s="6" t="n">
        <v>6</v>
      </c>
      <c r="M633" s="4" t="str">
        <f aca="false">IF(AND(K633="",L633=""),"No closed tickets",IF(K633="","MISSING in catalog",IF(L633="","No valid closed tickets",IF(AND(ABS(K633-L633)&gt;=$S$3,ABS(K633-L633)&gt;=$S$4*MAX(L633,1)),"FAR OFF","OK"))))</f>
        <v>OK</v>
      </c>
      <c r="N633" s="7" t="n">
        <f aca="false">D633/SUMIFS($D$2:$D$741,$B$2:$B$741,B633)</f>
        <v>0.0531107486435205</v>
      </c>
      <c r="O633" s="7" t="n">
        <f aca="false">SUMIFS($D$2:D633,$B$2:B633,B633)/SUMIFS($D$2:$D$741,$B$2:$B$741,B633)</f>
        <v>0.349780300256316</v>
      </c>
      <c r="P633" s="8" t="b">
        <f aca="false">O633-N633&lt;$S$2</f>
        <v>1</v>
      </c>
      <c r="Q633" s="2"/>
      <c r="R633" s="2"/>
      <c r="S633" s="2"/>
    </row>
    <row r="634" customFormat="false" ht="14.25" hidden="false" customHeight="false" outlineLevel="0" collapsed="false">
      <c r="A634" s="4" t="s">
        <v>712</v>
      </c>
      <c r="B634" s="4" t="s">
        <v>708</v>
      </c>
      <c r="C634" s="5" t="n">
        <v>1</v>
      </c>
      <c r="D634" s="5" t="n">
        <v>6362</v>
      </c>
      <c r="E634" s="5" t="n">
        <v>0</v>
      </c>
      <c r="F634" s="5" t="n">
        <v>0</v>
      </c>
      <c r="G634" s="5" t="n">
        <v>0</v>
      </c>
      <c r="H634" s="5" t="n">
        <v>6362</v>
      </c>
      <c r="I634" s="6" t="n">
        <v>3</v>
      </c>
      <c r="J634" s="6" t="n">
        <v>4</v>
      </c>
      <c r="K634" s="6" t="n">
        <v>7</v>
      </c>
      <c r="L634" s="6" t="n">
        <v>7</v>
      </c>
      <c r="M634" s="4" t="str">
        <f aca="false">IF(AND(K634="",L634=""),"No closed tickets",IF(K634="","MISSING in catalog",IF(L634="","No valid closed tickets",IF(AND(ABS(K634-L634)&gt;=$S$3,ABS(K634-L634)&gt;=$S$4*MAX(L634,1)),"FAR OFF","OK"))))</f>
        <v>OK</v>
      </c>
      <c r="N634" s="7" t="n">
        <f aca="false">D634/SUMIFS($D$2:$D$741,$B$2:$B$741,B634)</f>
        <v>0.0529443094437602</v>
      </c>
      <c r="O634" s="7" t="n">
        <f aca="false">SUMIFS($D$2:D634,$B$2:B634,B634)/SUMIFS($D$2:$D$741,$B$2:$B$741,B634)</f>
        <v>0.402724609700077</v>
      </c>
      <c r="P634" s="8" t="b">
        <f aca="false">O634-N634&lt;$S$2</f>
        <v>1</v>
      </c>
      <c r="Q634" s="2"/>
      <c r="R634" s="2"/>
      <c r="S634" s="2"/>
    </row>
    <row r="635" customFormat="false" ht="14.25" hidden="false" customHeight="false" outlineLevel="0" collapsed="false">
      <c r="A635" s="4" t="s">
        <v>713</v>
      </c>
      <c r="B635" s="4" t="s">
        <v>708</v>
      </c>
      <c r="C635" s="5" t="n">
        <v>1</v>
      </c>
      <c r="D635" s="5" t="n">
        <v>6188</v>
      </c>
      <c r="E635" s="5" t="n">
        <v>0</v>
      </c>
      <c r="F635" s="5" t="n">
        <v>0</v>
      </c>
      <c r="G635" s="5" t="n">
        <v>0</v>
      </c>
      <c r="H635" s="5" t="n">
        <v>6188</v>
      </c>
      <c r="I635" s="6" t="n">
        <v>3</v>
      </c>
      <c r="J635" s="6" t="n">
        <v>3.7</v>
      </c>
      <c r="K635" s="6" t="n">
        <v>7</v>
      </c>
      <c r="L635" s="6" t="n">
        <v>7</v>
      </c>
      <c r="M635" s="4" t="str">
        <f aca="false">IF(AND(K635="",L635=""),"No closed tickets",IF(K635="","MISSING in catalog",IF(L635="","No valid closed tickets",IF(AND(ABS(K635-L635)&gt;=$S$3,ABS(K635-L635)&gt;=$S$4*MAX(L635,1)),"FAR OFF","OK"))))</f>
        <v>OK</v>
      </c>
      <c r="N635" s="7" t="n">
        <f aca="false">D635/SUMIFS($D$2:$D$741,$B$2:$B$741,B635)</f>
        <v>0.0514962884058453</v>
      </c>
      <c r="O635" s="7" t="n">
        <f aca="false">SUMIFS($D$2:D635,$B$2:B635,B635)/SUMIFS($D$2:$D$741,$B$2:$B$741,B635)</f>
        <v>0.454220898105922</v>
      </c>
      <c r="P635" s="8" t="b">
        <f aca="false">O635-N635&lt;$S$2</f>
        <v>1</v>
      </c>
      <c r="Q635" s="2"/>
      <c r="R635" s="2"/>
      <c r="S635" s="2"/>
    </row>
    <row r="636" customFormat="false" ht="14.25" hidden="false" customHeight="false" outlineLevel="0" collapsed="false">
      <c r="A636" s="4" t="s">
        <v>714</v>
      </c>
      <c r="B636" s="4" t="s">
        <v>708</v>
      </c>
      <c r="C636" s="5" t="n">
        <v>2</v>
      </c>
      <c r="D636" s="5" t="n">
        <v>6067</v>
      </c>
      <c r="E636" s="5" t="n">
        <v>0</v>
      </c>
      <c r="F636" s="5" t="n">
        <v>0</v>
      </c>
      <c r="G636" s="5" t="n">
        <v>0</v>
      </c>
      <c r="H636" s="5" t="n">
        <v>6067</v>
      </c>
      <c r="I636" s="6" t="n">
        <v>3</v>
      </c>
      <c r="J636" s="6" t="n">
        <v>3.6</v>
      </c>
      <c r="K636" s="6" t="n">
        <v>7</v>
      </c>
      <c r="L636" s="6" t="n">
        <v>7</v>
      </c>
      <c r="M636" s="4" t="str">
        <f aca="false">IF(AND(K636="",L636=""),"No closed tickets",IF(K636="","MISSING in catalog",IF(L636="","No valid closed tickets",IF(AND(ABS(K636-L636)&gt;=$S$3,ABS(K636-L636)&gt;=$S$4*MAX(L636,1)),"FAR OFF","OK"))))</f>
        <v>OK</v>
      </c>
      <c r="N636" s="7" t="n">
        <f aca="false">D636/SUMIFS($D$2:$D$741,$B$2:$B$741,B636)</f>
        <v>0.0504893312472954</v>
      </c>
      <c r="O636" s="7" t="n">
        <f aca="false">SUMIFS($D$2:D636,$B$2:B636,B636)/SUMIFS($D$2:$D$741,$B$2:$B$741,B636)</f>
        <v>0.504710229353217</v>
      </c>
      <c r="P636" s="8" t="b">
        <f aca="false">O636-N636&lt;$S$2</f>
        <v>1</v>
      </c>
      <c r="Q636" s="2"/>
      <c r="R636" s="2"/>
      <c r="S636" s="2"/>
    </row>
    <row r="637" customFormat="false" ht="14.25" hidden="false" customHeight="false" outlineLevel="0" collapsed="false">
      <c r="A637" s="4" t="s">
        <v>715</v>
      </c>
      <c r="B637" s="4" t="s">
        <v>708</v>
      </c>
      <c r="C637" s="5" t="n">
        <v>1</v>
      </c>
      <c r="D637" s="5" t="n">
        <v>3703</v>
      </c>
      <c r="E637" s="5" t="n">
        <v>832</v>
      </c>
      <c r="F637" s="5" t="n">
        <v>16</v>
      </c>
      <c r="G637" s="5" t="n">
        <v>1</v>
      </c>
      <c r="H637" s="5" t="n">
        <v>3679</v>
      </c>
      <c r="I637" s="6" t="n">
        <v>2</v>
      </c>
      <c r="J637" s="6" t="n">
        <v>22.6</v>
      </c>
      <c r="K637" s="6" t="n">
        <v>41</v>
      </c>
      <c r="L637" s="6" t="n">
        <v>41</v>
      </c>
      <c r="M637" s="4" t="str">
        <f aca="false">IF(AND(K637="",L637=""),"No closed tickets",IF(K637="","MISSING in catalog",IF(L637="","No valid closed tickets",IF(AND(ABS(K637-L637)&gt;=$S$3,ABS(K637-L637)&gt;=$S$4*MAX(L637,1)),"FAR OFF","OK"))))</f>
        <v>OK</v>
      </c>
      <c r="N637" s="7" t="n">
        <f aca="false">D637/SUMIFS($D$2:$D$741,$B$2:$B$741,B637)</f>
        <v>0.0308162178356246</v>
      </c>
      <c r="O637" s="7" t="n">
        <f aca="false">SUMIFS($D$2:D637,$B$2:B637,B637)/SUMIFS($D$2:$D$741,$B$2:$B$741,B637)</f>
        <v>0.535526447188842</v>
      </c>
      <c r="P637" s="8" t="b">
        <f aca="false">O637-N637&lt;$S$2</f>
        <v>1</v>
      </c>
      <c r="Q637" s="2"/>
      <c r="R637" s="2"/>
      <c r="S637" s="2"/>
    </row>
    <row r="638" customFormat="false" ht="14.25" hidden="false" customHeight="false" outlineLevel="0" collapsed="false">
      <c r="A638" s="4" t="s">
        <v>716</v>
      </c>
      <c r="B638" s="4" t="s">
        <v>708</v>
      </c>
      <c r="C638" s="5" t="n">
        <v>1</v>
      </c>
      <c r="D638" s="5" t="n">
        <v>3699</v>
      </c>
      <c r="E638" s="5" t="n">
        <v>0</v>
      </c>
      <c r="F638" s="5" t="n">
        <v>0</v>
      </c>
      <c r="G638" s="5" t="n">
        <v>0</v>
      </c>
      <c r="H638" s="5" t="n">
        <v>3699</v>
      </c>
      <c r="I638" s="6" t="n">
        <v>4</v>
      </c>
      <c r="J638" s="6" t="n">
        <v>4.1</v>
      </c>
      <c r="K638" s="6" t="n">
        <v>8</v>
      </c>
      <c r="L638" s="6" t="n">
        <v>8</v>
      </c>
      <c r="M638" s="4" t="str">
        <f aca="false">IF(AND(K638="",L638=""),"No closed tickets",IF(K638="","MISSING in catalog",IF(L638="","No valid closed tickets",IF(AND(ABS(K638-L638)&gt;=$S$3,ABS(K638-L638)&gt;=$S$4*MAX(L638,1)),"FAR OFF","OK"))))</f>
        <v>OK</v>
      </c>
      <c r="N638" s="7" t="n">
        <f aca="false">D638/SUMIFS($D$2:$D$741,$B$2:$B$741,B638)</f>
        <v>0.0307829299956726</v>
      </c>
      <c r="O638" s="7" t="n">
        <f aca="false">SUMIFS($D$2:D638,$B$2:B638,B638)/SUMIFS($D$2:$D$741,$B$2:$B$741,B638)</f>
        <v>0.566309377184515</v>
      </c>
      <c r="P638" s="8" t="b">
        <f aca="false">O638-N638&lt;$S$2</f>
        <v>1</v>
      </c>
      <c r="Q638" s="2"/>
      <c r="R638" s="2"/>
      <c r="S638" s="2"/>
    </row>
    <row r="639" customFormat="false" ht="14.25" hidden="false" customHeight="false" outlineLevel="0" collapsed="false">
      <c r="A639" s="4" t="s">
        <v>717</v>
      </c>
      <c r="B639" s="4" t="s">
        <v>708</v>
      </c>
      <c r="C639" s="5" t="n">
        <v>1</v>
      </c>
      <c r="D639" s="5" t="n">
        <v>3594</v>
      </c>
      <c r="E639" s="5" t="n">
        <v>0</v>
      </c>
      <c r="F639" s="5" t="n">
        <v>0</v>
      </c>
      <c r="G639" s="5" t="n">
        <v>0</v>
      </c>
      <c r="H639" s="5" t="n">
        <v>3594</v>
      </c>
      <c r="I639" s="6" t="n">
        <v>3</v>
      </c>
      <c r="J639" s="6" t="n">
        <v>3.8</v>
      </c>
      <c r="K639" s="6" t="n">
        <v>7</v>
      </c>
      <c r="L639" s="6" t="n">
        <v>7</v>
      </c>
      <c r="M639" s="4" t="str">
        <f aca="false">IF(AND(K639="",L639=""),"No closed tickets",IF(K639="","MISSING in catalog",IF(L639="","No valid closed tickets",IF(AND(ABS(K639-L639)&gt;=$S$3,ABS(K639-L639)&gt;=$S$4*MAX(L639,1)),"FAR OFF","OK"))))</f>
        <v>OK</v>
      </c>
      <c r="N639" s="7" t="n">
        <f aca="false">D639/SUMIFS($D$2:$D$741,$B$2:$B$741,B639)</f>
        <v>0.0299091241969309</v>
      </c>
      <c r="O639" s="7" t="n">
        <f aca="false">SUMIFS($D$2:D639,$B$2:B639,B639)/SUMIFS($D$2:$D$741,$B$2:$B$741,B639)</f>
        <v>0.596218501381445</v>
      </c>
      <c r="P639" s="8" t="b">
        <f aca="false">O639-N639&lt;$S$2</f>
        <v>1</v>
      </c>
      <c r="Q639" s="2"/>
      <c r="R639" s="2"/>
      <c r="S639" s="2"/>
    </row>
    <row r="640" customFormat="false" ht="14.25" hidden="false" customHeight="false" outlineLevel="0" collapsed="false">
      <c r="A640" s="4" t="s">
        <v>718</v>
      </c>
      <c r="B640" s="4" t="s">
        <v>708</v>
      </c>
      <c r="C640" s="5" t="n">
        <v>1</v>
      </c>
      <c r="D640" s="5" t="n">
        <v>3523</v>
      </c>
      <c r="E640" s="5" t="n">
        <v>0</v>
      </c>
      <c r="F640" s="5" t="n">
        <v>1</v>
      </c>
      <c r="G640" s="5" t="n">
        <v>1</v>
      </c>
      <c r="H640" s="5" t="n">
        <v>3522</v>
      </c>
      <c r="I640" s="6" t="n">
        <v>0</v>
      </c>
      <c r="J640" s="6" t="n">
        <v>4.4</v>
      </c>
      <c r="K640" s="6" t="n">
        <v>3</v>
      </c>
      <c r="L640" s="6" t="n">
        <v>3</v>
      </c>
      <c r="M640" s="4" t="str">
        <f aca="false">IF(AND(K640="",L640=""),"No closed tickets",IF(K640="","MISSING in catalog",IF(L640="","No valid closed tickets",IF(AND(ABS(K640-L640)&gt;=$S$3,ABS(K640-L640)&gt;=$S$4*MAX(L640,1)),"FAR OFF","OK"))))</f>
        <v>OK</v>
      </c>
      <c r="N640" s="7" t="n">
        <f aca="false">D640/SUMIFS($D$2:$D$741,$B$2:$B$741,B640)</f>
        <v>0.0293182650377817</v>
      </c>
      <c r="O640" s="7" t="n">
        <f aca="false">SUMIFS($D$2:D640,$B$2:B640,B640)/SUMIFS($D$2:$D$741,$B$2:$B$741,B640)</f>
        <v>0.625536766419227</v>
      </c>
      <c r="P640" s="8" t="b">
        <f aca="false">O640-N640&lt;$S$2</f>
        <v>1</v>
      </c>
      <c r="Q640" s="2"/>
      <c r="R640" s="2"/>
      <c r="S640" s="2"/>
    </row>
    <row r="641" customFormat="false" ht="14.25" hidden="false" customHeight="false" outlineLevel="0" collapsed="false">
      <c r="A641" s="4" t="s">
        <v>719</v>
      </c>
      <c r="B641" s="4" t="s">
        <v>708</v>
      </c>
      <c r="C641" s="5" t="n">
        <v>1</v>
      </c>
      <c r="D641" s="5" t="n">
        <v>3510</v>
      </c>
      <c r="E641" s="5" t="n">
        <v>797</v>
      </c>
      <c r="F641" s="5" t="n">
        <v>4</v>
      </c>
      <c r="G641" s="5" t="n">
        <v>0</v>
      </c>
      <c r="H641" s="5" t="n">
        <v>3506</v>
      </c>
      <c r="I641" s="6" t="n">
        <v>0</v>
      </c>
      <c r="J641" s="6" t="n">
        <v>7.3</v>
      </c>
      <c r="K641" s="6" t="n">
        <v>3</v>
      </c>
      <c r="L641" s="6" t="n">
        <v>3</v>
      </c>
      <c r="M641" s="4" t="str">
        <f aca="false">IF(AND(K641="",L641=""),"No closed tickets",IF(K641="","MISSING in catalog",IF(L641="","No valid closed tickets",IF(AND(ABS(K641-L641)&gt;=$S$3,ABS(K641-L641)&gt;=$S$4*MAX(L641,1)),"FAR OFF","OK"))))</f>
        <v>OK</v>
      </c>
      <c r="N641" s="7" t="n">
        <f aca="false">D641/SUMIFS($D$2:$D$741,$B$2:$B$741,B641)</f>
        <v>0.0292100795579375</v>
      </c>
      <c r="O641" s="7" t="n">
        <f aca="false">SUMIFS($D$2:D641,$B$2:B641,B641)/SUMIFS($D$2:$D$741,$B$2:$B$741,B641)</f>
        <v>0.654746845977165</v>
      </c>
      <c r="P641" s="8" t="b">
        <f aca="false">O641-N641&lt;$S$2</f>
        <v>1</v>
      </c>
      <c r="Q641" s="2"/>
      <c r="R641" s="2"/>
      <c r="S641" s="2"/>
    </row>
    <row r="642" customFormat="false" ht="14.25" hidden="false" customHeight="false" outlineLevel="0" collapsed="false">
      <c r="A642" s="4" t="s">
        <v>720</v>
      </c>
      <c r="B642" s="4" t="s">
        <v>708</v>
      </c>
      <c r="C642" s="5" t="n">
        <v>1</v>
      </c>
      <c r="D642" s="5" t="n">
        <v>3491</v>
      </c>
      <c r="E642" s="5" t="n">
        <v>0</v>
      </c>
      <c r="F642" s="5" t="n">
        <v>0</v>
      </c>
      <c r="G642" s="5" t="n">
        <v>0</v>
      </c>
      <c r="H642" s="5" t="n">
        <v>3491</v>
      </c>
      <c r="I642" s="6" t="n">
        <v>6</v>
      </c>
      <c r="J642" s="6" t="n">
        <v>6.1</v>
      </c>
      <c r="K642" s="6" t="n">
        <v>10</v>
      </c>
      <c r="L642" s="6" t="n">
        <v>10</v>
      </c>
      <c r="M642" s="4" t="str">
        <f aca="false">IF(AND(K642="",L642=""),"No closed tickets",IF(K642="","MISSING in catalog",IF(L642="","No valid closed tickets",IF(AND(ABS(K642-L642)&gt;=$S$3,ABS(K642-L642)&gt;=$S$4*MAX(L642,1)),"FAR OFF","OK"))))</f>
        <v>OK</v>
      </c>
      <c r="N642" s="7" t="n">
        <f aca="false">D642/SUMIFS($D$2:$D$741,$B$2:$B$741,B642)</f>
        <v>0.0290519623181652</v>
      </c>
      <c r="O642" s="7" t="n">
        <f aca="false">SUMIFS($D$2:D642,$B$2:B642,B642)/SUMIFS($D$2:$D$741,$B$2:$B$741,B642)</f>
        <v>0.68379880829533</v>
      </c>
      <c r="P642" s="8" t="b">
        <f aca="false">O642-N642&lt;$S$2</f>
        <v>1</v>
      </c>
      <c r="Q642" s="2"/>
      <c r="R642" s="2"/>
      <c r="S642" s="2"/>
    </row>
    <row r="643" customFormat="false" ht="14.25" hidden="false" customHeight="false" outlineLevel="0" collapsed="false">
      <c r="A643" s="4" t="s">
        <v>721</v>
      </c>
      <c r="B643" s="4" t="s">
        <v>708</v>
      </c>
      <c r="C643" s="5" t="n">
        <v>2</v>
      </c>
      <c r="D643" s="5" t="n">
        <v>3328</v>
      </c>
      <c r="E643" s="5" t="n">
        <v>0</v>
      </c>
      <c r="F643" s="5" t="n">
        <v>0</v>
      </c>
      <c r="G643" s="5" t="n">
        <v>0</v>
      </c>
      <c r="H643" s="5" t="n">
        <v>3328</v>
      </c>
      <c r="I643" s="6" t="n">
        <v>3</v>
      </c>
      <c r="J643" s="6" t="n">
        <v>3.7</v>
      </c>
      <c r="K643" s="6" t="n">
        <v>7</v>
      </c>
      <c r="L643" s="6" t="n">
        <v>7</v>
      </c>
      <c r="M643" s="4" t="str">
        <f aca="false">IF(AND(K643="",L643=""),"No closed tickets",IF(K643="","MISSING in catalog",IF(L643="","No valid closed tickets",IF(AND(ABS(K643-L643)&gt;=$S$3,ABS(K643-L643)&gt;=$S$4*MAX(L643,1)),"FAR OFF","OK"))))</f>
        <v>OK</v>
      </c>
      <c r="N643" s="7" t="n">
        <f aca="false">D643/SUMIFS($D$2:$D$741,$B$2:$B$741,B643)</f>
        <v>0.0276954828401185</v>
      </c>
      <c r="O643" s="7" t="n">
        <f aca="false">SUMIFS($D$2:D643,$B$2:B643,B643)/SUMIFS($D$2:$D$741,$B$2:$B$741,B643)</f>
        <v>0.711494291135448</v>
      </c>
      <c r="P643" s="8" t="b">
        <f aca="false">O643-N643&lt;$S$2</f>
        <v>1</v>
      </c>
      <c r="Q643" s="2"/>
      <c r="R643" s="2"/>
      <c r="S643" s="2"/>
    </row>
    <row r="644" customFormat="false" ht="14.25" hidden="false" customHeight="false" outlineLevel="0" collapsed="false">
      <c r="A644" s="4" t="s">
        <v>722</v>
      </c>
      <c r="B644" s="4" t="s">
        <v>708</v>
      </c>
      <c r="C644" s="5" t="n">
        <v>1</v>
      </c>
      <c r="D644" s="5" t="n">
        <v>3132</v>
      </c>
      <c r="E644" s="5" t="n">
        <v>741</v>
      </c>
      <c r="F644" s="5" t="n">
        <v>7</v>
      </c>
      <c r="G644" s="5" t="n">
        <v>0</v>
      </c>
      <c r="H644" s="5" t="n">
        <v>3125</v>
      </c>
      <c r="I644" s="6" t="n">
        <v>4</v>
      </c>
      <c r="J644" s="6" t="n">
        <v>8.8</v>
      </c>
      <c r="K644" s="6" t="n">
        <v>12</v>
      </c>
      <c r="L644" s="6" t="n">
        <v>12</v>
      </c>
      <c r="M644" s="4" t="str">
        <f aca="false">IF(AND(K644="",L644=""),"No closed tickets",IF(K644="","MISSING in catalog",IF(L644="","No valid closed tickets",IF(AND(ABS(K644-L644)&gt;=$S$3,ABS(K644-L644)&gt;=$S$4*MAX(L644,1)),"FAR OFF","OK"))))</f>
        <v>OK</v>
      </c>
      <c r="N644" s="7" t="n">
        <f aca="false">D644/SUMIFS($D$2:$D$741,$B$2:$B$741,B644)</f>
        <v>0.0260643786824673</v>
      </c>
      <c r="O644" s="7" t="n">
        <f aca="false">SUMIFS($D$2:D644,$B$2:B644,B644)/SUMIFS($D$2:$D$741,$B$2:$B$741,B644)</f>
        <v>0.737558669817916</v>
      </c>
      <c r="P644" s="8" t="b">
        <f aca="false">O644-N644&lt;$S$2</f>
        <v>1</v>
      </c>
      <c r="Q644" s="2"/>
      <c r="R644" s="2"/>
      <c r="S644" s="2"/>
    </row>
    <row r="645" customFormat="false" ht="14.25" hidden="false" customHeight="false" outlineLevel="0" collapsed="false">
      <c r="A645" s="4" t="s">
        <v>723</v>
      </c>
      <c r="B645" s="4" t="s">
        <v>708</v>
      </c>
      <c r="C645" s="5" t="n">
        <v>1</v>
      </c>
      <c r="D645" s="5" t="n">
        <v>3117</v>
      </c>
      <c r="E645" s="5" t="n">
        <v>0</v>
      </c>
      <c r="F645" s="5" t="n">
        <v>0</v>
      </c>
      <c r="G645" s="5" t="n">
        <v>0</v>
      </c>
      <c r="H645" s="5" t="n">
        <v>3117</v>
      </c>
      <c r="I645" s="6" t="n">
        <v>3</v>
      </c>
      <c r="J645" s="6" t="n">
        <v>3.7</v>
      </c>
      <c r="K645" s="6" t="n">
        <v>8</v>
      </c>
      <c r="L645" s="6" t="n">
        <v>8</v>
      </c>
      <c r="M645" s="4" t="str">
        <f aca="false">IF(AND(K645="",L645=""),"No closed tickets",IF(K645="","MISSING in catalog",IF(L645="","No valid closed tickets",IF(AND(ABS(K645-L645)&gt;=$S$3,ABS(K645-L645)&gt;=$S$4*MAX(L645,1)),"FAR OFF","OK"))))</f>
        <v>OK</v>
      </c>
      <c r="N645" s="7" t="n">
        <f aca="false">D645/SUMIFS($D$2:$D$741,$B$2:$B$741,B645)</f>
        <v>0.025939549282647</v>
      </c>
      <c r="O645" s="7" t="n">
        <f aca="false">SUMIFS($D$2:D645,$B$2:B645,B645)/SUMIFS($D$2:$D$741,$B$2:$B$741,B645)</f>
        <v>0.763498219100563</v>
      </c>
      <c r="P645" s="8" t="b">
        <f aca="false">O645-N645&lt;$S$2</f>
        <v>1</v>
      </c>
      <c r="Q645" s="2"/>
      <c r="R645" s="2"/>
      <c r="S645" s="2"/>
    </row>
    <row r="646" customFormat="false" ht="14.25" hidden="false" customHeight="false" outlineLevel="0" collapsed="false">
      <c r="A646" s="4" t="s">
        <v>724</v>
      </c>
      <c r="B646" s="4" t="s">
        <v>708</v>
      </c>
      <c r="C646" s="5" t="n">
        <v>1</v>
      </c>
      <c r="D646" s="5" t="n">
        <v>3112</v>
      </c>
      <c r="E646" s="5" t="n">
        <v>0</v>
      </c>
      <c r="F646" s="5" t="n">
        <v>0</v>
      </c>
      <c r="G646" s="5" t="n">
        <v>0</v>
      </c>
      <c r="H646" s="5" t="n">
        <v>3112</v>
      </c>
      <c r="I646" s="6" t="n">
        <v>4</v>
      </c>
      <c r="J646" s="6" t="n">
        <v>4.4</v>
      </c>
      <c r="K646" s="6" t="n">
        <v>8</v>
      </c>
      <c r="L646" s="6" t="n">
        <v>8</v>
      </c>
      <c r="M646" s="4" t="str">
        <f aca="false">IF(AND(K646="",L646=""),"No closed tickets",IF(K646="","MISSING in catalog",IF(L646="","No valid closed tickets",IF(AND(ABS(K646-L646)&gt;=$S$3,ABS(K646-L646)&gt;=$S$4*MAX(L646,1)),"FAR OFF","OK"))))</f>
        <v>OK</v>
      </c>
      <c r="N646" s="7" t="n">
        <f aca="false">D646/SUMIFS($D$2:$D$741,$B$2:$B$741,B646)</f>
        <v>0.025897939482707</v>
      </c>
      <c r="O646" s="7" t="n">
        <f aca="false">SUMIFS($D$2:D646,$B$2:B646,B646)/SUMIFS($D$2:$D$741,$B$2:$B$741,B646)</f>
        <v>0.78939615858327</v>
      </c>
      <c r="P646" s="8" t="b">
        <f aca="false">O646-N646&lt;$S$2</f>
        <v>1</v>
      </c>
      <c r="Q646" s="2"/>
      <c r="R646" s="2"/>
      <c r="S646" s="2"/>
    </row>
    <row r="647" customFormat="false" ht="14.25" hidden="false" customHeight="false" outlineLevel="0" collapsed="false">
      <c r="A647" s="4" t="s">
        <v>725</v>
      </c>
      <c r="B647" s="4" t="s">
        <v>708</v>
      </c>
      <c r="C647" s="5" t="n">
        <v>2</v>
      </c>
      <c r="D647" s="5" t="n">
        <v>3003</v>
      </c>
      <c r="E647" s="5" t="n">
        <v>0</v>
      </c>
      <c r="F647" s="5" t="n">
        <v>0</v>
      </c>
      <c r="G647" s="5" t="n">
        <v>0</v>
      </c>
      <c r="H647" s="5" t="n">
        <v>3003</v>
      </c>
      <c r="I647" s="6" t="n">
        <v>0</v>
      </c>
      <c r="J647" s="6" t="n">
        <v>0.4</v>
      </c>
      <c r="K647" s="6" t="n">
        <v>1</v>
      </c>
      <c r="L647" s="6" t="n">
        <v>1</v>
      </c>
      <c r="M647" s="4" t="str">
        <f aca="false">IF(AND(K647="",L647=""),"No closed tickets",IF(K647="","MISSING in catalog",IF(L647="","No valid closed tickets",IF(AND(ABS(K647-L647)&gt;=$S$3,ABS(K647-L647)&gt;=$S$4*MAX(L647,1)),"FAR OFF","OK"))))</f>
        <v>OK</v>
      </c>
      <c r="N647" s="7" t="n">
        <f aca="false">D647/SUMIFS($D$2:$D$741,$B$2:$B$741,B647)</f>
        <v>0.0249908458440132</v>
      </c>
      <c r="O647" s="7" t="n">
        <f aca="false">SUMIFS($D$2:D647,$B$2:B647,B647)/SUMIFS($D$2:$D$741,$B$2:$B$741,B647)</f>
        <v>0.814387004427283</v>
      </c>
      <c r="P647" s="8" t="b">
        <f aca="false">O647-N647&lt;$S$2</f>
        <v>1</v>
      </c>
      <c r="Q647" s="2"/>
      <c r="R647" s="2"/>
      <c r="S647" s="2"/>
    </row>
    <row r="648" customFormat="false" ht="14.25" hidden="false" customHeight="false" outlineLevel="0" collapsed="false">
      <c r="A648" s="4" t="s">
        <v>726</v>
      </c>
      <c r="B648" s="4" t="s">
        <v>708</v>
      </c>
      <c r="C648" s="5" t="n">
        <v>1</v>
      </c>
      <c r="D648" s="5" t="n">
        <v>2966</v>
      </c>
      <c r="E648" s="5" t="n">
        <v>763</v>
      </c>
      <c r="F648" s="5" t="n">
        <v>6</v>
      </c>
      <c r="G648" s="5" t="n">
        <v>0</v>
      </c>
      <c r="H648" s="5" t="n">
        <v>2960</v>
      </c>
      <c r="I648" s="6" t="n">
        <v>1</v>
      </c>
      <c r="J648" s="6" t="n">
        <v>6.6</v>
      </c>
      <c r="K648" s="6" t="n">
        <v>7</v>
      </c>
      <c r="L648" s="6" t="n">
        <v>7</v>
      </c>
      <c r="M648" s="4" t="str">
        <f aca="false">IF(AND(K648="",L648=""),"No closed tickets",IF(K648="","MISSING in catalog",IF(L648="","No valid closed tickets",IF(AND(ABS(K648-L648)&gt;=$S$3,ABS(K648-L648)&gt;=$S$4*MAX(L648,1)),"FAR OFF","OK"))))</f>
        <v>OK</v>
      </c>
      <c r="N648" s="7" t="n">
        <f aca="false">D648/SUMIFS($D$2:$D$741,$B$2:$B$741,B648)</f>
        <v>0.0246829333244566</v>
      </c>
      <c r="O648" s="7" t="n">
        <f aca="false">SUMIFS($D$2:D648,$B$2:B648,B648)/SUMIFS($D$2:$D$741,$B$2:$B$741,B648)</f>
        <v>0.839069937751739</v>
      </c>
      <c r="P648" s="8" t="b">
        <f aca="false">O648-N648&lt;$S$2</f>
        <v>1</v>
      </c>
      <c r="Q648" s="2"/>
      <c r="R648" s="2"/>
      <c r="S648" s="2"/>
    </row>
    <row r="649" customFormat="false" ht="14.25" hidden="false" customHeight="false" outlineLevel="0" collapsed="false">
      <c r="A649" s="4" t="s">
        <v>727</v>
      </c>
      <c r="B649" s="4" t="s">
        <v>708</v>
      </c>
      <c r="C649" s="5" t="n">
        <v>2</v>
      </c>
      <c r="D649" s="5" t="n">
        <v>2864</v>
      </c>
      <c r="E649" s="5" t="n">
        <v>0</v>
      </c>
      <c r="F649" s="5" t="n">
        <v>0</v>
      </c>
      <c r="G649" s="5" t="n">
        <v>0</v>
      </c>
      <c r="H649" s="5" t="n">
        <v>2864</v>
      </c>
      <c r="I649" s="6" t="n">
        <v>3</v>
      </c>
      <c r="J649" s="6" t="n">
        <v>3.9</v>
      </c>
      <c r="K649" s="6" t="n">
        <v>7</v>
      </c>
      <c r="L649" s="6" t="n">
        <v>7</v>
      </c>
      <c r="M649" s="4" t="str">
        <f aca="false">IF(AND(K649="",L649=""),"No closed tickets",IF(K649="","MISSING in catalog",IF(L649="","No valid closed tickets",IF(AND(ABS(K649-L649)&gt;=$S$3,ABS(K649-L649)&gt;=$S$4*MAX(L649,1)),"FAR OFF","OK"))))</f>
        <v>OK</v>
      </c>
      <c r="N649" s="7" t="n">
        <f aca="false">D649/SUMIFS($D$2:$D$741,$B$2:$B$741,B649)</f>
        <v>0.0238340934056789</v>
      </c>
      <c r="O649" s="7" t="n">
        <f aca="false">SUMIFS($D$2:D649,$B$2:B649,B649)/SUMIFS($D$2:$D$741,$B$2:$B$741,B649)</f>
        <v>0.862904031157418</v>
      </c>
      <c r="P649" s="8" t="b">
        <f aca="false">O649-N649&lt;$S$2</f>
        <v>1</v>
      </c>
      <c r="Q649" s="2"/>
      <c r="R649" s="2"/>
      <c r="S649" s="2"/>
    </row>
    <row r="650" customFormat="false" ht="14.25" hidden="false" customHeight="false" outlineLevel="0" collapsed="false">
      <c r="A650" s="4" t="s">
        <v>728</v>
      </c>
      <c r="B650" s="4" t="s">
        <v>708</v>
      </c>
      <c r="C650" s="5" t="n">
        <v>1</v>
      </c>
      <c r="D650" s="5" t="n">
        <v>2833</v>
      </c>
      <c r="E650" s="5" t="n">
        <v>0</v>
      </c>
      <c r="F650" s="5" t="n">
        <v>0</v>
      </c>
      <c r="G650" s="5" t="n">
        <v>0</v>
      </c>
      <c r="H650" s="5" t="n">
        <v>2833</v>
      </c>
      <c r="I650" s="6" t="n">
        <v>0</v>
      </c>
      <c r="J650" s="6" t="n">
        <v>0.4</v>
      </c>
      <c r="K650" s="6" t="n">
        <v>1</v>
      </c>
      <c r="L650" s="6" t="n">
        <v>1</v>
      </c>
      <c r="M650" s="4" t="str">
        <f aca="false">IF(AND(K650="",L650=""),"No closed tickets",IF(K650="","MISSING in catalog",IF(L650="","No valid closed tickets",IF(AND(ABS(K650-L650)&gt;=$S$3,ABS(K650-L650)&gt;=$S$4*MAX(L650,1)),"FAR OFF","OK"))))</f>
        <v>OK</v>
      </c>
      <c r="N650" s="7" t="n">
        <f aca="false">D650/SUMIFS($D$2:$D$741,$B$2:$B$741,B650)</f>
        <v>0.0235761126460504</v>
      </c>
      <c r="O650" s="7" t="n">
        <f aca="false">SUMIFS($D$2:D650,$B$2:B650,B650)/SUMIFS($D$2:$D$741,$B$2:$B$741,B650)</f>
        <v>0.886480143803469</v>
      </c>
      <c r="P650" s="8" t="b">
        <f aca="false">O650-N650&lt;$S$2</f>
        <v>1</v>
      </c>
      <c r="Q650" s="2"/>
      <c r="R650" s="2"/>
      <c r="S650" s="2"/>
    </row>
    <row r="651" customFormat="false" ht="14.25" hidden="false" customHeight="false" outlineLevel="0" collapsed="false">
      <c r="A651" s="4" t="s">
        <v>729</v>
      </c>
      <c r="B651" s="4" t="s">
        <v>708</v>
      </c>
      <c r="C651" s="5" t="n">
        <v>2</v>
      </c>
      <c r="D651" s="5" t="n">
        <v>2517</v>
      </c>
      <c r="E651" s="5" t="n">
        <v>0</v>
      </c>
      <c r="F651" s="5" t="n">
        <v>0</v>
      </c>
      <c r="G651" s="5" t="n">
        <v>0</v>
      </c>
      <c r="H651" s="5" t="n">
        <v>2517</v>
      </c>
      <c r="I651" s="6" t="n">
        <v>2</v>
      </c>
      <c r="J651" s="6" t="n">
        <v>3.5</v>
      </c>
      <c r="K651" s="6" t="n">
        <v>9</v>
      </c>
      <c r="L651" s="6" t="n">
        <v>9</v>
      </c>
      <c r="M651" s="4" t="str">
        <f aca="false">IF(AND(K651="",L651=""),"No closed tickets",IF(K651="","MISSING in catalog",IF(L651="","No valid closed tickets",IF(AND(ABS(K651-L651)&gt;=$S$3,ABS(K651-L651)&gt;=$S$4*MAX(L651,1)),"FAR OFF","OK"))))</f>
        <v>OK</v>
      </c>
      <c r="N651" s="7" t="n">
        <f aca="false">D651/SUMIFS($D$2:$D$741,$B$2:$B$741,B651)</f>
        <v>0.0209463732898372</v>
      </c>
      <c r="O651" s="7" t="n">
        <f aca="false">SUMIFS($D$2:D651,$B$2:B651,B651)/SUMIFS($D$2:$D$741,$B$2:$B$741,B651)</f>
        <v>0.907426517093306</v>
      </c>
      <c r="P651" s="8" t="b">
        <f aca="false">O651-N651&lt;$S$2</f>
        <v>1</v>
      </c>
      <c r="Q651" s="2"/>
      <c r="R651" s="2"/>
      <c r="S651" s="2"/>
    </row>
    <row r="652" customFormat="false" ht="14.25" hidden="false" customHeight="false" outlineLevel="0" collapsed="false">
      <c r="A652" s="4" t="s">
        <v>730</v>
      </c>
      <c r="B652" s="4" t="s">
        <v>708</v>
      </c>
      <c r="C652" s="5" t="n">
        <v>1</v>
      </c>
      <c r="D652" s="5" t="n">
        <v>2394</v>
      </c>
      <c r="E652" s="5" t="n">
        <v>2365</v>
      </c>
      <c r="F652" s="5" t="n">
        <v>781</v>
      </c>
      <c r="G652" s="5" t="n">
        <v>94</v>
      </c>
      <c r="H652" s="5" t="n">
        <v>1613</v>
      </c>
      <c r="I652" s="6" t="n">
        <v>40</v>
      </c>
      <c r="J652" s="6" t="n">
        <v>41.7</v>
      </c>
      <c r="K652" s="6" t="n">
        <v>57</v>
      </c>
      <c r="L652" s="6" t="n">
        <v>57</v>
      </c>
      <c r="M652" s="4" t="str">
        <f aca="false">IF(AND(K652="",L652=""),"No closed tickets",IF(K652="","MISSING in catalog",IF(L652="","No valid closed tickets",IF(AND(ABS(K652-L652)&gt;=$S$3,ABS(K652-L652)&gt;=$S$4*MAX(L652,1)),"FAR OFF","OK"))))</f>
        <v>OK</v>
      </c>
      <c r="N652" s="7" t="n">
        <f aca="false">D652/SUMIFS($D$2:$D$741,$B$2:$B$741,B652)</f>
        <v>0.0199227722113112</v>
      </c>
      <c r="O652" s="7" t="n">
        <f aca="false">SUMIFS($D$2:D652,$B$2:B652,B652)/SUMIFS($D$2:$D$741,$B$2:$B$741,B652)</f>
        <v>0.927349289304617</v>
      </c>
      <c r="P652" s="8" t="b">
        <f aca="false">O652-N652&lt;$S$2</f>
        <v>1</v>
      </c>
      <c r="Q652" s="2"/>
      <c r="R652" s="2"/>
      <c r="S652" s="2"/>
    </row>
    <row r="653" customFormat="false" ht="14.25" hidden="false" customHeight="false" outlineLevel="0" collapsed="false">
      <c r="A653" s="4" t="s">
        <v>731</v>
      </c>
      <c r="B653" s="4" t="s">
        <v>708</v>
      </c>
      <c r="C653" s="5" t="n">
        <v>1</v>
      </c>
      <c r="D653" s="5" t="n">
        <v>1536</v>
      </c>
      <c r="E653" s="5" t="n">
        <v>170</v>
      </c>
      <c r="F653" s="5" t="n">
        <v>0</v>
      </c>
      <c r="G653" s="5" t="n">
        <v>0</v>
      </c>
      <c r="H653" s="5" t="n">
        <v>1536</v>
      </c>
      <c r="I653" s="6" t="n">
        <v>1</v>
      </c>
      <c r="J653" s="6" t="n">
        <v>7.1</v>
      </c>
      <c r="K653" s="6" t="n">
        <v>7</v>
      </c>
      <c r="L653" s="6" t="n">
        <v>7</v>
      </c>
      <c r="M653" s="4" t="str">
        <f aca="false">IF(AND(K653="",L653=""),"No closed tickets",IF(K653="","MISSING in catalog",IF(L653="","No valid closed tickets",IF(AND(ABS(K653-L653)&gt;=$S$3,ABS(K653-L653)&gt;=$S$4*MAX(L653,1)),"FAR OFF","OK"))))</f>
        <v>OK</v>
      </c>
      <c r="N653" s="7" t="n">
        <f aca="false">D653/SUMIFS($D$2:$D$741,$B$2:$B$741,B653)</f>
        <v>0.0127825305415932</v>
      </c>
      <c r="O653" s="7" t="n">
        <f aca="false">SUMIFS($D$2:D653,$B$2:B653,B653)/SUMIFS($D$2:$D$741,$B$2:$B$741,B653)</f>
        <v>0.94013181984621</v>
      </c>
      <c r="P653" s="8" t="b">
        <f aca="false">O653-N653&lt;$S$2</f>
        <v>1</v>
      </c>
      <c r="Q653" s="2"/>
      <c r="R653" s="2"/>
      <c r="S653" s="2"/>
    </row>
    <row r="654" customFormat="false" ht="14.25" hidden="false" customHeight="false" outlineLevel="0" collapsed="false">
      <c r="A654" s="4" t="s">
        <v>732</v>
      </c>
      <c r="B654" s="4" t="s">
        <v>708</v>
      </c>
      <c r="C654" s="5" t="n">
        <v>1</v>
      </c>
      <c r="D654" s="5" t="n">
        <v>1209</v>
      </c>
      <c r="E654" s="5" t="n">
        <v>544</v>
      </c>
      <c r="F654" s="5" t="n">
        <v>74</v>
      </c>
      <c r="G654" s="5" t="n">
        <v>26</v>
      </c>
      <c r="H654" s="5" t="n">
        <v>1135</v>
      </c>
      <c r="I654" s="6" t="n">
        <v>7</v>
      </c>
      <c r="J654" s="6" t="n">
        <v>15.8</v>
      </c>
      <c r="K654" s="6" t="n">
        <v>39</v>
      </c>
      <c r="L654" s="6" t="n">
        <v>39.2</v>
      </c>
      <c r="M654" s="4" t="str">
        <f aca="false">IF(AND(K654="",L654=""),"No closed tickets",IF(K654="","MISSING in catalog",IF(L654="","No valid closed tickets",IF(AND(ABS(K654-L654)&gt;=$S$3,ABS(K654-L654)&gt;=$S$4*MAX(L654,1)),"FAR OFF","OK"))))</f>
        <v>OK</v>
      </c>
      <c r="N654" s="7" t="n">
        <f aca="false">D654/SUMIFS($D$2:$D$741,$B$2:$B$741,B654)</f>
        <v>0.0100612496255118</v>
      </c>
      <c r="O654" s="7" t="n">
        <f aca="false">SUMIFS($D$2:D654,$B$2:B654,B654)/SUMIFS($D$2:$D$741,$B$2:$B$741,B654)</f>
        <v>0.950193069471722</v>
      </c>
      <c r="P654" s="8" t="b">
        <f aca="false">O654-N654&lt;$S$2</f>
        <v>1</v>
      </c>
      <c r="Q654" s="2"/>
      <c r="R654" s="2"/>
      <c r="S654" s="2"/>
    </row>
    <row r="655" customFormat="false" ht="14.25" hidden="false" customHeight="false" outlineLevel="0" collapsed="false">
      <c r="A655" s="4" t="s">
        <v>733</v>
      </c>
      <c r="B655" s="4" t="s">
        <v>708</v>
      </c>
      <c r="C655" s="5" t="n">
        <v>2</v>
      </c>
      <c r="D655" s="5" t="n">
        <v>805</v>
      </c>
      <c r="E655" s="5" t="n">
        <v>0</v>
      </c>
      <c r="F655" s="5" t="n">
        <v>0</v>
      </c>
      <c r="G655" s="5" t="n">
        <v>0</v>
      </c>
      <c r="H655" s="5" t="n">
        <v>805</v>
      </c>
      <c r="I655" s="6" t="n">
        <v>0</v>
      </c>
      <c r="J655" s="6" t="n">
        <v>3.1</v>
      </c>
      <c r="K655" s="6" t="n">
        <v>6</v>
      </c>
      <c r="L655" s="6" t="n">
        <v>6</v>
      </c>
      <c r="M655" s="4" t="str">
        <f aca="false">IF(AND(K655="",L655=""),"No closed tickets",IF(K655="","MISSING in catalog",IF(L655="","No valid closed tickets",IF(AND(ABS(K655-L655)&gt;=$S$3,ABS(K655-L655)&gt;=$S$4*MAX(L655,1)),"FAR OFF","OK"))))</f>
        <v>OK</v>
      </c>
      <c r="N655" s="7" t="n">
        <f aca="false">D655/SUMIFS($D$2:$D$741,$B$2:$B$741,B655)</f>
        <v>0.00669917779035318</v>
      </c>
      <c r="O655" s="7" t="n">
        <f aca="false">SUMIFS($D$2:D655,$B$2:B655,B655)/SUMIFS($D$2:$D$741,$B$2:$B$741,B655)</f>
        <v>0.956892247262075</v>
      </c>
      <c r="P655" s="8" t="b">
        <f aca="false">O655-N655&lt;$S$2</f>
        <v>0</v>
      </c>
      <c r="Q655" s="2"/>
      <c r="R655" s="2"/>
      <c r="S655" s="2"/>
    </row>
    <row r="656" customFormat="false" ht="14.25" hidden="false" customHeight="false" outlineLevel="0" collapsed="false">
      <c r="A656" s="4" t="s">
        <v>734</v>
      </c>
      <c r="B656" s="4" t="s">
        <v>708</v>
      </c>
      <c r="C656" s="5" t="n">
        <v>2</v>
      </c>
      <c r="D656" s="5" t="n">
        <v>641</v>
      </c>
      <c r="E656" s="5" t="n">
        <v>0</v>
      </c>
      <c r="F656" s="5" t="n">
        <v>0</v>
      </c>
      <c r="G656" s="5" t="n">
        <v>0</v>
      </c>
      <c r="H656" s="5" t="n">
        <v>641</v>
      </c>
      <c r="I656" s="6" t="n">
        <v>2</v>
      </c>
      <c r="J656" s="6" t="n">
        <v>8.7</v>
      </c>
      <c r="K656" s="6" t="n">
        <v>35</v>
      </c>
      <c r="L656" s="6" t="n">
        <v>35</v>
      </c>
      <c r="M656" s="4" t="str">
        <f aca="false">IF(AND(K656="",L656=""),"No closed tickets",IF(K656="","MISSING in catalog",IF(L656="","No valid closed tickets",IF(AND(ABS(K656-L656)&gt;=$S$3,ABS(K656-L656)&gt;=$S$4*MAX(L656,1)),"FAR OFF","OK"))))</f>
        <v>OK</v>
      </c>
      <c r="N656" s="7" t="n">
        <f aca="false">D656/SUMIFS($D$2:$D$741,$B$2:$B$741,B656)</f>
        <v>0.0053343763523185</v>
      </c>
      <c r="O656" s="7" t="n">
        <f aca="false">SUMIFS($D$2:D656,$B$2:B656,B656)/SUMIFS($D$2:$D$741,$B$2:$B$741,B656)</f>
        <v>0.962226623614394</v>
      </c>
      <c r="P656" s="8" t="b">
        <f aca="false">O656-N656&lt;$S$2</f>
        <v>0</v>
      </c>
      <c r="Q656" s="2"/>
      <c r="R656" s="2"/>
      <c r="S656" s="2"/>
    </row>
    <row r="657" customFormat="false" ht="14.25" hidden="false" customHeight="false" outlineLevel="0" collapsed="false">
      <c r="A657" s="4" t="s">
        <v>735</v>
      </c>
      <c r="B657" s="4" t="s">
        <v>708</v>
      </c>
      <c r="C657" s="5" t="n">
        <v>1</v>
      </c>
      <c r="D657" s="5" t="n">
        <v>622</v>
      </c>
      <c r="E657" s="5" t="n">
        <v>200</v>
      </c>
      <c r="F657" s="5" t="n">
        <v>8</v>
      </c>
      <c r="G657" s="5" t="n">
        <v>0</v>
      </c>
      <c r="H657" s="5" t="n">
        <v>614</v>
      </c>
      <c r="I657" s="6" t="n">
        <v>1</v>
      </c>
      <c r="J657" s="6" t="n">
        <v>9.7</v>
      </c>
      <c r="K657" s="6" t="n">
        <v>16</v>
      </c>
      <c r="L657" s="6" t="n">
        <v>16</v>
      </c>
      <c r="M657" s="4" t="str">
        <f aca="false">IF(AND(K657="",L657=""),"No closed tickets",IF(K657="","MISSING in catalog",IF(L657="","No valid closed tickets",IF(AND(ABS(K657-L657)&gt;=$S$3,ABS(K657-L657)&gt;=$S$4*MAX(L657,1)),"FAR OFF","OK"))))</f>
        <v>OK</v>
      </c>
      <c r="N657" s="7" t="n">
        <f aca="false">D657/SUMIFS($D$2:$D$741,$B$2:$B$741,B657)</f>
        <v>0.00517625911254619</v>
      </c>
      <c r="O657" s="7" t="n">
        <f aca="false">SUMIFS($D$2:D657,$B$2:B657,B657)/SUMIFS($D$2:$D$741,$B$2:$B$741,B657)</f>
        <v>0.96740288272694</v>
      </c>
      <c r="P657" s="8" t="b">
        <f aca="false">O657-N657&lt;$S$2</f>
        <v>0</v>
      </c>
      <c r="Q657" s="2"/>
      <c r="R657" s="2"/>
      <c r="S657" s="2"/>
    </row>
    <row r="658" customFormat="false" ht="14.25" hidden="false" customHeight="false" outlineLevel="0" collapsed="false">
      <c r="A658" s="4" t="s">
        <v>736</v>
      </c>
      <c r="B658" s="4" t="s">
        <v>708</v>
      </c>
      <c r="C658" s="5" t="n">
        <v>1</v>
      </c>
      <c r="D658" s="5" t="n">
        <v>613</v>
      </c>
      <c r="E658" s="5" t="n">
        <v>0</v>
      </c>
      <c r="F658" s="5" t="n">
        <v>0</v>
      </c>
      <c r="G658" s="5" t="n">
        <v>0</v>
      </c>
      <c r="H658" s="5" t="n">
        <v>613</v>
      </c>
      <c r="I658" s="6" t="n">
        <v>1</v>
      </c>
      <c r="J658" s="6" t="n">
        <v>6.1</v>
      </c>
      <c r="K658" s="6" t="n">
        <v>6</v>
      </c>
      <c r="L658" s="6" t="n">
        <v>6</v>
      </c>
      <c r="M658" s="4" t="str">
        <f aca="false">IF(AND(K658="",L658=""),"No closed tickets",IF(K658="","MISSING in catalog",IF(L658="","No valid closed tickets",IF(AND(ABS(K658-L658)&gt;=$S$3,ABS(K658-L658)&gt;=$S$4*MAX(L658,1)),"FAR OFF","OK"))))</f>
        <v>OK</v>
      </c>
      <c r="N658" s="7" t="n">
        <f aca="false">D658/SUMIFS($D$2:$D$741,$B$2:$B$741,B658)</f>
        <v>0.00510136147265404</v>
      </c>
      <c r="O658" s="7" t="n">
        <f aca="false">SUMIFS($D$2:D658,$B$2:B658,B658)/SUMIFS($D$2:$D$741,$B$2:$B$741,B658)</f>
        <v>0.972504244199594</v>
      </c>
      <c r="P658" s="8" t="b">
        <f aca="false">O658-N658&lt;$S$2</f>
        <v>0</v>
      </c>
      <c r="Q658" s="2"/>
      <c r="R658" s="2"/>
      <c r="S658" s="2"/>
    </row>
    <row r="659" customFormat="false" ht="14.25" hidden="false" customHeight="false" outlineLevel="0" collapsed="false">
      <c r="A659" s="4" t="s">
        <v>737</v>
      </c>
      <c r="B659" s="4" t="s">
        <v>708</v>
      </c>
      <c r="C659" s="5" t="n">
        <v>2</v>
      </c>
      <c r="D659" s="5" t="n">
        <v>591</v>
      </c>
      <c r="E659" s="5" t="n">
        <v>0</v>
      </c>
      <c r="F659" s="5" t="n">
        <v>0</v>
      </c>
      <c r="G659" s="5" t="n">
        <v>0</v>
      </c>
      <c r="H659" s="5" t="n">
        <v>591</v>
      </c>
      <c r="I659" s="6" t="n">
        <v>2</v>
      </c>
      <c r="J659" s="6" t="n">
        <v>3</v>
      </c>
      <c r="K659" s="6" t="n">
        <v>6</v>
      </c>
      <c r="L659" s="6" t="n">
        <v>6</v>
      </c>
      <c r="M659" s="4" t="str">
        <f aca="false">IF(AND(K659="",L659=""),"No closed tickets",IF(K659="","MISSING in catalog",IF(L659="","No valid closed tickets",IF(AND(ABS(K659-L659)&gt;=$S$3,ABS(K659-L659)&gt;=$S$4*MAX(L659,1)),"FAR OFF","OK"))))</f>
        <v>OK</v>
      </c>
      <c r="N659" s="7" t="n">
        <f aca="false">D659/SUMIFS($D$2:$D$741,$B$2:$B$741,B659)</f>
        <v>0.00491827835291768</v>
      </c>
      <c r="O659" s="7" t="n">
        <f aca="false">SUMIFS($D$2:D659,$B$2:B659,B659)/SUMIFS($D$2:$D$741,$B$2:$B$741,B659)</f>
        <v>0.977422522552512</v>
      </c>
      <c r="P659" s="8" t="b">
        <f aca="false">O659-N659&lt;$S$2</f>
        <v>0</v>
      </c>
      <c r="Q659" s="2"/>
      <c r="R659" s="2"/>
      <c r="S659" s="2"/>
    </row>
    <row r="660" customFormat="false" ht="14.25" hidden="false" customHeight="false" outlineLevel="0" collapsed="false">
      <c r="A660" s="4" t="s">
        <v>738</v>
      </c>
      <c r="B660" s="4" t="s">
        <v>708</v>
      </c>
      <c r="C660" s="5" t="n">
        <v>1</v>
      </c>
      <c r="D660" s="5" t="n">
        <v>460</v>
      </c>
      <c r="E660" s="5" t="n">
        <v>457</v>
      </c>
      <c r="F660" s="5" t="n">
        <v>1</v>
      </c>
      <c r="G660" s="5" t="n">
        <v>0</v>
      </c>
      <c r="H660" s="5" t="n">
        <v>459</v>
      </c>
      <c r="I660" s="6" t="n">
        <v>1</v>
      </c>
      <c r="J660" s="6" t="n">
        <v>5.4</v>
      </c>
      <c r="K660" s="6" t="n">
        <v>4</v>
      </c>
      <c r="L660" s="6" t="n">
        <v>4</v>
      </c>
      <c r="M660" s="4" t="str">
        <f aca="false">IF(AND(K660="",L660=""),"No closed tickets",IF(K660="","MISSING in catalog",IF(L660="","No valid closed tickets",IF(AND(ABS(K660-L660)&gt;=$S$3,ABS(K660-L660)&gt;=$S$4*MAX(L660,1)),"FAR OFF","OK"))))</f>
        <v>OK</v>
      </c>
      <c r="N660" s="7" t="n">
        <f aca="false">D660/SUMIFS($D$2:$D$741,$B$2:$B$741,B660)</f>
        <v>0.00382810159448753</v>
      </c>
      <c r="O660" s="7" t="n">
        <f aca="false">SUMIFS($D$2:D660,$B$2:B660,B660)/SUMIFS($D$2:$D$741,$B$2:$B$741,B660)</f>
        <v>0.981250624146999</v>
      </c>
      <c r="P660" s="8" t="b">
        <f aca="false">O660-N660&lt;$S$2</f>
        <v>0</v>
      </c>
      <c r="Q660" s="2"/>
      <c r="R660" s="2"/>
      <c r="S660" s="2"/>
    </row>
    <row r="661" customFormat="false" ht="14.25" hidden="false" customHeight="false" outlineLevel="0" collapsed="false">
      <c r="A661" s="4" t="s">
        <v>739</v>
      </c>
      <c r="B661" s="4" t="s">
        <v>708</v>
      </c>
      <c r="C661" s="5" t="n">
        <v>1</v>
      </c>
      <c r="D661" s="5" t="n">
        <v>378</v>
      </c>
      <c r="E661" s="5" t="n">
        <v>93</v>
      </c>
      <c r="F661" s="5" t="n">
        <v>3</v>
      </c>
      <c r="G661" s="5" t="n">
        <v>2</v>
      </c>
      <c r="H661" s="5" t="n">
        <v>375</v>
      </c>
      <c r="I661" s="6" t="n">
        <v>1</v>
      </c>
      <c r="J661" s="6" t="n">
        <v>14</v>
      </c>
      <c r="K661" s="6" t="n">
        <v>44</v>
      </c>
      <c r="L661" s="6" t="n">
        <v>44.2</v>
      </c>
      <c r="M661" s="4" t="str">
        <f aca="false">IF(AND(K661="",L661=""),"No closed tickets",IF(K661="","MISSING in catalog",IF(L661="","No valid closed tickets",IF(AND(ABS(K661-L661)&gt;=$S$3,ABS(K661-L661)&gt;=$S$4*MAX(L661,1)),"FAR OFF","OK"))))</f>
        <v>OK</v>
      </c>
      <c r="N661" s="7" t="n">
        <f aca="false">D661/SUMIFS($D$2:$D$741,$B$2:$B$741,B661)</f>
        <v>0.00314570087547019</v>
      </c>
      <c r="O661" s="7" t="n">
        <f aca="false">SUMIFS($D$2:D661,$B$2:B661,B661)/SUMIFS($D$2:$D$741,$B$2:$B$741,B661)</f>
        <v>0.984396325022469</v>
      </c>
      <c r="P661" s="8" t="b">
        <f aca="false">O661-N661&lt;$S$2</f>
        <v>0</v>
      </c>
      <c r="Q661" s="2"/>
      <c r="R661" s="2"/>
      <c r="S661" s="2"/>
    </row>
    <row r="662" customFormat="false" ht="14.25" hidden="false" customHeight="false" outlineLevel="0" collapsed="false">
      <c r="A662" s="4" t="s">
        <v>740</v>
      </c>
      <c r="B662" s="4" t="s">
        <v>708</v>
      </c>
      <c r="C662" s="5" t="n">
        <v>2</v>
      </c>
      <c r="D662" s="5" t="n">
        <v>338</v>
      </c>
      <c r="E662" s="5" t="n">
        <v>0</v>
      </c>
      <c r="F662" s="5" t="n">
        <v>0</v>
      </c>
      <c r="G662" s="5" t="n">
        <v>0</v>
      </c>
      <c r="H662" s="5" t="n">
        <v>338</v>
      </c>
      <c r="I662" s="6" t="n">
        <v>0</v>
      </c>
      <c r="J662" s="6" t="n">
        <v>4.8</v>
      </c>
      <c r="K662" s="6" t="n">
        <v>10</v>
      </c>
      <c r="L662" s="6" t="n">
        <v>9.6</v>
      </c>
      <c r="M662" s="4" t="str">
        <f aca="false">IF(AND(K662="",L662=""),"No closed tickets",IF(K662="","MISSING in catalog",IF(L662="","No valid closed tickets",IF(AND(ABS(K662-L662)&gt;=$S$3,ABS(K662-L662)&gt;=$S$4*MAX(L662,1)),"FAR OFF","OK"))))</f>
        <v>OK</v>
      </c>
      <c r="N662" s="7" t="n">
        <f aca="false">D662/SUMIFS($D$2:$D$741,$B$2:$B$741,B662)</f>
        <v>0.00281282247594954</v>
      </c>
      <c r="O662" s="7" t="n">
        <f aca="false">SUMIFS($D$2:D662,$B$2:B662,B662)/SUMIFS($D$2:$D$741,$B$2:$B$741,B662)</f>
        <v>0.987209147498419</v>
      </c>
      <c r="P662" s="8" t="b">
        <f aca="false">O662-N662&lt;$S$2</f>
        <v>0</v>
      </c>
      <c r="Q662" s="2"/>
      <c r="R662" s="2"/>
      <c r="S662" s="2"/>
    </row>
    <row r="663" customFormat="false" ht="14.25" hidden="false" customHeight="false" outlineLevel="0" collapsed="false">
      <c r="A663" s="4" t="s">
        <v>741</v>
      </c>
      <c r="B663" s="4" t="s">
        <v>708</v>
      </c>
      <c r="C663" s="5" t="n">
        <v>1</v>
      </c>
      <c r="D663" s="5" t="n">
        <v>265</v>
      </c>
      <c r="E663" s="5" t="n">
        <v>108</v>
      </c>
      <c r="F663" s="5" t="n">
        <v>2</v>
      </c>
      <c r="G663" s="5" t="n">
        <v>0</v>
      </c>
      <c r="H663" s="5" t="n">
        <v>263</v>
      </c>
      <c r="I663" s="6" t="n">
        <v>7</v>
      </c>
      <c r="J663" s="6" t="n">
        <v>18.8</v>
      </c>
      <c r="K663" s="6" t="n">
        <v>36</v>
      </c>
      <c r="L663" s="6" t="n">
        <v>35.6</v>
      </c>
      <c r="M663" s="4" t="str">
        <f aca="false">IF(AND(K663="",L663=""),"No closed tickets",IF(K663="","MISSING in catalog",IF(L663="","No valid closed tickets",IF(AND(ABS(K663-L663)&gt;=$S$3,ABS(K663-L663)&gt;=$S$4*MAX(L663,1)),"FAR OFF","OK"))))</f>
        <v>OK</v>
      </c>
      <c r="N663" s="7" t="n">
        <f aca="false">D663/SUMIFS($D$2:$D$741,$B$2:$B$741,B663)</f>
        <v>0.00220531939682434</v>
      </c>
      <c r="O663" s="7" t="n">
        <f aca="false">SUMIFS($D$2:D663,$B$2:B663,B663)/SUMIFS($D$2:$D$741,$B$2:$B$741,B663)</f>
        <v>0.989414466895243</v>
      </c>
      <c r="P663" s="8" t="b">
        <f aca="false">O663-N663&lt;$S$2</f>
        <v>0</v>
      </c>
      <c r="Q663" s="2"/>
      <c r="R663" s="2"/>
      <c r="S663" s="2"/>
    </row>
    <row r="664" customFormat="false" ht="14.25" hidden="false" customHeight="false" outlineLevel="0" collapsed="false">
      <c r="A664" s="4" t="s">
        <v>742</v>
      </c>
      <c r="B664" s="4" t="s">
        <v>708</v>
      </c>
      <c r="C664" s="5" t="n">
        <v>1</v>
      </c>
      <c r="D664" s="5" t="n">
        <v>227</v>
      </c>
      <c r="E664" s="5" t="n">
        <v>226</v>
      </c>
      <c r="F664" s="5" t="n">
        <v>0</v>
      </c>
      <c r="G664" s="5" t="n">
        <v>0</v>
      </c>
      <c r="H664" s="5" t="n">
        <v>227</v>
      </c>
      <c r="I664" s="6" t="n">
        <v>0</v>
      </c>
      <c r="J664" s="6" t="n">
        <v>2.6</v>
      </c>
      <c r="K664" s="6" t="n">
        <v>2</v>
      </c>
      <c r="L664" s="6" t="n">
        <v>2</v>
      </c>
      <c r="M664" s="4" t="str">
        <f aca="false">IF(AND(K664="",L664=""),"No closed tickets",IF(K664="","MISSING in catalog",IF(L664="","No valid closed tickets",IF(AND(ABS(K664-L664)&gt;=$S$3,ABS(K664-L664)&gt;=$S$4*MAX(L664,1)),"FAR OFF","OK"))))</f>
        <v>OK</v>
      </c>
      <c r="N664" s="7" t="n">
        <f aca="false">D664/SUMIFS($D$2:$D$741,$B$2:$B$741,B664)</f>
        <v>0.00188908491727972</v>
      </c>
      <c r="O664" s="7" t="n">
        <f aca="false">SUMIFS($D$2:D664,$B$2:B664,B664)/SUMIFS($D$2:$D$741,$B$2:$B$741,B664)</f>
        <v>0.991303551812523</v>
      </c>
      <c r="P664" s="8" t="b">
        <f aca="false">O664-N664&lt;$S$2</f>
        <v>0</v>
      </c>
      <c r="Q664" s="2"/>
      <c r="R664" s="2"/>
      <c r="S664" s="2"/>
    </row>
    <row r="665" customFormat="false" ht="14.25" hidden="false" customHeight="false" outlineLevel="0" collapsed="false">
      <c r="A665" s="4" t="s">
        <v>743</v>
      </c>
      <c r="B665" s="4" t="s">
        <v>708</v>
      </c>
      <c r="C665" s="5" t="n">
        <v>1</v>
      </c>
      <c r="D665" s="5" t="n">
        <v>197</v>
      </c>
      <c r="E665" s="5" t="n">
        <v>37</v>
      </c>
      <c r="F665" s="5" t="n">
        <v>1</v>
      </c>
      <c r="G665" s="5" t="n">
        <v>0</v>
      </c>
      <c r="H665" s="5" t="n">
        <v>196</v>
      </c>
      <c r="I665" s="6" t="n">
        <v>0</v>
      </c>
      <c r="J665" s="6" t="n">
        <v>2.6</v>
      </c>
      <c r="K665" s="6" t="n">
        <v>3</v>
      </c>
      <c r="L665" s="6" t="n">
        <v>3</v>
      </c>
      <c r="M665" s="4" t="str">
        <f aca="false">IF(AND(K665="",L665=""),"No closed tickets",IF(K665="","MISSING in catalog",IF(L665="","No valid closed tickets",IF(AND(ABS(K665-L665)&gt;=$S$3,ABS(K665-L665)&gt;=$S$4*MAX(L665,1)),"FAR OFF","OK"))))</f>
        <v>OK</v>
      </c>
      <c r="N665" s="7" t="n">
        <f aca="false">D665/SUMIFS($D$2:$D$741,$B$2:$B$741,B665)</f>
        <v>0.00163942611763923</v>
      </c>
      <c r="O665" s="7" t="n">
        <f aca="false">SUMIFS($D$2:D665,$B$2:B665,B665)/SUMIFS($D$2:$D$741,$B$2:$B$741,B665)</f>
        <v>0.992942977930162</v>
      </c>
      <c r="P665" s="8" t="b">
        <f aca="false">O665-N665&lt;$S$2</f>
        <v>0</v>
      </c>
      <c r="Q665" s="2"/>
      <c r="R665" s="2"/>
      <c r="S665" s="2"/>
    </row>
    <row r="666" customFormat="false" ht="14.25" hidden="false" customHeight="false" outlineLevel="0" collapsed="false">
      <c r="A666" s="4" t="s">
        <v>744</v>
      </c>
      <c r="B666" s="4" t="s">
        <v>708</v>
      </c>
      <c r="C666" s="5" t="n">
        <v>1</v>
      </c>
      <c r="D666" s="5" t="n">
        <v>196</v>
      </c>
      <c r="E666" s="5" t="n">
        <v>59</v>
      </c>
      <c r="F666" s="5" t="n">
        <v>2</v>
      </c>
      <c r="G666" s="5" t="n">
        <v>1</v>
      </c>
      <c r="H666" s="5" t="n">
        <v>194</v>
      </c>
      <c r="I666" s="6" t="n">
        <v>2</v>
      </c>
      <c r="J666" s="6" t="n">
        <v>12.1</v>
      </c>
      <c r="K666" s="6" t="n">
        <v>18</v>
      </c>
      <c r="L666" s="6" t="n">
        <v>18</v>
      </c>
      <c r="M666" s="4" t="str">
        <f aca="false">IF(AND(K666="",L666=""),"No closed tickets",IF(K666="","MISSING in catalog",IF(L666="","No valid closed tickets",IF(AND(ABS(K666-L666)&gt;=$S$3,ABS(K666-L666)&gt;=$S$4*MAX(L666,1)),"FAR OFF","OK"))))</f>
        <v>OK</v>
      </c>
      <c r="N666" s="7" t="n">
        <f aca="false">D666/SUMIFS($D$2:$D$741,$B$2:$B$741,B666)</f>
        <v>0.00163110415765121</v>
      </c>
      <c r="O666" s="7" t="n">
        <f aca="false">SUMIFS($D$2:D666,$B$2:B666,B666)/SUMIFS($D$2:$D$741,$B$2:$B$741,B666)</f>
        <v>0.994574082087813</v>
      </c>
      <c r="P666" s="8" t="b">
        <f aca="false">O666-N666&lt;$S$2</f>
        <v>0</v>
      </c>
      <c r="Q666" s="2"/>
      <c r="R666" s="2"/>
      <c r="S666" s="2"/>
    </row>
    <row r="667" customFormat="false" ht="14.25" hidden="false" customHeight="false" outlineLevel="0" collapsed="false">
      <c r="A667" s="4" t="s">
        <v>745</v>
      </c>
      <c r="B667" s="4" t="s">
        <v>708</v>
      </c>
      <c r="C667" s="5" t="n">
        <v>1</v>
      </c>
      <c r="D667" s="5" t="n">
        <v>134</v>
      </c>
      <c r="E667" s="5" t="n">
        <v>0</v>
      </c>
      <c r="F667" s="5" t="n">
        <v>0</v>
      </c>
      <c r="G667" s="5" t="n">
        <v>0</v>
      </c>
      <c r="H667" s="5" t="n">
        <v>134</v>
      </c>
      <c r="I667" s="6" t="n">
        <v>2</v>
      </c>
      <c r="J667" s="6" t="n">
        <v>6.1</v>
      </c>
      <c r="K667" s="6" t="n">
        <v>14</v>
      </c>
      <c r="L667" s="6" t="n">
        <v>13.7</v>
      </c>
      <c r="M667" s="4" t="str">
        <f aca="false">IF(AND(K667="",L667=""),"No closed tickets",IF(K667="","MISSING in catalog",IF(L667="","No valid closed tickets",IF(AND(ABS(K667-L667)&gt;=$S$3,ABS(K667-L667)&gt;=$S$4*MAX(L667,1)),"FAR OFF","OK"))))</f>
        <v>OK</v>
      </c>
      <c r="N667" s="7" t="n">
        <f aca="false">D667/SUMIFS($D$2:$D$741,$B$2:$B$741,B667)</f>
        <v>0.00111514263839419</v>
      </c>
      <c r="O667" s="7" t="n">
        <f aca="false">SUMIFS($D$2:D667,$B$2:B667,B667)/SUMIFS($D$2:$D$741,$B$2:$B$741,B667)</f>
        <v>0.995689224726208</v>
      </c>
      <c r="P667" s="8" t="b">
        <f aca="false">O667-N667&lt;$S$2</f>
        <v>0</v>
      </c>
      <c r="Q667" s="2"/>
      <c r="R667" s="2"/>
      <c r="S667" s="2"/>
    </row>
    <row r="668" customFormat="false" ht="14.25" hidden="false" customHeight="false" outlineLevel="0" collapsed="false">
      <c r="A668" s="4" t="s">
        <v>746</v>
      </c>
      <c r="B668" s="4" t="s">
        <v>708</v>
      </c>
      <c r="C668" s="5" t="n">
        <v>2</v>
      </c>
      <c r="D668" s="5" t="n">
        <v>126</v>
      </c>
      <c r="E668" s="5" t="n">
        <v>0</v>
      </c>
      <c r="F668" s="5" t="n">
        <v>0</v>
      </c>
      <c r="G668" s="5" t="n">
        <v>0</v>
      </c>
      <c r="H668" s="5" t="n">
        <v>126</v>
      </c>
      <c r="I668" s="6" t="n">
        <v>1</v>
      </c>
      <c r="J668" s="6" t="n">
        <v>7.7</v>
      </c>
      <c r="K668" s="6" t="n">
        <v>14</v>
      </c>
      <c r="L668" s="6" t="n">
        <v>13.5</v>
      </c>
      <c r="M668" s="4" t="str">
        <f aca="false">IF(AND(K668="",L668=""),"No closed tickets",IF(K668="","MISSING in catalog",IF(L668="","No valid closed tickets",IF(AND(ABS(K668-L668)&gt;=$S$3,ABS(K668-L668)&gt;=$S$4*MAX(L668,1)),"FAR OFF","OK"))))</f>
        <v>OK</v>
      </c>
      <c r="N668" s="7" t="n">
        <f aca="false">D668/SUMIFS($D$2:$D$741,$B$2:$B$741,B668)</f>
        <v>0.00104856695849006</v>
      </c>
      <c r="O668" s="7" t="n">
        <f aca="false">SUMIFS($D$2:D668,$B$2:B668,B668)/SUMIFS($D$2:$D$741,$B$2:$B$741,B668)</f>
        <v>0.996737791684698</v>
      </c>
      <c r="P668" s="8" t="b">
        <f aca="false">O668-N668&lt;$S$2</f>
        <v>0</v>
      </c>
      <c r="Q668" s="2"/>
      <c r="R668" s="2"/>
      <c r="S668" s="2"/>
    </row>
    <row r="669" customFormat="false" ht="14.25" hidden="false" customHeight="false" outlineLevel="0" collapsed="false">
      <c r="A669" s="4" t="s">
        <v>747</v>
      </c>
      <c r="B669" s="4" t="s">
        <v>708</v>
      </c>
      <c r="C669" s="5" t="n">
        <v>1</v>
      </c>
      <c r="D669" s="5" t="n">
        <v>111</v>
      </c>
      <c r="E669" s="5" t="n">
        <v>27</v>
      </c>
      <c r="F669" s="5" t="n">
        <v>4</v>
      </c>
      <c r="G669" s="5" t="n">
        <v>1</v>
      </c>
      <c r="H669" s="5" t="n">
        <v>107</v>
      </c>
      <c r="I669" s="6" t="n">
        <v>5</v>
      </c>
      <c r="J669" s="6" t="n">
        <v>19.4</v>
      </c>
      <c r="K669" s="6" t="n">
        <v>41</v>
      </c>
      <c r="L669" s="6" t="n">
        <v>41</v>
      </c>
      <c r="M669" s="4" t="str">
        <f aca="false">IF(AND(K669="",L669=""),"No closed tickets",IF(K669="","MISSING in catalog",IF(L669="","No valid closed tickets",IF(AND(ABS(K669-L669)&gt;=$S$3,ABS(K669-L669)&gt;=$S$4*MAX(L669,1)),"FAR OFF","OK"))))</f>
        <v>OK</v>
      </c>
      <c r="N669" s="7" t="n">
        <f aca="false">D669/SUMIFS($D$2:$D$741,$B$2:$B$741,B669)</f>
        <v>0.000923737558669818</v>
      </c>
      <c r="O669" s="7" t="n">
        <f aca="false">SUMIFS($D$2:D669,$B$2:B669,B669)/SUMIFS($D$2:$D$741,$B$2:$B$741,B669)</f>
        <v>0.997661529243367</v>
      </c>
      <c r="P669" s="8" t="b">
        <f aca="false">O669-N669&lt;$S$2</f>
        <v>0</v>
      </c>
      <c r="Q669" s="2"/>
      <c r="R669" s="2"/>
      <c r="S669" s="2"/>
    </row>
    <row r="670" customFormat="false" ht="14.25" hidden="false" customHeight="false" outlineLevel="0" collapsed="false">
      <c r="A670" s="4" t="s">
        <v>748</v>
      </c>
      <c r="B670" s="4" t="s">
        <v>708</v>
      </c>
      <c r="C670" s="5" t="n">
        <v>2</v>
      </c>
      <c r="D670" s="5" t="n">
        <v>59</v>
      </c>
      <c r="E670" s="5" t="n">
        <v>0</v>
      </c>
      <c r="F670" s="5" t="n">
        <v>0</v>
      </c>
      <c r="G670" s="5" t="n">
        <v>0</v>
      </c>
      <c r="H670" s="5" t="n">
        <v>59</v>
      </c>
      <c r="I670" s="6" t="n">
        <v>2</v>
      </c>
      <c r="J670" s="6" t="n">
        <v>7.4</v>
      </c>
      <c r="K670" s="6" t="n">
        <v>19</v>
      </c>
      <c r="L670" s="6" t="n">
        <v>19</v>
      </c>
      <c r="M670" s="4" t="str">
        <f aca="false">IF(AND(K670="",L670=""),"No closed tickets",IF(K670="","MISSING in catalog",IF(L670="","No valid closed tickets",IF(AND(ABS(K670-L670)&gt;=$S$3,ABS(K670-L670)&gt;=$S$4*MAX(L670,1)),"FAR OFF","OK"))))</f>
        <v>OK</v>
      </c>
      <c r="N670" s="7" t="n">
        <f aca="false">D670/SUMIFS($D$2:$D$741,$B$2:$B$741,B670)</f>
        <v>0.000490995639292966</v>
      </c>
      <c r="O670" s="7" t="n">
        <f aca="false">SUMIFS($D$2:D670,$B$2:B670,B670)/SUMIFS($D$2:$D$741,$B$2:$B$741,B670)</f>
        <v>0.99815252488266</v>
      </c>
      <c r="P670" s="8" t="b">
        <f aca="false">O670-N670&lt;$S$2</f>
        <v>0</v>
      </c>
      <c r="Q670" s="2"/>
      <c r="R670" s="2"/>
      <c r="S670" s="2"/>
    </row>
    <row r="671" customFormat="false" ht="14.25" hidden="false" customHeight="false" outlineLevel="0" collapsed="false">
      <c r="A671" s="4" t="s">
        <v>749</v>
      </c>
      <c r="B671" s="4" t="s">
        <v>708</v>
      </c>
      <c r="C671" s="5" t="n">
        <v>1</v>
      </c>
      <c r="D671" s="5" t="n">
        <v>54</v>
      </c>
      <c r="E671" s="5" t="n">
        <v>0</v>
      </c>
      <c r="F671" s="5" t="n">
        <v>0</v>
      </c>
      <c r="G671" s="5" t="n">
        <v>0</v>
      </c>
      <c r="H671" s="5" t="n">
        <v>54</v>
      </c>
      <c r="I671" s="6" t="n">
        <v>4</v>
      </c>
      <c r="J671" s="6" t="n">
        <v>4.3</v>
      </c>
      <c r="K671" s="6" t="n">
        <v>7</v>
      </c>
      <c r="L671" s="6" t="n">
        <v>7</v>
      </c>
      <c r="M671" s="4" t="str">
        <f aca="false">IF(AND(K671="",L671=""),"No closed tickets",IF(K671="","MISSING in catalog",IF(L671="","No valid closed tickets",IF(AND(ABS(K671-L671)&gt;=$S$3,ABS(K671-L671)&gt;=$S$4*MAX(L671,1)),"FAR OFF","OK"))))</f>
        <v>OK</v>
      </c>
      <c r="N671" s="7" t="n">
        <f aca="false">D671/SUMIFS($D$2:$D$741,$B$2:$B$741,B671)</f>
        <v>0.000449385839352884</v>
      </c>
      <c r="O671" s="7" t="n">
        <f aca="false">SUMIFS($D$2:D671,$B$2:B671,B671)/SUMIFS($D$2:$D$741,$B$2:$B$741,B671)</f>
        <v>0.998601910722013</v>
      </c>
      <c r="P671" s="8" t="b">
        <f aca="false">O671-N671&lt;$S$2</f>
        <v>0</v>
      </c>
      <c r="Q671" s="2"/>
      <c r="R671" s="2"/>
      <c r="S671" s="2"/>
    </row>
    <row r="672" customFormat="false" ht="14.25" hidden="false" customHeight="false" outlineLevel="0" collapsed="false">
      <c r="A672" s="4" t="s">
        <v>750</v>
      </c>
      <c r="B672" s="4" t="s">
        <v>708</v>
      </c>
      <c r="C672" s="5" t="n">
        <v>1</v>
      </c>
      <c r="D672" s="5" t="n">
        <v>48</v>
      </c>
      <c r="E672" s="5" t="n">
        <v>0</v>
      </c>
      <c r="F672" s="5" t="n">
        <v>0</v>
      </c>
      <c r="G672" s="5" t="n">
        <v>0</v>
      </c>
      <c r="H672" s="5" t="n">
        <v>48</v>
      </c>
      <c r="I672" s="6" t="n">
        <v>2.5</v>
      </c>
      <c r="J672" s="6" t="n">
        <v>4.7</v>
      </c>
      <c r="K672" s="6" t="n">
        <v>10</v>
      </c>
      <c r="L672" s="6" t="n">
        <v>10</v>
      </c>
      <c r="M672" s="4" t="str">
        <f aca="false">IF(AND(K672="",L672=""),"No closed tickets",IF(K672="","MISSING in catalog",IF(L672="","No valid closed tickets",IF(AND(ABS(K672-L672)&gt;=$S$3,ABS(K672-L672)&gt;=$S$4*MAX(L672,1)),"FAR OFF","OK"))))</f>
        <v>OK</v>
      </c>
      <c r="N672" s="7" t="n">
        <f aca="false">D672/SUMIFS($D$2:$D$741,$B$2:$B$741,B672)</f>
        <v>0.000399454079424786</v>
      </c>
      <c r="O672" s="7" t="n">
        <f aca="false">SUMIFS($D$2:D672,$B$2:B672,B672)/SUMIFS($D$2:$D$741,$B$2:$B$741,B672)</f>
        <v>0.999001364801438</v>
      </c>
      <c r="P672" s="8" t="b">
        <f aca="false">O672-N672&lt;$S$2</f>
        <v>0</v>
      </c>
      <c r="Q672" s="2"/>
      <c r="R672" s="2"/>
      <c r="S672" s="2"/>
    </row>
    <row r="673" customFormat="false" ht="14.25" hidden="false" customHeight="false" outlineLevel="0" collapsed="false">
      <c r="A673" s="4" t="s">
        <v>751</v>
      </c>
      <c r="B673" s="4" t="s">
        <v>708</v>
      </c>
      <c r="C673" s="5" t="n">
        <v>1</v>
      </c>
      <c r="D673" s="5" t="n">
        <v>35</v>
      </c>
      <c r="E673" s="5" t="n">
        <v>0</v>
      </c>
      <c r="F673" s="5" t="n">
        <v>0</v>
      </c>
      <c r="G673" s="5" t="n">
        <v>0</v>
      </c>
      <c r="H673" s="5" t="n">
        <v>35</v>
      </c>
      <c r="I673" s="6" t="n">
        <v>4</v>
      </c>
      <c r="J673" s="6" t="n">
        <v>6.6</v>
      </c>
      <c r="K673" s="6" t="n">
        <v>13</v>
      </c>
      <c r="L673" s="6" t="n">
        <v>13</v>
      </c>
      <c r="M673" s="4" t="str">
        <f aca="false">IF(AND(K673="",L673=""),"No closed tickets",IF(K673="","MISSING in catalog",IF(L673="","No valid closed tickets",IF(AND(ABS(K673-L673)&gt;=$S$3,ABS(K673-L673)&gt;=$S$4*MAX(L673,1)),"FAR OFF","OK"))))</f>
        <v>OK</v>
      </c>
      <c r="N673" s="7" t="n">
        <f aca="false">D673/SUMIFS($D$2:$D$741,$B$2:$B$741,B673)</f>
        <v>0.000291268599580573</v>
      </c>
      <c r="O673" s="7" t="n">
        <f aca="false">SUMIFS($D$2:D673,$B$2:B673,B673)/SUMIFS($D$2:$D$741,$B$2:$B$741,B673)</f>
        <v>0.999292633401019</v>
      </c>
      <c r="P673" s="8" t="b">
        <f aca="false">O673-N673&lt;$S$2</f>
        <v>0</v>
      </c>
      <c r="Q673" s="2"/>
      <c r="R673" s="2"/>
      <c r="S673" s="2"/>
    </row>
    <row r="674" customFormat="false" ht="14.25" hidden="false" customHeight="false" outlineLevel="0" collapsed="false">
      <c r="A674" s="4" t="s">
        <v>752</v>
      </c>
      <c r="B674" s="4" t="s">
        <v>708</v>
      </c>
      <c r="C674" s="5" t="n">
        <v>1</v>
      </c>
      <c r="D674" s="5" t="n">
        <v>25</v>
      </c>
      <c r="E674" s="5" t="n">
        <v>23</v>
      </c>
      <c r="F674" s="5" t="n">
        <v>0</v>
      </c>
      <c r="G674" s="5" t="n">
        <v>0</v>
      </c>
      <c r="H674" s="5" t="n">
        <v>25</v>
      </c>
      <c r="I674" s="6" t="n">
        <v>0</v>
      </c>
      <c r="J674" s="6" t="n">
        <v>0.5</v>
      </c>
      <c r="K674" s="6" t="n">
        <v>1</v>
      </c>
      <c r="L674" s="6" t="n">
        <v>1</v>
      </c>
      <c r="M674" s="4" t="str">
        <f aca="false">IF(AND(K674="",L674=""),"No closed tickets",IF(K674="","MISSING in catalog",IF(L674="","No valid closed tickets",IF(AND(ABS(K674-L674)&gt;=$S$3,ABS(K674-L674)&gt;=$S$4*MAX(L674,1)),"FAR OFF","OK"))))</f>
        <v>OK</v>
      </c>
      <c r="N674" s="7" t="n">
        <f aca="false">D674/SUMIFS($D$2:$D$741,$B$2:$B$741,B674)</f>
        <v>0.000208048999700409</v>
      </c>
      <c r="O674" s="7" t="n">
        <f aca="false">SUMIFS($D$2:D674,$B$2:B674,B674)/SUMIFS($D$2:$D$741,$B$2:$B$741,B674)</f>
        <v>0.999500682400719</v>
      </c>
      <c r="P674" s="8" t="b">
        <f aca="false">O674-N674&lt;$S$2</f>
        <v>0</v>
      </c>
      <c r="Q674" s="2"/>
      <c r="R674" s="2"/>
      <c r="S674" s="2"/>
    </row>
    <row r="675" customFormat="false" ht="14.25" hidden="false" customHeight="false" outlineLevel="0" collapsed="false">
      <c r="A675" s="4" t="s">
        <v>753</v>
      </c>
      <c r="B675" s="4" t="s">
        <v>708</v>
      </c>
      <c r="C675" s="5" t="n">
        <v>1</v>
      </c>
      <c r="D675" s="5" t="n">
        <v>16</v>
      </c>
      <c r="E675" s="5" t="n">
        <v>0</v>
      </c>
      <c r="F675" s="5" t="n">
        <v>0</v>
      </c>
      <c r="G675" s="5" t="n">
        <v>0</v>
      </c>
      <c r="H675" s="5" t="n">
        <v>16</v>
      </c>
      <c r="I675" s="6" t="n">
        <v>161</v>
      </c>
      <c r="J675" s="6" t="n">
        <v>145.8</v>
      </c>
      <c r="K675" s="6" t="n">
        <v>286</v>
      </c>
      <c r="L675" s="6" t="n">
        <v>286</v>
      </c>
      <c r="M675" s="4" t="str">
        <f aca="false">IF(AND(K675="",L675=""),"No closed tickets",IF(K675="","MISSING in catalog",IF(L675="","No valid closed tickets",IF(AND(ABS(K675-L675)&gt;=$S$3,ABS(K675-L675)&gt;=$S$4*MAX(L675,1)),"FAR OFF","OK"))))</f>
        <v>OK</v>
      </c>
      <c r="N675" s="7" t="n">
        <f aca="false">D675/SUMIFS($D$2:$D$741,$B$2:$B$741,B675)</f>
        <v>0.000133151359808262</v>
      </c>
      <c r="O675" s="7" t="n">
        <f aca="false">SUMIFS($D$2:D675,$B$2:B675,B675)/SUMIFS($D$2:$D$741,$B$2:$B$741,B675)</f>
        <v>0.999633833760527</v>
      </c>
      <c r="P675" s="8" t="b">
        <f aca="false">O675-N675&lt;$S$2</f>
        <v>0</v>
      </c>
      <c r="Q675" s="2"/>
      <c r="R675" s="2"/>
      <c r="S675" s="2"/>
    </row>
    <row r="676" customFormat="false" ht="14.25" hidden="false" customHeight="false" outlineLevel="0" collapsed="false">
      <c r="A676" s="4" t="s">
        <v>754</v>
      </c>
      <c r="B676" s="4" t="s">
        <v>708</v>
      </c>
      <c r="C676" s="5" t="n">
        <v>1</v>
      </c>
      <c r="D676" s="5" t="n">
        <v>12</v>
      </c>
      <c r="E676" s="5" t="n">
        <v>0</v>
      </c>
      <c r="F676" s="5" t="n">
        <v>0</v>
      </c>
      <c r="G676" s="5" t="n">
        <v>0</v>
      </c>
      <c r="H676" s="5" t="n">
        <v>12</v>
      </c>
      <c r="I676" s="6" t="n">
        <v>3.5</v>
      </c>
      <c r="J676" s="6" t="n">
        <v>3</v>
      </c>
      <c r="K676" s="6" t="n">
        <v>5</v>
      </c>
      <c r="L676" s="6" t="n">
        <v>5</v>
      </c>
      <c r="M676" s="4" t="str">
        <f aca="false">IF(AND(K676="",L676=""),"No closed tickets",IF(K676="","MISSING in catalog",IF(L676="","No valid closed tickets",IF(AND(ABS(K676-L676)&gt;=$S$3,ABS(K676-L676)&gt;=$S$4*MAX(L676,1)),"FAR OFF","OK"))))</f>
        <v>OK</v>
      </c>
      <c r="N676" s="7" t="n">
        <f aca="false">D676/SUMIFS($D$2:$D$741,$B$2:$B$741,B676)</f>
        <v>9.98635198561965E-005</v>
      </c>
      <c r="O676" s="7" t="n">
        <f aca="false">SUMIFS($D$2:D676,$B$2:B676,B676)/SUMIFS($D$2:$D$741,$B$2:$B$741,B676)</f>
        <v>0.999733697280384</v>
      </c>
      <c r="P676" s="8" t="b">
        <f aca="false">O676-N676&lt;$S$2</f>
        <v>0</v>
      </c>
      <c r="Q676" s="2"/>
      <c r="R676" s="2"/>
      <c r="S676" s="2"/>
    </row>
    <row r="677" customFormat="false" ht="14.25" hidden="false" customHeight="false" outlineLevel="0" collapsed="false">
      <c r="A677" s="4" t="s">
        <v>755</v>
      </c>
      <c r="B677" s="4" t="s">
        <v>708</v>
      </c>
      <c r="C677" s="5" t="n">
        <v>1</v>
      </c>
      <c r="D677" s="5" t="n">
        <v>10</v>
      </c>
      <c r="E677" s="5" t="n">
        <v>0</v>
      </c>
      <c r="F677" s="5" t="n">
        <v>0</v>
      </c>
      <c r="G677" s="5" t="n">
        <v>0</v>
      </c>
      <c r="H677" s="5" t="n">
        <v>10</v>
      </c>
      <c r="I677" s="6" t="n">
        <v>9.5</v>
      </c>
      <c r="J677" s="6" t="n">
        <v>22.9</v>
      </c>
      <c r="K677" s="6" t="n">
        <v>71</v>
      </c>
      <c r="L677" s="6" t="n">
        <v>70.7</v>
      </c>
      <c r="M677" s="4" t="str">
        <f aca="false">IF(AND(K677="",L677=""),"No closed tickets",IF(K677="","MISSING in catalog",IF(L677="","No valid closed tickets",IF(AND(ABS(K677-L677)&gt;=$S$3,ABS(K677-L677)&gt;=$S$4*MAX(L677,1)),"FAR OFF","OK"))))</f>
        <v>OK</v>
      </c>
      <c r="N677" s="7" t="n">
        <f aca="false">D677/SUMIFS($D$2:$D$741,$B$2:$B$741,B677)</f>
        <v>8.32195998801638E-005</v>
      </c>
      <c r="O677" s="7" t="n">
        <f aca="false">SUMIFS($D$2:D677,$B$2:B677,B677)/SUMIFS($D$2:$D$741,$B$2:$B$741,B677)</f>
        <v>0.999816916880264</v>
      </c>
      <c r="P677" s="8" t="b">
        <f aca="false">O677-N677&lt;$S$2</f>
        <v>0</v>
      </c>
      <c r="Q677" s="2"/>
      <c r="R677" s="2"/>
      <c r="S677" s="2"/>
    </row>
    <row r="678" customFormat="false" ht="14.25" hidden="false" customHeight="false" outlineLevel="0" collapsed="false">
      <c r="A678" s="4" t="s">
        <v>756</v>
      </c>
      <c r="B678" s="4" t="s">
        <v>708</v>
      </c>
      <c r="C678" s="5" t="n">
        <v>1</v>
      </c>
      <c r="D678" s="5" t="n">
        <v>9</v>
      </c>
      <c r="E678" s="5" t="n">
        <v>3</v>
      </c>
      <c r="F678" s="5" t="n">
        <v>2</v>
      </c>
      <c r="G678" s="5" t="n">
        <v>2</v>
      </c>
      <c r="H678" s="5" t="n">
        <v>7</v>
      </c>
      <c r="I678" s="6" t="n">
        <v>3</v>
      </c>
      <c r="J678" s="6" t="n">
        <v>51.1</v>
      </c>
      <c r="K678" s="6" t="n">
        <v>166</v>
      </c>
      <c r="L678" s="6" t="n">
        <v>165.6</v>
      </c>
      <c r="M678" s="4" t="str">
        <f aca="false">IF(AND(K678="",L678=""),"No closed tickets",IF(K678="","MISSING in catalog",IF(L678="","No valid closed tickets",IF(AND(ABS(K678-L678)&gt;=$S$3,ABS(K678-L678)&gt;=$S$4*MAX(L678,1)),"FAR OFF","OK"))))</f>
        <v>OK</v>
      </c>
      <c r="N678" s="7" t="n">
        <f aca="false">D678/SUMIFS($D$2:$D$741,$B$2:$B$741,B678)</f>
        <v>7.48976398921474E-005</v>
      </c>
      <c r="O678" s="7" t="n">
        <f aca="false">SUMIFS($D$2:D678,$B$2:B678,B678)/SUMIFS($D$2:$D$741,$B$2:$B$741,B678)</f>
        <v>0.999891814520156</v>
      </c>
      <c r="P678" s="8" t="b">
        <f aca="false">O678-N678&lt;$S$2</f>
        <v>0</v>
      </c>
      <c r="Q678" s="2"/>
      <c r="R678" s="2"/>
      <c r="S678" s="2"/>
    </row>
    <row r="679" customFormat="false" ht="14.25" hidden="false" customHeight="false" outlineLevel="0" collapsed="false">
      <c r="A679" s="4" t="s">
        <v>757</v>
      </c>
      <c r="B679" s="4" t="s">
        <v>708</v>
      </c>
      <c r="C679" s="5" t="n">
        <v>1</v>
      </c>
      <c r="D679" s="5" t="n">
        <v>7</v>
      </c>
      <c r="E679" s="5" t="n">
        <v>0</v>
      </c>
      <c r="F679" s="5" t="n">
        <v>0</v>
      </c>
      <c r="G679" s="5" t="n">
        <v>0</v>
      </c>
      <c r="H679" s="5" t="n">
        <v>7</v>
      </c>
      <c r="I679" s="6" t="n">
        <v>3</v>
      </c>
      <c r="J679" s="6" t="n">
        <v>8.4</v>
      </c>
      <c r="K679" s="6" t="n">
        <v>20</v>
      </c>
      <c r="L679" s="6" t="n">
        <v>20</v>
      </c>
      <c r="M679" s="4" t="str">
        <f aca="false">IF(AND(K679="",L679=""),"No closed tickets",IF(K679="","MISSING in catalog",IF(L679="","No valid closed tickets",IF(AND(ABS(K679-L679)&gt;=$S$3,ABS(K679-L679)&gt;=$S$4*MAX(L679,1)),"FAR OFF","OK"))))</f>
        <v>OK</v>
      </c>
      <c r="N679" s="7" t="n">
        <f aca="false">D679/SUMIFS($D$2:$D$741,$B$2:$B$741,B679)</f>
        <v>5.82537199161146E-005</v>
      </c>
      <c r="O679" s="7" t="n">
        <f aca="false">SUMIFS($D$2:D679,$B$2:B679,B679)/SUMIFS($D$2:$D$741,$B$2:$B$741,B679)</f>
        <v>0.999950068240072</v>
      </c>
      <c r="P679" s="8" t="b">
        <f aca="false">O679-N679&lt;$S$2</f>
        <v>0</v>
      </c>
      <c r="Q679" s="2"/>
      <c r="R679" s="2"/>
      <c r="S679" s="2"/>
    </row>
    <row r="680" customFormat="false" ht="14.25" hidden="false" customHeight="false" outlineLevel="0" collapsed="false">
      <c r="A680" s="4" t="s">
        <v>758</v>
      </c>
      <c r="B680" s="4" t="s">
        <v>708</v>
      </c>
      <c r="C680" s="5" t="n">
        <v>1</v>
      </c>
      <c r="D680" s="5" t="n">
        <v>3</v>
      </c>
      <c r="E680" s="5" t="n">
        <v>0</v>
      </c>
      <c r="F680" s="5" t="n">
        <v>0</v>
      </c>
      <c r="G680" s="5" t="n">
        <v>0</v>
      </c>
      <c r="H680" s="5" t="n">
        <v>3</v>
      </c>
      <c r="I680" s="6" t="n">
        <v>5</v>
      </c>
      <c r="J680" s="6" t="n">
        <v>10.3</v>
      </c>
      <c r="K680" s="6" t="n">
        <v>20</v>
      </c>
      <c r="L680" s="6" t="n">
        <v>20.2</v>
      </c>
      <c r="M680" s="4" t="str">
        <f aca="false">IF(AND(K680="",L680=""),"No closed tickets",IF(K680="","MISSING in catalog",IF(L680="","No valid closed tickets",IF(AND(ABS(K680-L680)&gt;=$S$3,ABS(K680-L680)&gt;=$S$4*MAX(L680,1)),"FAR OFF","OK"))))</f>
        <v>OK</v>
      </c>
      <c r="N680" s="7" t="n">
        <f aca="false">D680/SUMIFS($D$2:$D$741,$B$2:$B$741,B680)</f>
        <v>2.49658799640491E-005</v>
      </c>
      <c r="O680" s="7" t="n">
        <f aca="false">SUMIFS($D$2:D680,$B$2:B680,B680)/SUMIFS($D$2:$D$741,$B$2:$B$741,B680)</f>
        <v>0.999975034120036</v>
      </c>
      <c r="P680" s="8" t="b">
        <f aca="false">O680-N680&lt;$S$2</f>
        <v>0</v>
      </c>
      <c r="Q680" s="2"/>
      <c r="R680" s="2"/>
      <c r="S680" s="2"/>
    </row>
    <row r="681" customFormat="false" ht="14.25" hidden="false" customHeight="false" outlineLevel="0" collapsed="false">
      <c r="A681" s="4" t="s">
        <v>759</v>
      </c>
      <c r="B681" s="4" t="s">
        <v>708</v>
      </c>
      <c r="C681" s="5" t="n">
        <v>1</v>
      </c>
      <c r="D681" s="5" t="n">
        <v>3</v>
      </c>
      <c r="E681" s="5" t="n">
        <v>0</v>
      </c>
      <c r="F681" s="5" t="n">
        <v>0</v>
      </c>
      <c r="G681" s="5" t="n">
        <v>0</v>
      </c>
      <c r="H681" s="5" t="n">
        <v>3</v>
      </c>
      <c r="I681" s="6" t="n">
        <v>6</v>
      </c>
      <c r="J681" s="6" t="n">
        <v>22.3</v>
      </c>
      <c r="K681" s="6" t="n">
        <v>46</v>
      </c>
      <c r="L681" s="6" t="n">
        <v>46</v>
      </c>
      <c r="M681" s="4" t="str">
        <f aca="false">IF(AND(K681="",L681=""),"No closed tickets",IF(K681="","MISSING in catalog",IF(L681="","No valid closed tickets",IF(AND(ABS(K681-L681)&gt;=$S$3,ABS(K681-L681)&gt;=$S$4*MAX(L681,1)),"FAR OFF","OK"))))</f>
        <v>OK</v>
      </c>
      <c r="N681" s="7" t="n">
        <f aca="false">D681/SUMIFS($D$2:$D$741,$B$2:$B$741,B681)</f>
        <v>2.49658799640491E-005</v>
      </c>
      <c r="O681" s="7" t="n">
        <f aca="false">SUMIFS($D$2:D681,$B$2:B681,B681)/SUMIFS($D$2:$D$741,$B$2:$B$741,B681)</f>
        <v>1</v>
      </c>
      <c r="P681" s="8" t="b">
        <f aca="false">O681-N681&lt;$S$2</f>
        <v>0</v>
      </c>
      <c r="Q681" s="2"/>
      <c r="R681" s="2"/>
      <c r="S681" s="2"/>
    </row>
    <row r="682" customFormat="false" ht="14.25" hidden="false" customHeight="false" outlineLevel="0" collapsed="false">
      <c r="A682" s="10" t="s">
        <v>760</v>
      </c>
      <c r="B682" s="10" t="s">
        <v>761</v>
      </c>
      <c r="C682" s="11" t="n">
        <v>1</v>
      </c>
      <c r="D682" s="11" t="n">
        <v>12</v>
      </c>
      <c r="E682" s="11" t="n">
        <v>12</v>
      </c>
      <c r="F682" s="11" t="n">
        <v>1</v>
      </c>
      <c r="G682" s="11" t="n">
        <v>0</v>
      </c>
      <c r="H682" s="11" t="n">
        <v>11</v>
      </c>
      <c r="I682" s="12" t="n">
        <v>6</v>
      </c>
      <c r="J682" s="12" t="n">
        <v>19.7</v>
      </c>
      <c r="K682" s="12" t="n">
        <v>54</v>
      </c>
      <c r="L682" s="12" t="n">
        <v>54</v>
      </c>
      <c r="M682" s="10" t="str">
        <f aca="false">IF(AND(K682="",L682=""),"No closed tickets",IF(K682="","MISSING in catalog",IF(L682="","No valid closed tickets",IF(AND(ABS(K682-L682)&gt;=$S$3,ABS(K682-L682)&gt;=$S$4*MAX(L682,1)),"FAR OFF","OK"))))</f>
        <v>OK</v>
      </c>
      <c r="N682" s="13" t="n">
        <f aca="false">D682/SUMIFS($D$2:$D$741,$B$2:$B$741,B682)</f>
        <v>1</v>
      </c>
      <c r="O682" s="13" t="n">
        <f aca="false">SUMIFS($D$2:D682,$B$2:B682,B682)/SUMIFS($D$2:$D$741,$B$2:$B$741,B682)</f>
        <v>1</v>
      </c>
      <c r="P682" s="14" t="b">
        <f aca="false">O682-N682&lt;$S$2</f>
        <v>1</v>
      </c>
      <c r="Q682" s="2"/>
      <c r="R682" s="2"/>
      <c r="S682" s="2"/>
    </row>
    <row r="683" customFormat="false" ht="14.25" hidden="false" customHeight="false" outlineLevel="0" collapsed="false">
      <c r="A683" s="10" t="s">
        <v>762</v>
      </c>
      <c r="B683" s="10" t="s">
        <v>763</v>
      </c>
      <c r="C683" s="11" t="n">
        <v>1</v>
      </c>
      <c r="D683" s="11" t="n">
        <v>154</v>
      </c>
      <c r="E683" s="11" t="n">
        <v>154</v>
      </c>
      <c r="F683" s="11" t="n">
        <v>4</v>
      </c>
      <c r="G683" s="11" t="n">
        <v>3</v>
      </c>
      <c r="H683" s="11" t="n">
        <v>150</v>
      </c>
      <c r="I683" s="12" t="n">
        <v>12.5</v>
      </c>
      <c r="J683" s="12" t="n">
        <v>21.1</v>
      </c>
      <c r="K683" s="12" t="n">
        <v>47</v>
      </c>
      <c r="L683" s="12" t="n">
        <v>47.2</v>
      </c>
      <c r="M683" s="10" t="str">
        <f aca="false">IF(AND(K683="",L683=""),"No closed tickets",IF(K683="","MISSING in catalog",IF(L683="","No valid closed tickets",IF(AND(ABS(K683-L683)&gt;=$S$3,ABS(K683-L683)&gt;=$S$4*MAX(L683,1)),"FAR OFF","OK"))))</f>
        <v>OK</v>
      </c>
      <c r="N683" s="13" t="n">
        <f aca="false">D683/SUMIFS($D$2:$D$741,$B$2:$B$741,B683)</f>
        <v>0.581132075471698</v>
      </c>
      <c r="O683" s="13" t="n">
        <f aca="false">SUMIFS($D$2:D683,$B$2:B683,B683)/SUMIFS($D$2:$D$741,$B$2:$B$741,B683)</f>
        <v>0.581132075471698</v>
      </c>
      <c r="P683" s="14" t="b">
        <f aca="false">O683-N683&lt;$S$2</f>
        <v>1</v>
      </c>
      <c r="Q683" s="2"/>
      <c r="R683" s="2"/>
      <c r="S683" s="2"/>
    </row>
    <row r="684" customFormat="false" ht="14.25" hidden="false" customHeight="false" outlineLevel="0" collapsed="false">
      <c r="A684" s="4" t="s">
        <v>764</v>
      </c>
      <c r="B684" s="4" t="s">
        <v>763</v>
      </c>
      <c r="C684" s="5" t="n">
        <v>1</v>
      </c>
      <c r="D684" s="5" t="n">
        <v>51</v>
      </c>
      <c r="E684" s="5" t="n">
        <v>51</v>
      </c>
      <c r="F684" s="5" t="n">
        <v>1</v>
      </c>
      <c r="G684" s="5" t="n">
        <v>0</v>
      </c>
      <c r="H684" s="5" t="n">
        <v>50</v>
      </c>
      <c r="I684" s="6" t="n">
        <v>6.5</v>
      </c>
      <c r="J684" s="6" t="n">
        <v>10</v>
      </c>
      <c r="K684" s="6" t="n">
        <v>21</v>
      </c>
      <c r="L684" s="6" t="n">
        <v>21</v>
      </c>
      <c r="M684" s="4" t="str">
        <f aca="false">IF(AND(K684="",L684=""),"No closed tickets",IF(K684="","MISSING in catalog",IF(L684="","No valid closed tickets",IF(AND(ABS(K684-L684)&gt;=$S$3,ABS(K684-L684)&gt;=$S$4*MAX(L684,1)),"FAR OFF","OK"))))</f>
        <v>OK</v>
      </c>
      <c r="N684" s="7" t="n">
        <f aca="false">D684/SUMIFS($D$2:$D$741,$B$2:$B$741,B684)</f>
        <v>0.192452830188679</v>
      </c>
      <c r="O684" s="7" t="n">
        <f aca="false">SUMIFS($D$2:D684,$B$2:B684,B684)/SUMIFS($D$2:$D$741,$B$2:$B$741,B684)</f>
        <v>0.773584905660377</v>
      </c>
      <c r="P684" s="8" t="b">
        <f aca="false">O684-N684&lt;$S$2</f>
        <v>1</v>
      </c>
      <c r="Q684" s="2"/>
      <c r="R684" s="2"/>
      <c r="S684" s="2"/>
    </row>
    <row r="685" customFormat="false" ht="14.25" hidden="false" customHeight="false" outlineLevel="0" collapsed="false">
      <c r="A685" s="4" t="s">
        <v>765</v>
      </c>
      <c r="B685" s="4" t="s">
        <v>763</v>
      </c>
      <c r="C685" s="5" t="n">
        <v>1</v>
      </c>
      <c r="D685" s="5" t="n">
        <v>26</v>
      </c>
      <c r="E685" s="5" t="n">
        <v>26</v>
      </c>
      <c r="F685" s="5" t="n">
        <v>1</v>
      </c>
      <c r="G685" s="5" t="n">
        <v>1</v>
      </c>
      <c r="H685" s="5" t="n">
        <v>25</v>
      </c>
      <c r="I685" s="6" t="n">
        <v>3</v>
      </c>
      <c r="J685" s="6" t="n">
        <v>7.9</v>
      </c>
      <c r="K685" s="6" t="n">
        <v>12</v>
      </c>
      <c r="L685" s="6" t="n">
        <v>12</v>
      </c>
      <c r="M685" s="4" t="str">
        <f aca="false">IF(AND(K685="",L685=""),"No closed tickets",IF(K685="","MISSING in catalog",IF(L685="","No valid closed tickets",IF(AND(ABS(K685-L685)&gt;=$S$3,ABS(K685-L685)&gt;=$S$4*MAX(L685,1)),"FAR OFF","OK"))))</f>
        <v>OK</v>
      </c>
      <c r="N685" s="7" t="n">
        <f aca="false">D685/SUMIFS($D$2:$D$741,$B$2:$B$741,B685)</f>
        <v>0.0981132075471698</v>
      </c>
      <c r="O685" s="7" t="n">
        <f aca="false">SUMIFS($D$2:D685,$B$2:B685,B685)/SUMIFS($D$2:$D$741,$B$2:$B$741,B685)</f>
        <v>0.871698113207547</v>
      </c>
      <c r="P685" s="8" t="b">
        <f aca="false">O685-N685&lt;$S$2</f>
        <v>1</v>
      </c>
      <c r="Q685" s="2"/>
      <c r="R685" s="2"/>
      <c r="S685" s="2"/>
    </row>
    <row r="686" customFormat="false" ht="14.25" hidden="false" customHeight="false" outlineLevel="0" collapsed="false">
      <c r="A686" s="4" t="s">
        <v>766</v>
      </c>
      <c r="B686" s="4" t="s">
        <v>763</v>
      </c>
      <c r="C686" s="5" t="n">
        <v>1</v>
      </c>
      <c r="D686" s="5" t="n">
        <v>11</v>
      </c>
      <c r="E686" s="5" t="n">
        <v>11</v>
      </c>
      <c r="F686" s="5" t="n">
        <v>1</v>
      </c>
      <c r="G686" s="5" t="n">
        <v>0</v>
      </c>
      <c r="H686" s="5" t="n">
        <v>10</v>
      </c>
      <c r="I686" s="6" t="n">
        <v>5.5</v>
      </c>
      <c r="J686" s="6" t="n">
        <v>10.1</v>
      </c>
      <c r="K686" s="6" t="n">
        <v>22</v>
      </c>
      <c r="L686" s="6" t="n">
        <v>22</v>
      </c>
      <c r="M686" s="4" t="str">
        <f aca="false">IF(AND(K686="",L686=""),"No closed tickets",IF(K686="","MISSING in catalog",IF(L686="","No valid closed tickets",IF(AND(ABS(K686-L686)&gt;=$S$3,ABS(K686-L686)&gt;=$S$4*MAX(L686,1)),"FAR OFF","OK"))))</f>
        <v>OK</v>
      </c>
      <c r="N686" s="7" t="n">
        <f aca="false">D686/SUMIFS($D$2:$D$741,$B$2:$B$741,B686)</f>
        <v>0.0415094339622642</v>
      </c>
      <c r="O686" s="7" t="n">
        <f aca="false">SUMIFS($D$2:D686,$B$2:B686,B686)/SUMIFS($D$2:$D$741,$B$2:$B$741,B686)</f>
        <v>0.913207547169811</v>
      </c>
      <c r="P686" s="8" t="b">
        <f aca="false">O686-N686&lt;$S$2</f>
        <v>1</v>
      </c>
      <c r="Q686" s="2"/>
      <c r="R686" s="2"/>
      <c r="S686" s="2"/>
    </row>
    <row r="687" customFormat="false" ht="14.25" hidden="false" customHeight="false" outlineLevel="0" collapsed="false">
      <c r="A687" s="4" t="s">
        <v>767</v>
      </c>
      <c r="B687" s="4" t="s">
        <v>763</v>
      </c>
      <c r="C687" s="5" t="n">
        <v>1</v>
      </c>
      <c r="D687" s="5" t="n">
        <v>11</v>
      </c>
      <c r="E687" s="5" t="n">
        <v>11</v>
      </c>
      <c r="F687" s="5" t="n">
        <v>1</v>
      </c>
      <c r="G687" s="5" t="n">
        <v>0</v>
      </c>
      <c r="H687" s="5" t="n">
        <v>10</v>
      </c>
      <c r="I687" s="6" t="n">
        <v>2.5</v>
      </c>
      <c r="J687" s="6" t="n">
        <v>4.5</v>
      </c>
      <c r="K687" s="6" t="n">
        <v>11</v>
      </c>
      <c r="L687" s="6" t="n">
        <v>10.9</v>
      </c>
      <c r="M687" s="4" t="str">
        <f aca="false">IF(AND(K687="",L687=""),"No closed tickets",IF(K687="","MISSING in catalog",IF(L687="","No valid closed tickets",IF(AND(ABS(K687-L687)&gt;=$S$3,ABS(K687-L687)&gt;=$S$4*MAX(L687,1)),"FAR OFF","OK"))))</f>
        <v>OK</v>
      </c>
      <c r="N687" s="7" t="n">
        <f aca="false">D687/SUMIFS($D$2:$D$741,$B$2:$B$741,B687)</f>
        <v>0.0415094339622642</v>
      </c>
      <c r="O687" s="7" t="n">
        <f aca="false">SUMIFS($D$2:D687,$B$2:B687,B687)/SUMIFS($D$2:$D$741,$B$2:$B$741,B687)</f>
        <v>0.954716981132076</v>
      </c>
      <c r="P687" s="8" t="b">
        <f aca="false">O687-N687&lt;$S$2</f>
        <v>1</v>
      </c>
      <c r="Q687" s="2"/>
      <c r="R687" s="2"/>
      <c r="S687" s="2"/>
    </row>
    <row r="688" customFormat="false" ht="14.25" hidden="false" customHeight="false" outlineLevel="0" collapsed="false">
      <c r="A688" s="4" t="s">
        <v>768</v>
      </c>
      <c r="B688" s="4" t="s">
        <v>763</v>
      </c>
      <c r="C688" s="5" t="n">
        <v>1</v>
      </c>
      <c r="D688" s="5" t="n">
        <v>5</v>
      </c>
      <c r="E688" s="5" t="n">
        <v>5</v>
      </c>
      <c r="F688" s="5" t="n">
        <v>0</v>
      </c>
      <c r="G688" s="5" t="n">
        <v>0</v>
      </c>
      <c r="H688" s="5" t="n">
        <v>5</v>
      </c>
      <c r="I688" s="6" t="n">
        <v>5</v>
      </c>
      <c r="J688" s="6" t="n">
        <v>16.2</v>
      </c>
      <c r="K688" s="6" t="n">
        <v>40</v>
      </c>
      <c r="L688" s="6" t="n">
        <v>40.4</v>
      </c>
      <c r="M688" s="4" t="str">
        <f aca="false">IF(AND(K688="",L688=""),"No closed tickets",IF(K688="","MISSING in catalog",IF(L688="","No valid closed tickets",IF(AND(ABS(K688-L688)&gt;=$S$3,ABS(K688-L688)&gt;=$S$4*MAX(L688,1)),"FAR OFF","OK"))))</f>
        <v>OK</v>
      </c>
      <c r="N688" s="7" t="n">
        <f aca="false">D688/SUMIFS($D$2:$D$741,$B$2:$B$741,B688)</f>
        <v>0.0188679245283019</v>
      </c>
      <c r="O688" s="7" t="n">
        <f aca="false">SUMIFS($D$2:D688,$B$2:B688,B688)/SUMIFS($D$2:$D$741,$B$2:$B$741,B688)</f>
        <v>0.973584905660377</v>
      </c>
      <c r="P688" s="8" t="b">
        <f aca="false">O688-N688&lt;$S$2</f>
        <v>0</v>
      </c>
      <c r="Q688" s="2"/>
      <c r="R688" s="2"/>
      <c r="S688" s="2"/>
    </row>
    <row r="689" customFormat="false" ht="14.25" hidden="false" customHeight="false" outlineLevel="0" collapsed="false">
      <c r="A689" s="4" t="s">
        <v>769</v>
      </c>
      <c r="B689" s="4" t="s">
        <v>763</v>
      </c>
      <c r="C689" s="5" t="n">
        <v>1</v>
      </c>
      <c r="D689" s="5" t="n">
        <v>5</v>
      </c>
      <c r="E689" s="5" t="n">
        <v>5</v>
      </c>
      <c r="F689" s="5" t="n">
        <v>0</v>
      </c>
      <c r="G689" s="5" t="n">
        <v>0</v>
      </c>
      <c r="H689" s="5" t="n">
        <v>5</v>
      </c>
      <c r="I689" s="6" t="n">
        <v>3</v>
      </c>
      <c r="J689" s="6" t="n">
        <v>5.8</v>
      </c>
      <c r="K689" s="6" t="n">
        <v>12</v>
      </c>
      <c r="L689" s="6" t="n">
        <v>12.2</v>
      </c>
      <c r="M689" s="4" t="str">
        <f aca="false">IF(AND(K689="",L689=""),"No closed tickets",IF(K689="","MISSING in catalog",IF(L689="","No valid closed tickets",IF(AND(ABS(K689-L689)&gt;=$S$3,ABS(K689-L689)&gt;=$S$4*MAX(L689,1)),"FAR OFF","OK"))))</f>
        <v>OK</v>
      </c>
      <c r="N689" s="7" t="n">
        <f aca="false">D689/SUMIFS($D$2:$D$741,$B$2:$B$741,B689)</f>
        <v>0.0188679245283019</v>
      </c>
      <c r="O689" s="7" t="n">
        <f aca="false">SUMIFS($D$2:D689,$B$2:B689,B689)/SUMIFS($D$2:$D$741,$B$2:$B$741,B689)</f>
        <v>0.992452830188679</v>
      </c>
      <c r="P689" s="8" t="b">
        <f aca="false">O689-N689&lt;$S$2</f>
        <v>0</v>
      </c>
      <c r="Q689" s="2"/>
      <c r="R689" s="2"/>
      <c r="S689" s="2"/>
    </row>
    <row r="690" customFormat="false" ht="14.25" hidden="false" customHeight="false" outlineLevel="0" collapsed="false">
      <c r="A690" s="4" t="s">
        <v>770</v>
      </c>
      <c r="B690" s="4" t="s">
        <v>763</v>
      </c>
      <c r="C690" s="5" t="n">
        <v>1</v>
      </c>
      <c r="D690" s="5" t="n">
        <v>2</v>
      </c>
      <c r="E690" s="5" t="n">
        <v>2</v>
      </c>
      <c r="F690" s="5" t="n">
        <v>0</v>
      </c>
      <c r="G690" s="5" t="n">
        <v>0</v>
      </c>
      <c r="H690" s="5" t="n">
        <v>2</v>
      </c>
      <c r="I690" s="6" t="n">
        <v>6.5</v>
      </c>
      <c r="J690" s="6" t="n">
        <v>6.5</v>
      </c>
      <c r="K690" s="6" t="n">
        <v>8</v>
      </c>
      <c r="L690" s="6" t="n">
        <v>7.7</v>
      </c>
      <c r="M690" s="4" t="str">
        <f aca="false">IF(AND(K690="",L690=""),"No closed tickets",IF(K690="","MISSING in catalog",IF(L690="","No valid closed tickets",IF(AND(ABS(K690-L690)&gt;=$S$3,ABS(K690-L690)&gt;=$S$4*MAX(L690,1)),"FAR OFF","OK"))))</f>
        <v>OK</v>
      </c>
      <c r="N690" s="7" t="n">
        <f aca="false">D690/SUMIFS($D$2:$D$741,$B$2:$B$741,B690)</f>
        <v>0.00754716981132076</v>
      </c>
      <c r="O690" s="7" t="n">
        <f aca="false">SUMIFS($D$2:D690,$B$2:B690,B690)/SUMIFS($D$2:$D$741,$B$2:$B$741,B690)</f>
        <v>1</v>
      </c>
      <c r="P690" s="8" t="b">
        <f aca="false">O690-N690&lt;$S$2</f>
        <v>0</v>
      </c>
      <c r="Q690" s="2"/>
      <c r="R690" s="2"/>
      <c r="S690" s="2"/>
    </row>
    <row r="691" customFormat="false" ht="14.25" hidden="false" customHeight="false" outlineLevel="0" collapsed="false">
      <c r="A691" s="10" t="s">
        <v>771</v>
      </c>
      <c r="B691" s="10" t="s">
        <v>772</v>
      </c>
      <c r="C691" s="11" t="n">
        <v>1</v>
      </c>
      <c r="D691" s="11" t="n">
        <v>17</v>
      </c>
      <c r="E691" s="11" t="n">
        <v>12</v>
      </c>
      <c r="F691" s="11" t="n">
        <v>2</v>
      </c>
      <c r="G691" s="11" t="n">
        <v>2</v>
      </c>
      <c r="H691" s="11" t="n">
        <v>15</v>
      </c>
      <c r="I691" s="12" t="n">
        <v>3</v>
      </c>
      <c r="J691" s="12" t="n">
        <v>3.3</v>
      </c>
      <c r="K691" s="12" t="n">
        <v>6</v>
      </c>
      <c r="L691" s="12" t="n">
        <v>5.6</v>
      </c>
      <c r="M691" s="10" t="str">
        <f aca="false">IF(AND(K691="",L691=""),"No closed tickets",IF(K691="","MISSING in catalog",IF(L691="","No valid closed tickets",IF(AND(ABS(K691-L691)&gt;=$S$3,ABS(K691-L691)&gt;=$S$4*MAX(L691,1)),"FAR OFF","OK"))))</f>
        <v>OK</v>
      </c>
      <c r="N691" s="13" t="n">
        <f aca="false">D691/SUMIFS($D$2:$D$741,$B$2:$B$741,B691)</f>
        <v>1</v>
      </c>
      <c r="O691" s="13" t="n">
        <f aca="false">SUMIFS($D$2:D691,$B$2:B691,B691)/SUMIFS($D$2:$D$741,$B$2:$B$741,B691)</f>
        <v>1</v>
      </c>
      <c r="P691" s="14" t="b">
        <f aca="false">O691-N691&lt;$S$2</f>
        <v>1</v>
      </c>
      <c r="Q691" s="2"/>
      <c r="R691" s="2"/>
      <c r="S691" s="2"/>
    </row>
    <row r="692" customFormat="false" ht="14.25" hidden="false" customHeight="false" outlineLevel="0" collapsed="false">
      <c r="A692" s="10" t="s">
        <v>773</v>
      </c>
      <c r="B692" s="10" t="s">
        <v>774</v>
      </c>
      <c r="C692" s="11" t="n">
        <v>2</v>
      </c>
      <c r="D692" s="11" t="n">
        <v>750</v>
      </c>
      <c r="E692" s="11" t="n">
        <v>35</v>
      </c>
      <c r="F692" s="11" t="n">
        <v>2</v>
      </c>
      <c r="G692" s="11" t="n">
        <v>2</v>
      </c>
      <c r="H692" s="11" t="n">
        <v>748</v>
      </c>
      <c r="I692" s="12" t="n">
        <v>1</v>
      </c>
      <c r="J692" s="12" t="n">
        <v>1.6</v>
      </c>
      <c r="K692" s="12" t="n">
        <v>3</v>
      </c>
      <c r="L692" s="12" t="n">
        <v>3</v>
      </c>
      <c r="M692" s="10" t="str">
        <f aca="false">IF(AND(K692="",L692=""),"No closed tickets",IF(K692="","MISSING in catalog",IF(L692="","No valid closed tickets",IF(AND(ABS(K692-L692)&gt;=$S$3,ABS(K692-L692)&gt;=$S$4*MAX(L692,1)),"FAR OFF","OK"))))</f>
        <v>OK</v>
      </c>
      <c r="N692" s="13" t="n">
        <f aca="false">D692/SUMIFS($D$2:$D$741,$B$2:$B$741,B692)</f>
        <v>0.676284941388638</v>
      </c>
      <c r="O692" s="13" t="n">
        <f aca="false">SUMIFS($D$2:D692,$B$2:B692,B692)/SUMIFS($D$2:$D$741,$B$2:$B$741,B692)</f>
        <v>0.676284941388638</v>
      </c>
      <c r="P692" s="14" t="b">
        <f aca="false">O692-N692&lt;$S$2</f>
        <v>1</v>
      </c>
      <c r="Q692" s="2"/>
      <c r="R692" s="2"/>
      <c r="S692" s="2"/>
    </row>
    <row r="693" customFormat="false" ht="14.25" hidden="false" customHeight="false" outlineLevel="0" collapsed="false">
      <c r="A693" s="4" t="s">
        <v>775</v>
      </c>
      <c r="B693" s="4" t="s">
        <v>774</v>
      </c>
      <c r="C693" s="5" t="n">
        <v>2</v>
      </c>
      <c r="D693" s="5" t="n">
        <v>77</v>
      </c>
      <c r="E693" s="5" t="n">
        <v>9</v>
      </c>
      <c r="F693" s="5" t="n">
        <v>0</v>
      </c>
      <c r="G693" s="5" t="n">
        <v>0</v>
      </c>
      <c r="H693" s="5" t="n">
        <v>77</v>
      </c>
      <c r="I693" s="6" t="n">
        <v>6</v>
      </c>
      <c r="J693" s="6" t="n">
        <v>17.6</v>
      </c>
      <c r="K693" s="6" t="n">
        <v>59</v>
      </c>
      <c r="L693" s="6" t="n">
        <v>59.2</v>
      </c>
      <c r="M693" s="4" t="str">
        <f aca="false">IF(AND(K693="",L693=""),"No closed tickets",IF(K693="","MISSING in catalog",IF(L693="","No valid closed tickets",IF(AND(ABS(K693-L693)&gt;=$S$3,ABS(K693-L693)&gt;=$S$4*MAX(L693,1)),"FAR OFF","OK"))))</f>
        <v>OK</v>
      </c>
      <c r="N693" s="7" t="n">
        <f aca="false">D693/SUMIFS($D$2:$D$741,$B$2:$B$741,B693)</f>
        <v>0.0694319206492336</v>
      </c>
      <c r="O693" s="7" t="n">
        <f aca="false">SUMIFS($D$2:D693,$B$2:B693,B693)/SUMIFS($D$2:$D$741,$B$2:$B$741,B693)</f>
        <v>0.745716862037872</v>
      </c>
      <c r="P693" s="8" t="b">
        <f aca="false">O693-N693&lt;$S$2</f>
        <v>1</v>
      </c>
      <c r="Q693" s="2"/>
      <c r="R693" s="2"/>
      <c r="S693" s="2"/>
    </row>
    <row r="694" customFormat="false" ht="14.25" hidden="false" customHeight="false" outlineLevel="0" collapsed="false">
      <c r="A694" s="4" t="s">
        <v>776</v>
      </c>
      <c r="B694" s="4" t="s">
        <v>774</v>
      </c>
      <c r="C694" s="5" t="n">
        <v>1</v>
      </c>
      <c r="D694" s="5" t="n">
        <v>72</v>
      </c>
      <c r="E694" s="5" t="n">
        <v>58</v>
      </c>
      <c r="F694" s="5" t="n">
        <v>0</v>
      </c>
      <c r="G694" s="5" t="n">
        <v>0</v>
      </c>
      <c r="H694" s="5" t="n">
        <v>72</v>
      </c>
      <c r="I694" s="6" t="n">
        <v>4</v>
      </c>
      <c r="J694" s="6" t="n">
        <v>7.1</v>
      </c>
      <c r="K694" s="6" t="n">
        <v>15</v>
      </c>
      <c r="L694" s="6" t="n">
        <v>14.9</v>
      </c>
      <c r="M694" s="4" t="str">
        <f aca="false">IF(AND(K694="",L694=""),"No closed tickets",IF(K694="","MISSING in catalog",IF(L694="","No valid closed tickets",IF(AND(ABS(K694-L694)&gt;=$S$3,ABS(K694-L694)&gt;=$S$4*MAX(L694,1)),"FAR OFF","OK"))))</f>
        <v>OK</v>
      </c>
      <c r="N694" s="7" t="n">
        <f aca="false">D694/SUMIFS($D$2:$D$741,$B$2:$B$741,B694)</f>
        <v>0.0649233543733093</v>
      </c>
      <c r="O694" s="7" t="n">
        <f aca="false">SUMIFS($D$2:D694,$B$2:B694,B694)/SUMIFS($D$2:$D$741,$B$2:$B$741,B694)</f>
        <v>0.810640216411181</v>
      </c>
      <c r="P694" s="8" t="b">
        <f aca="false">O694-N694&lt;$S$2</f>
        <v>1</v>
      </c>
      <c r="Q694" s="2"/>
      <c r="R694" s="2"/>
      <c r="S694" s="2"/>
    </row>
    <row r="695" customFormat="false" ht="14.25" hidden="false" customHeight="false" outlineLevel="0" collapsed="false">
      <c r="A695" s="4" t="s">
        <v>777</v>
      </c>
      <c r="B695" s="4" t="s">
        <v>774</v>
      </c>
      <c r="C695" s="5" t="n">
        <v>2</v>
      </c>
      <c r="D695" s="5" t="n">
        <v>52</v>
      </c>
      <c r="E695" s="5" t="n">
        <v>2</v>
      </c>
      <c r="F695" s="5" t="n">
        <v>0</v>
      </c>
      <c r="G695" s="5" t="n">
        <v>0</v>
      </c>
      <c r="H695" s="5" t="n">
        <v>52</v>
      </c>
      <c r="I695" s="6" t="n">
        <v>0</v>
      </c>
      <c r="J695" s="6" t="n">
        <v>2.8</v>
      </c>
      <c r="K695" s="6" t="n">
        <v>0</v>
      </c>
      <c r="L695" s="6" t="n">
        <v>0</v>
      </c>
      <c r="M695" s="4" t="str">
        <f aca="false">IF(AND(K695="",L695=""),"No closed tickets",IF(K695="","MISSING in catalog",IF(L695="","No valid closed tickets",IF(AND(ABS(K695-L695)&gt;=$S$3,ABS(K695-L695)&gt;=$S$4*MAX(L695,1)),"FAR OFF","OK"))))</f>
        <v>OK</v>
      </c>
      <c r="N695" s="7" t="n">
        <f aca="false">D695/SUMIFS($D$2:$D$741,$B$2:$B$741,B695)</f>
        <v>0.0468890892696123</v>
      </c>
      <c r="O695" s="7" t="n">
        <f aca="false">SUMIFS($D$2:D695,$B$2:B695,B695)/SUMIFS($D$2:$D$741,$B$2:$B$741,B695)</f>
        <v>0.857529305680794</v>
      </c>
      <c r="P695" s="8" t="b">
        <f aca="false">O695-N695&lt;$S$2</f>
        <v>1</v>
      </c>
      <c r="Q695" s="2"/>
      <c r="R695" s="2"/>
      <c r="S695" s="2"/>
    </row>
    <row r="696" customFormat="false" ht="14.25" hidden="false" customHeight="false" outlineLevel="0" collapsed="false">
      <c r="A696" s="4" t="s">
        <v>778</v>
      </c>
      <c r="B696" s="4" t="s">
        <v>774</v>
      </c>
      <c r="C696" s="5" t="n">
        <v>2</v>
      </c>
      <c r="D696" s="5" t="n">
        <v>46</v>
      </c>
      <c r="E696" s="5" t="n">
        <v>0</v>
      </c>
      <c r="F696" s="5" t="n">
        <v>0</v>
      </c>
      <c r="G696" s="5" t="n">
        <v>0</v>
      </c>
      <c r="H696" s="5" t="n">
        <v>46</v>
      </c>
      <c r="I696" s="6" t="n">
        <v>3</v>
      </c>
      <c r="J696" s="6" t="n">
        <v>11</v>
      </c>
      <c r="K696" s="6" t="n">
        <v>28</v>
      </c>
      <c r="L696" s="6" t="n">
        <v>27.5</v>
      </c>
      <c r="M696" s="4" t="str">
        <f aca="false">IF(AND(K696="",L696=""),"No closed tickets",IF(K696="","MISSING in catalog",IF(L696="","No valid closed tickets",IF(AND(ABS(K696-L696)&gt;=$S$3,ABS(K696-L696)&gt;=$S$4*MAX(L696,1)),"FAR OFF","OK"))))</f>
        <v>OK</v>
      </c>
      <c r="N696" s="7" t="n">
        <f aca="false">D696/SUMIFS($D$2:$D$741,$B$2:$B$741,B696)</f>
        <v>0.0414788097385032</v>
      </c>
      <c r="O696" s="7" t="n">
        <f aca="false">SUMIFS($D$2:D696,$B$2:B696,B696)/SUMIFS($D$2:$D$741,$B$2:$B$741,B696)</f>
        <v>0.899008115419297</v>
      </c>
      <c r="P696" s="8" t="b">
        <f aca="false">O696-N696&lt;$S$2</f>
        <v>1</v>
      </c>
      <c r="Q696" s="2"/>
      <c r="R696" s="2"/>
      <c r="S696" s="2"/>
    </row>
    <row r="697" customFormat="false" ht="14.25" hidden="false" customHeight="false" outlineLevel="0" collapsed="false">
      <c r="A697" s="4" t="s">
        <v>779</v>
      </c>
      <c r="B697" s="4" t="s">
        <v>774</v>
      </c>
      <c r="C697" s="5" t="n">
        <v>2</v>
      </c>
      <c r="D697" s="5" t="n">
        <v>41</v>
      </c>
      <c r="E697" s="5" t="n">
        <v>0</v>
      </c>
      <c r="F697" s="5" t="n">
        <v>0</v>
      </c>
      <c r="G697" s="5" t="n">
        <v>0</v>
      </c>
      <c r="H697" s="5" t="n">
        <v>41</v>
      </c>
      <c r="I697" s="6" t="n">
        <v>20</v>
      </c>
      <c r="J697" s="6" t="n">
        <v>43.7</v>
      </c>
      <c r="K697" s="6" t="n">
        <v>136</v>
      </c>
      <c r="L697" s="6" t="n">
        <v>136</v>
      </c>
      <c r="M697" s="4" t="str">
        <f aca="false">IF(AND(K697="",L697=""),"No closed tickets",IF(K697="","MISSING in catalog",IF(L697="","No valid closed tickets",IF(AND(ABS(K697-L697)&gt;=$S$3,ABS(K697-L697)&gt;=$S$4*MAX(L697,1)),"FAR OFF","OK"))))</f>
        <v>OK</v>
      </c>
      <c r="N697" s="7" t="n">
        <f aca="false">D697/SUMIFS($D$2:$D$741,$B$2:$B$741,B697)</f>
        <v>0.0369702434625789</v>
      </c>
      <c r="O697" s="7" t="n">
        <f aca="false">SUMIFS($D$2:D697,$B$2:B697,B697)/SUMIFS($D$2:$D$741,$B$2:$B$741,B697)</f>
        <v>0.935978358881876</v>
      </c>
      <c r="P697" s="8" t="b">
        <f aca="false">O697-N697&lt;$S$2</f>
        <v>1</v>
      </c>
      <c r="Q697" s="2"/>
      <c r="R697" s="2"/>
      <c r="S697" s="2"/>
    </row>
    <row r="698" customFormat="false" ht="14.25" hidden="false" customHeight="false" outlineLevel="0" collapsed="false">
      <c r="A698" s="4" t="s">
        <v>780</v>
      </c>
      <c r="B698" s="4" t="s">
        <v>774</v>
      </c>
      <c r="C698" s="5" t="n">
        <v>1</v>
      </c>
      <c r="D698" s="5" t="n">
        <v>34</v>
      </c>
      <c r="E698" s="5" t="n">
        <v>2</v>
      </c>
      <c r="F698" s="5" t="n">
        <v>0</v>
      </c>
      <c r="G698" s="5" t="n">
        <v>0</v>
      </c>
      <c r="H698" s="5" t="n">
        <v>34</v>
      </c>
      <c r="I698" s="6" t="n">
        <v>2.5</v>
      </c>
      <c r="J698" s="6" t="n">
        <v>7.2</v>
      </c>
      <c r="K698" s="6" t="n">
        <v>8</v>
      </c>
      <c r="L698" s="6" t="n">
        <v>7.7</v>
      </c>
      <c r="M698" s="4" t="str">
        <f aca="false">IF(AND(K698="",L698=""),"No closed tickets",IF(K698="","MISSING in catalog",IF(L698="","No valid closed tickets",IF(AND(ABS(K698-L698)&gt;=$S$3,ABS(K698-L698)&gt;=$S$4*MAX(L698,1)),"FAR OFF","OK"))))</f>
        <v>OK</v>
      </c>
      <c r="N698" s="7" t="n">
        <f aca="false">D698/SUMIFS($D$2:$D$741,$B$2:$B$741,B698)</f>
        <v>0.0306582506762849</v>
      </c>
      <c r="O698" s="7" t="n">
        <f aca="false">SUMIFS($D$2:D698,$B$2:B698,B698)/SUMIFS($D$2:$D$741,$B$2:$B$741,B698)</f>
        <v>0.966636609558161</v>
      </c>
      <c r="P698" s="8" t="b">
        <f aca="false">O698-N698&lt;$S$2</f>
        <v>1</v>
      </c>
      <c r="Q698" s="2"/>
      <c r="R698" s="2"/>
      <c r="S698" s="2"/>
    </row>
    <row r="699" customFormat="false" ht="14.25" hidden="false" customHeight="false" outlineLevel="0" collapsed="false">
      <c r="A699" s="4" t="s">
        <v>781</v>
      </c>
      <c r="B699" s="4" t="s">
        <v>774</v>
      </c>
      <c r="C699" s="5" t="n">
        <v>2</v>
      </c>
      <c r="D699" s="5" t="n">
        <v>19</v>
      </c>
      <c r="E699" s="5" t="n">
        <v>2</v>
      </c>
      <c r="F699" s="5" t="n">
        <v>0</v>
      </c>
      <c r="G699" s="5" t="n">
        <v>0</v>
      </c>
      <c r="H699" s="5" t="n">
        <v>19</v>
      </c>
      <c r="I699" s="6" t="n">
        <v>4</v>
      </c>
      <c r="J699" s="6" t="n">
        <v>17.5</v>
      </c>
      <c r="K699" s="6" t="n">
        <v>66</v>
      </c>
      <c r="L699" s="6" t="n">
        <v>66.2</v>
      </c>
      <c r="M699" s="4" t="str">
        <f aca="false">IF(AND(K699="",L699=""),"No closed tickets",IF(K699="","MISSING in catalog",IF(L699="","No valid closed tickets",IF(AND(ABS(K699-L699)&gt;=$S$3,ABS(K699-L699)&gt;=$S$4*MAX(L699,1)),"FAR OFF","OK"))))</f>
        <v>OK</v>
      </c>
      <c r="N699" s="7" t="n">
        <f aca="false">D699/SUMIFS($D$2:$D$741,$B$2:$B$741,B699)</f>
        <v>0.0171325518485122</v>
      </c>
      <c r="O699" s="7" t="n">
        <f aca="false">SUMIFS($D$2:D699,$B$2:B699,B699)/SUMIFS($D$2:$D$741,$B$2:$B$741,B699)</f>
        <v>0.983769161406673</v>
      </c>
      <c r="P699" s="8" t="b">
        <f aca="false">O699-N699&lt;$S$2</f>
        <v>0</v>
      </c>
      <c r="Q699" s="2"/>
      <c r="R699" s="2"/>
      <c r="S699" s="2"/>
    </row>
    <row r="700" customFormat="false" ht="14.25" hidden="false" customHeight="false" outlineLevel="0" collapsed="false">
      <c r="A700" s="4" t="s">
        <v>782</v>
      </c>
      <c r="B700" s="4" t="s">
        <v>774</v>
      </c>
      <c r="C700" s="5" t="n">
        <v>2</v>
      </c>
      <c r="D700" s="5" t="n">
        <v>6</v>
      </c>
      <c r="E700" s="5" t="n">
        <v>0</v>
      </c>
      <c r="F700" s="5" t="n">
        <v>0</v>
      </c>
      <c r="G700" s="5" t="n">
        <v>0</v>
      </c>
      <c r="H700" s="5" t="n">
        <v>6</v>
      </c>
      <c r="I700" s="6" t="n">
        <v>1</v>
      </c>
      <c r="J700" s="6" t="n">
        <v>15.8</v>
      </c>
      <c r="K700" s="6" t="n">
        <v>46</v>
      </c>
      <c r="L700" s="6" t="n">
        <v>46.5</v>
      </c>
      <c r="M700" s="4" t="str">
        <f aca="false">IF(AND(K700="",L700=""),"No closed tickets",IF(K700="","MISSING in catalog",IF(L700="","No valid closed tickets",IF(AND(ABS(K700-L700)&gt;=$S$3,ABS(K700-L700)&gt;=$S$4*MAX(L700,1)),"FAR OFF","OK"))))</f>
        <v>OK</v>
      </c>
      <c r="N700" s="7" t="n">
        <f aca="false">D700/SUMIFS($D$2:$D$741,$B$2:$B$741,B700)</f>
        <v>0.00541027953110911</v>
      </c>
      <c r="O700" s="7" t="n">
        <f aca="false">SUMIFS($D$2:D700,$B$2:B700,B700)/SUMIFS($D$2:$D$741,$B$2:$B$741,B700)</f>
        <v>0.989179440937782</v>
      </c>
      <c r="P700" s="8" t="b">
        <f aca="false">O700-N700&lt;$S$2</f>
        <v>0</v>
      </c>
      <c r="Q700" s="2"/>
      <c r="R700" s="2"/>
      <c r="S700" s="2"/>
    </row>
    <row r="701" customFormat="false" ht="14.25" hidden="false" customHeight="false" outlineLevel="0" collapsed="false">
      <c r="A701" s="4" t="s">
        <v>783</v>
      </c>
      <c r="B701" s="4" t="s">
        <v>774</v>
      </c>
      <c r="C701" s="5" t="n">
        <v>2</v>
      </c>
      <c r="D701" s="5" t="n">
        <v>5</v>
      </c>
      <c r="E701" s="5" t="n">
        <v>0</v>
      </c>
      <c r="F701" s="5" t="n">
        <v>0</v>
      </c>
      <c r="G701" s="5" t="n">
        <v>0</v>
      </c>
      <c r="H701" s="5" t="n">
        <v>5</v>
      </c>
      <c r="I701" s="6" t="n">
        <v>12</v>
      </c>
      <c r="J701" s="6" t="n">
        <v>12.6</v>
      </c>
      <c r="K701" s="6" t="n">
        <v>21</v>
      </c>
      <c r="L701" s="6" t="n">
        <v>21.2</v>
      </c>
      <c r="M701" s="4" t="str">
        <f aca="false">IF(AND(K701="",L701=""),"No closed tickets",IF(K701="","MISSING in catalog",IF(L701="","No valid closed tickets",IF(AND(ABS(K701-L701)&gt;=$S$3,ABS(K701-L701)&gt;=$S$4*MAX(L701,1)),"FAR OFF","OK"))))</f>
        <v>OK</v>
      </c>
      <c r="N701" s="7" t="n">
        <f aca="false">D701/SUMIFS($D$2:$D$741,$B$2:$B$741,B701)</f>
        <v>0.00450856627592426</v>
      </c>
      <c r="O701" s="7" t="n">
        <f aca="false">SUMIFS($D$2:D701,$B$2:B701,B701)/SUMIFS($D$2:$D$741,$B$2:$B$741,B701)</f>
        <v>0.993688007213706</v>
      </c>
      <c r="P701" s="8" t="b">
        <f aca="false">O701-N701&lt;$S$2</f>
        <v>0</v>
      </c>
      <c r="Q701" s="2"/>
      <c r="R701" s="2"/>
      <c r="S701" s="2"/>
    </row>
    <row r="702" customFormat="false" ht="14.25" hidden="false" customHeight="false" outlineLevel="0" collapsed="false">
      <c r="A702" s="4" t="s">
        <v>784</v>
      </c>
      <c r="B702" s="4" t="s">
        <v>774</v>
      </c>
      <c r="C702" s="5" t="n">
        <v>2</v>
      </c>
      <c r="D702" s="5" t="n">
        <v>5</v>
      </c>
      <c r="E702" s="5" t="n">
        <v>0</v>
      </c>
      <c r="F702" s="5" t="n">
        <v>0</v>
      </c>
      <c r="G702" s="5" t="n">
        <v>0</v>
      </c>
      <c r="H702" s="5" t="n">
        <v>5</v>
      </c>
      <c r="I702" s="6" t="n">
        <v>4</v>
      </c>
      <c r="J702" s="6" t="n">
        <v>3.4</v>
      </c>
      <c r="K702" s="6" t="n">
        <v>6</v>
      </c>
      <c r="L702" s="6" t="n">
        <v>6.4</v>
      </c>
      <c r="M702" s="4" t="str">
        <f aca="false">IF(AND(K702="",L702=""),"No closed tickets",IF(K702="","MISSING in catalog",IF(L702="","No valid closed tickets",IF(AND(ABS(K702-L702)&gt;=$S$3,ABS(K702-L702)&gt;=$S$4*MAX(L702,1)),"FAR OFF","OK"))))</f>
        <v>OK</v>
      </c>
      <c r="N702" s="7" t="n">
        <f aca="false">D702/SUMIFS($D$2:$D$741,$B$2:$B$741,B702)</f>
        <v>0.00450856627592426</v>
      </c>
      <c r="O702" s="7" t="n">
        <f aca="false">SUMIFS($D$2:D702,$B$2:B702,B702)/SUMIFS($D$2:$D$741,$B$2:$B$741,B702)</f>
        <v>0.99819657348963</v>
      </c>
      <c r="P702" s="8" t="b">
        <f aca="false">O702-N702&lt;$S$2</f>
        <v>0</v>
      </c>
      <c r="Q702" s="2"/>
      <c r="R702" s="2"/>
      <c r="S702" s="2"/>
    </row>
    <row r="703" customFormat="false" ht="14.25" hidden="false" customHeight="false" outlineLevel="0" collapsed="false">
      <c r="A703" s="4" t="s">
        <v>785</v>
      </c>
      <c r="B703" s="4" t="s">
        <v>774</v>
      </c>
      <c r="C703" s="5" t="n">
        <v>2</v>
      </c>
      <c r="D703" s="5" t="n">
        <v>2</v>
      </c>
      <c r="E703" s="5" t="n">
        <v>0</v>
      </c>
      <c r="F703" s="5" t="n">
        <v>0</v>
      </c>
      <c r="G703" s="5" t="n">
        <v>0</v>
      </c>
      <c r="H703" s="5" t="n">
        <v>2</v>
      </c>
      <c r="I703" s="6" t="n">
        <v>1</v>
      </c>
      <c r="J703" s="6" t="n">
        <v>1</v>
      </c>
      <c r="K703" s="6" t="n">
        <v>1</v>
      </c>
      <c r="L703" s="6" t="n">
        <v>1</v>
      </c>
      <c r="M703" s="4" t="str">
        <f aca="false">IF(AND(K703="",L703=""),"No closed tickets",IF(K703="","MISSING in catalog",IF(L703="","No valid closed tickets",IF(AND(ABS(K703-L703)&gt;=$S$3,ABS(K703-L703)&gt;=$S$4*MAX(L703,1)),"FAR OFF","OK"))))</f>
        <v>OK</v>
      </c>
      <c r="N703" s="7" t="n">
        <f aca="false">D703/SUMIFS($D$2:$D$741,$B$2:$B$741,B703)</f>
        <v>0.0018034265103697</v>
      </c>
      <c r="O703" s="7" t="n">
        <f aca="false">SUMIFS($D$2:D703,$B$2:B703,B703)/SUMIFS($D$2:$D$741,$B$2:$B$741,B703)</f>
        <v>1</v>
      </c>
      <c r="P703" s="8" t="b">
        <f aca="false">O703-N703&lt;$S$2</f>
        <v>0</v>
      </c>
      <c r="Q703" s="2"/>
      <c r="R703" s="2"/>
      <c r="S703" s="2"/>
    </row>
    <row r="704" customFormat="false" ht="14.25" hidden="false" customHeight="false" outlineLevel="0" collapsed="false">
      <c r="A704" s="10" t="s">
        <v>786</v>
      </c>
      <c r="B704" s="10" t="s">
        <v>787</v>
      </c>
      <c r="C704" s="11" t="n">
        <v>2</v>
      </c>
      <c r="D704" s="11" t="n">
        <v>26020</v>
      </c>
      <c r="E704" s="11" t="n">
        <v>0</v>
      </c>
      <c r="F704" s="11" t="n">
        <v>12549</v>
      </c>
      <c r="G704" s="11" t="n">
        <v>12549</v>
      </c>
      <c r="H704" s="11" t="n">
        <v>13470</v>
      </c>
      <c r="I704" s="12" t="n">
        <v>2</v>
      </c>
      <c r="J704" s="12" t="n">
        <v>5.1</v>
      </c>
      <c r="K704" s="12" t="n">
        <v>16</v>
      </c>
      <c r="L704" s="12" t="n">
        <v>16</v>
      </c>
      <c r="M704" s="10" t="str">
        <f aca="false">IF(AND(K704="",L704=""),"No closed tickets",IF(K704="","MISSING in catalog",IF(L704="","No valid closed tickets",IF(AND(ABS(K704-L704)&gt;=$S$3,ABS(K704-L704)&gt;=$S$4*MAX(L704,1)),"FAR OFF","OK"))))</f>
        <v>OK</v>
      </c>
      <c r="N704" s="13" t="n">
        <f aca="false">D704/SUMIFS($D$2:$D$741,$B$2:$B$741,B704)</f>
        <v>0.852863089580124</v>
      </c>
      <c r="O704" s="13" t="n">
        <f aca="false">SUMIFS($D$2:D704,$B$2:B704,B704)/SUMIFS($D$2:$D$741,$B$2:$B$741,B704)</f>
        <v>0.852863089580124</v>
      </c>
      <c r="P704" s="14" t="b">
        <f aca="false">O704-N704&lt;$S$2</f>
        <v>1</v>
      </c>
      <c r="Q704" s="2"/>
      <c r="R704" s="2"/>
      <c r="S704" s="2"/>
    </row>
    <row r="705" customFormat="false" ht="14.25" hidden="false" customHeight="false" outlineLevel="0" collapsed="false">
      <c r="A705" s="4" t="s">
        <v>788</v>
      </c>
      <c r="B705" s="4" t="s">
        <v>787</v>
      </c>
      <c r="C705" s="5" t="n">
        <v>2</v>
      </c>
      <c r="D705" s="5" t="n">
        <v>2425</v>
      </c>
      <c r="E705" s="5" t="n">
        <v>0</v>
      </c>
      <c r="F705" s="5" t="n">
        <v>7</v>
      </c>
      <c r="G705" s="5" t="n">
        <v>7</v>
      </c>
      <c r="H705" s="5" t="n">
        <v>2418</v>
      </c>
      <c r="I705" s="6" t="n">
        <v>0</v>
      </c>
      <c r="J705" s="6" t="n">
        <v>1.6</v>
      </c>
      <c r="K705" s="6" t="n">
        <v>3</v>
      </c>
      <c r="L705" s="6" t="n">
        <v>3</v>
      </c>
      <c r="M705" s="4" t="str">
        <f aca="false">IF(AND(K705="",L705=""),"No closed tickets",IF(K705="","MISSING in catalog",IF(L705="","No valid closed tickets",IF(AND(ABS(K705-L705)&gt;=$S$3,ABS(K705-L705)&gt;=$S$4*MAX(L705,1)),"FAR OFF","OK"))))</f>
        <v>OK</v>
      </c>
      <c r="N705" s="7" t="n">
        <f aca="false">D705/SUMIFS($D$2:$D$741,$B$2:$B$741,B705)</f>
        <v>0.0794847422072176</v>
      </c>
      <c r="O705" s="7" t="n">
        <f aca="false">SUMIFS($D$2:D705,$B$2:B705,B705)/SUMIFS($D$2:$D$741,$B$2:$B$741,B705)</f>
        <v>0.932347831787342</v>
      </c>
      <c r="P705" s="8" t="b">
        <f aca="false">O705-N705&lt;$S$2</f>
        <v>1</v>
      </c>
      <c r="Q705" s="2"/>
      <c r="R705" s="2"/>
      <c r="S705" s="2"/>
    </row>
    <row r="706" customFormat="false" ht="14.25" hidden="false" customHeight="false" outlineLevel="0" collapsed="false">
      <c r="A706" s="4" t="s">
        <v>789</v>
      </c>
      <c r="B706" s="4" t="s">
        <v>787</v>
      </c>
      <c r="C706" s="5" t="n">
        <v>2</v>
      </c>
      <c r="D706" s="5" t="n">
        <v>1820</v>
      </c>
      <c r="E706" s="5" t="n">
        <v>90</v>
      </c>
      <c r="F706" s="5" t="n">
        <v>0</v>
      </c>
      <c r="G706" s="5" t="n">
        <v>0</v>
      </c>
      <c r="H706" s="5" t="n">
        <v>1820</v>
      </c>
      <c r="I706" s="6" t="n">
        <v>2</v>
      </c>
      <c r="J706" s="6" t="n">
        <v>9.4</v>
      </c>
      <c r="K706" s="6" t="n">
        <v>23</v>
      </c>
      <c r="L706" s="6" t="n">
        <v>23</v>
      </c>
      <c r="M706" s="4" t="str">
        <f aca="false">IF(AND(K706="",L706=""),"No closed tickets",IF(K706="","MISSING in catalog",IF(L706="","No valid closed tickets",IF(AND(ABS(K706-L706)&gt;=$S$3,ABS(K706-L706)&gt;=$S$4*MAX(L706,1)),"FAR OFF","OK"))))</f>
        <v>OK</v>
      </c>
      <c r="N706" s="7" t="n">
        <f aca="false">D706/SUMIFS($D$2:$D$741,$B$2:$B$741,B706)</f>
        <v>0.0596545281720148</v>
      </c>
      <c r="O706" s="7" t="n">
        <f aca="false">SUMIFS($D$2:D706,$B$2:B706,B706)/SUMIFS($D$2:$D$741,$B$2:$B$741,B706)</f>
        <v>0.992002359959356</v>
      </c>
      <c r="P706" s="8" t="b">
        <f aca="false">O706-N706&lt;$S$2</f>
        <v>1</v>
      </c>
      <c r="Q706" s="2"/>
      <c r="R706" s="2"/>
      <c r="S706" s="2"/>
    </row>
    <row r="707" customFormat="false" ht="14.25" hidden="false" customHeight="false" outlineLevel="0" collapsed="false">
      <c r="A707" s="4" t="s">
        <v>790</v>
      </c>
      <c r="B707" s="4" t="s">
        <v>787</v>
      </c>
      <c r="C707" s="5" t="n">
        <v>1</v>
      </c>
      <c r="D707" s="5" t="n">
        <v>104</v>
      </c>
      <c r="E707" s="5" t="n">
        <v>0</v>
      </c>
      <c r="F707" s="5" t="n">
        <v>3</v>
      </c>
      <c r="G707" s="5" t="n">
        <v>3</v>
      </c>
      <c r="H707" s="5" t="n">
        <v>101</v>
      </c>
      <c r="I707" s="6" t="n">
        <v>0</v>
      </c>
      <c r="J707" s="6" t="n">
        <v>4</v>
      </c>
      <c r="K707" s="6" t="n">
        <v>7</v>
      </c>
      <c r="L707" s="6" t="n">
        <v>7</v>
      </c>
      <c r="M707" s="4" t="str">
        <f aca="false">IF(AND(K707="",L707=""),"No closed tickets",IF(K707="","MISSING in catalog",IF(L707="","No valid closed tickets",IF(AND(ABS(K707-L707)&gt;=$S$3,ABS(K707-L707)&gt;=$S$4*MAX(L707,1)),"FAR OFF","OK"))))</f>
        <v>OK</v>
      </c>
      <c r="N707" s="7" t="n">
        <f aca="false">D707/SUMIFS($D$2:$D$741,$B$2:$B$741,B707)</f>
        <v>0.00340883018125799</v>
      </c>
      <c r="O707" s="7" t="n">
        <f aca="false">SUMIFS($D$2:D707,$B$2:B707,B707)/SUMIFS($D$2:$D$741,$B$2:$B$741,B707)</f>
        <v>0.995411190140614</v>
      </c>
      <c r="P707" s="8" t="b">
        <f aca="false">O707-N707&lt;$S$2</f>
        <v>0</v>
      </c>
      <c r="Q707" s="2"/>
      <c r="R707" s="2"/>
      <c r="S707" s="2"/>
    </row>
    <row r="708" customFormat="false" ht="14.25" hidden="false" customHeight="false" outlineLevel="0" collapsed="false">
      <c r="A708" s="4" t="s">
        <v>791</v>
      </c>
      <c r="B708" s="4" t="s">
        <v>787</v>
      </c>
      <c r="C708" s="5" t="n">
        <v>2</v>
      </c>
      <c r="D708" s="5" t="n">
        <v>75</v>
      </c>
      <c r="E708" s="5" t="n">
        <v>5</v>
      </c>
      <c r="F708" s="5" t="n">
        <v>2</v>
      </c>
      <c r="G708" s="5" t="n">
        <v>2</v>
      </c>
      <c r="H708" s="5" t="n">
        <v>73</v>
      </c>
      <c r="I708" s="6" t="n">
        <v>4</v>
      </c>
      <c r="J708" s="6" t="n">
        <v>50.6</v>
      </c>
      <c r="K708" s="6" t="n">
        <v>245</v>
      </c>
      <c r="L708" s="6" t="n">
        <v>244.8</v>
      </c>
      <c r="M708" s="4" t="str">
        <f aca="false">IF(AND(K708="",L708=""),"No closed tickets",IF(K708="","MISSING in catalog",IF(L708="","No valid closed tickets",IF(AND(ABS(K708-L708)&gt;=$S$3,ABS(K708-L708)&gt;=$S$4*MAX(L708,1)),"FAR OFF","OK"))))</f>
        <v>OK</v>
      </c>
      <c r="N708" s="7" t="n">
        <f aca="false">D708/SUMIFS($D$2:$D$741,$B$2:$B$741,B708)</f>
        <v>0.00245829099609951</v>
      </c>
      <c r="O708" s="7" t="n">
        <f aca="false">SUMIFS($D$2:D708,$B$2:B708,B708)/SUMIFS($D$2:$D$741,$B$2:$B$741,B708)</f>
        <v>0.997869481136714</v>
      </c>
      <c r="P708" s="8" t="b">
        <f aca="false">O708-N708&lt;$S$2</f>
        <v>0</v>
      </c>
      <c r="Q708" s="2"/>
      <c r="R708" s="2"/>
      <c r="S708" s="2"/>
    </row>
    <row r="709" customFormat="false" ht="14.25" hidden="false" customHeight="false" outlineLevel="0" collapsed="false">
      <c r="A709" s="4" t="s">
        <v>792</v>
      </c>
      <c r="B709" s="4" t="s">
        <v>787</v>
      </c>
      <c r="C709" s="5" t="n">
        <v>2</v>
      </c>
      <c r="D709" s="5" t="n">
        <v>64</v>
      </c>
      <c r="E709" s="5" t="n">
        <v>0</v>
      </c>
      <c r="F709" s="5" t="n">
        <v>27</v>
      </c>
      <c r="G709" s="5" t="n">
        <v>27</v>
      </c>
      <c r="H709" s="5" t="n">
        <v>37</v>
      </c>
      <c r="I709" s="6" t="n">
        <v>7</v>
      </c>
      <c r="J709" s="6" t="n">
        <v>49.5</v>
      </c>
      <c r="K709" s="6" t="n">
        <v>182</v>
      </c>
      <c r="L709" s="6" t="n">
        <v>182.2</v>
      </c>
      <c r="M709" s="4" t="str">
        <f aca="false">IF(AND(K709="",L709=""),"No closed tickets",IF(K709="","MISSING in catalog",IF(L709="","No valid closed tickets",IF(AND(ABS(K709-L709)&gt;=$S$3,ABS(K709-L709)&gt;=$S$4*MAX(L709,1)),"FAR OFF","OK"))))</f>
        <v>OK</v>
      </c>
      <c r="N709" s="7" t="n">
        <f aca="false">D709/SUMIFS($D$2:$D$741,$B$2:$B$741,B709)</f>
        <v>0.00209774165000492</v>
      </c>
      <c r="O709" s="7" t="n">
        <f aca="false">SUMIFS($D$2:D709,$B$2:B709,B709)/SUMIFS($D$2:$D$741,$B$2:$B$741,B709)</f>
        <v>0.999967222786719</v>
      </c>
      <c r="P709" s="8" t="b">
        <f aca="false">O709-N709&lt;$S$2</f>
        <v>0</v>
      </c>
      <c r="Q709" s="2"/>
      <c r="R709" s="2"/>
      <c r="S709" s="2"/>
    </row>
    <row r="710" customFormat="false" ht="14.25" hidden="false" customHeight="false" outlineLevel="0" collapsed="false">
      <c r="A710" s="4" t="s">
        <v>793</v>
      </c>
      <c r="B710" s="4" t="s">
        <v>787</v>
      </c>
      <c r="C710" s="5" t="n">
        <v>1</v>
      </c>
      <c r="D710" s="5" t="n">
        <v>1</v>
      </c>
      <c r="E710" s="5" t="n">
        <v>0</v>
      </c>
      <c r="F710" s="5" t="n">
        <v>1</v>
      </c>
      <c r="G710" s="5" t="n">
        <v>1</v>
      </c>
      <c r="H710" s="5" t="n">
        <v>0</v>
      </c>
      <c r="I710" s="6"/>
      <c r="J710" s="6"/>
      <c r="K710" s="6"/>
      <c r="L710" s="6"/>
      <c r="M710" s="4" t="str">
        <f aca="false">IF(AND(K710="",L710=""),"No closed tickets",IF(K710="","MISSING in catalog",IF(L710="","No valid closed tickets",IF(AND(ABS(K710-L710)&gt;=$S$3,ABS(K710-L710)&gt;=$S$4*MAX(L710,1)),"FAR OFF","OK"))))</f>
        <v>No closed tickets</v>
      </c>
      <c r="N710" s="7" t="n">
        <f aca="false">D710/SUMIFS($D$2:$D$741,$B$2:$B$741,B710)</f>
        <v>3.27772132813268E-005</v>
      </c>
      <c r="O710" s="7" t="n">
        <f aca="false">SUMIFS($D$2:D710,$B$2:B710,B710)/SUMIFS($D$2:$D$741,$B$2:$B$741,B710)</f>
        <v>1</v>
      </c>
      <c r="P710" s="8" t="b">
        <f aca="false">O710-N710&lt;$S$2</f>
        <v>0</v>
      </c>
      <c r="Q710" s="2"/>
      <c r="R710" s="2"/>
      <c r="S710" s="2"/>
    </row>
    <row r="711" customFormat="false" ht="14.25" hidden="false" customHeight="false" outlineLevel="0" collapsed="false">
      <c r="A711" s="10" t="s">
        <v>794</v>
      </c>
      <c r="B711" s="10" t="s">
        <v>795</v>
      </c>
      <c r="C711" s="11" t="n">
        <v>2</v>
      </c>
      <c r="D711" s="11" t="n">
        <v>4611</v>
      </c>
      <c r="E711" s="11" t="n">
        <v>1083</v>
      </c>
      <c r="F711" s="11" t="n">
        <v>46</v>
      </c>
      <c r="G711" s="11" t="n">
        <v>34</v>
      </c>
      <c r="H711" s="11" t="n">
        <v>4565</v>
      </c>
      <c r="I711" s="12" t="n">
        <v>0</v>
      </c>
      <c r="J711" s="12" t="n">
        <v>1.5</v>
      </c>
      <c r="K711" s="12" t="n">
        <v>4</v>
      </c>
      <c r="L711" s="12" t="n">
        <v>4</v>
      </c>
      <c r="M711" s="10" t="str">
        <f aca="false">IF(AND(K711="",L711=""),"No closed tickets",IF(K711="","MISSING in catalog",IF(L711="","No valid closed tickets",IF(AND(ABS(K711-L711)&gt;=$S$3,ABS(K711-L711)&gt;=$S$4*MAX(L711,1)),"FAR OFF","OK"))))</f>
        <v>OK</v>
      </c>
      <c r="N711" s="13" t="n">
        <f aca="false">D711/SUMIFS($D$2:$D$741,$B$2:$B$741,B711)</f>
        <v>1</v>
      </c>
      <c r="O711" s="13" t="n">
        <f aca="false">SUMIFS($D$2:D711,$B$2:B711,B711)/SUMIFS($D$2:$D$741,$B$2:$B$741,B711)</f>
        <v>1</v>
      </c>
      <c r="P711" s="14" t="b">
        <f aca="false">O711-N711&lt;$S$2</f>
        <v>1</v>
      </c>
      <c r="Q711" s="2"/>
      <c r="R711" s="2"/>
      <c r="S711" s="2"/>
    </row>
    <row r="712" customFormat="false" ht="14.25" hidden="false" customHeight="false" outlineLevel="0" collapsed="false">
      <c r="A712" s="10" t="s">
        <v>796</v>
      </c>
      <c r="B712" s="10" t="s">
        <v>797</v>
      </c>
      <c r="C712" s="11" t="n">
        <v>1</v>
      </c>
      <c r="D712" s="11" t="n">
        <v>124</v>
      </c>
      <c r="E712" s="11" t="n">
        <v>123</v>
      </c>
      <c r="F712" s="11" t="n">
        <v>2</v>
      </c>
      <c r="G712" s="11" t="n">
        <v>0</v>
      </c>
      <c r="H712" s="11" t="n">
        <v>122</v>
      </c>
      <c r="I712" s="12" t="n">
        <v>1</v>
      </c>
      <c r="J712" s="12" t="n">
        <v>2.1</v>
      </c>
      <c r="K712" s="12" t="n">
        <v>3</v>
      </c>
      <c r="L712" s="12" t="n">
        <v>3</v>
      </c>
      <c r="M712" s="10" t="str">
        <f aca="false">IF(AND(K712="",L712=""),"No closed tickets",IF(K712="","MISSING in catalog",IF(L712="","No valid closed tickets",IF(AND(ABS(K712-L712)&gt;=$S$3,ABS(K712-L712)&gt;=$S$4*MAX(L712,1)),"FAR OFF","OK"))))</f>
        <v>OK</v>
      </c>
      <c r="N712" s="13" t="n">
        <f aca="false">D712/SUMIFS($D$2:$D$741,$B$2:$B$741,B712)</f>
        <v>0.656084656084656</v>
      </c>
      <c r="O712" s="13" t="n">
        <f aca="false">SUMIFS($D$2:D712,$B$2:B712,B712)/SUMIFS($D$2:$D$741,$B$2:$B$741,B712)</f>
        <v>0.656084656084656</v>
      </c>
      <c r="P712" s="14" t="b">
        <f aca="false">O712-N712&lt;$S$2</f>
        <v>1</v>
      </c>
      <c r="Q712" s="2"/>
      <c r="R712" s="2"/>
      <c r="S712" s="2"/>
    </row>
    <row r="713" customFormat="false" ht="14.25" hidden="false" customHeight="false" outlineLevel="0" collapsed="false">
      <c r="A713" s="4" t="s">
        <v>798</v>
      </c>
      <c r="B713" s="4" t="s">
        <v>797</v>
      </c>
      <c r="C713" s="5" t="n">
        <v>1</v>
      </c>
      <c r="D713" s="5" t="n">
        <v>25</v>
      </c>
      <c r="E713" s="5" t="n">
        <v>7</v>
      </c>
      <c r="F713" s="5" t="n">
        <v>0</v>
      </c>
      <c r="G713" s="5" t="n">
        <v>0</v>
      </c>
      <c r="H713" s="5" t="n">
        <v>25</v>
      </c>
      <c r="I713" s="6" t="n">
        <v>0</v>
      </c>
      <c r="J713" s="6" t="n">
        <v>0</v>
      </c>
      <c r="K713" s="6" t="n">
        <v>0</v>
      </c>
      <c r="L713" s="6" t="n">
        <v>0</v>
      </c>
      <c r="M713" s="4" t="str">
        <f aca="false">IF(AND(K713="",L713=""),"No closed tickets",IF(K713="","MISSING in catalog",IF(L713="","No valid closed tickets",IF(AND(ABS(K713-L713)&gt;=$S$3,ABS(K713-L713)&gt;=$S$4*MAX(L713,1)),"FAR OFF","OK"))))</f>
        <v>OK</v>
      </c>
      <c r="N713" s="7" t="n">
        <f aca="false">D713/SUMIFS($D$2:$D$741,$B$2:$B$741,B713)</f>
        <v>0.132275132275132</v>
      </c>
      <c r="O713" s="7" t="n">
        <f aca="false">SUMIFS($D$2:D713,$B$2:B713,B713)/SUMIFS($D$2:$D$741,$B$2:$B$741,B713)</f>
        <v>0.788359788359788</v>
      </c>
      <c r="P713" s="8" t="b">
        <f aca="false">O713-N713&lt;$S$2</f>
        <v>1</v>
      </c>
      <c r="Q713" s="2"/>
      <c r="R713" s="2"/>
      <c r="S713" s="2"/>
    </row>
    <row r="714" customFormat="false" ht="14.25" hidden="false" customHeight="false" outlineLevel="0" collapsed="false">
      <c r="A714" s="4" t="s">
        <v>799</v>
      </c>
      <c r="B714" s="4" t="s">
        <v>797</v>
      </c>
      <c r="C714" s="5" t="n">
        <v>1</v>
      </c>
      <c r="D714" s="5" t="n">
        <v>22</v>
      </c>
      <c r="E714" s="5" t="n">
        <v>12</v>
      </c>
      <c r="F714" s="5" t="n">
        <v>0</v>
      </c>
      <c r="G714" s="5" t="n">
        <v>0</v>
      </c>
      <c r="H714" s="5" t="n">
        <v>22</v>
      </c>
      <c r="I714" s="6" t="n">
        <v>4</v>
      </c>
      <c r="J714" s="6" t="n">
        <v>11.2</v>
      </c>
      <c r="K714" s="6" t="n">
        <v>7</v>
      </c>
      <c r="L714" s="6" t="n">
        <v>7</v>
      </c>
      <c r="M714" s="4" t="str">
        <f aca="false">IF(AND(K714="",L714=""),"No closed tickets",IF(K714="","MISSING in catalog",IF(L714="","No valid closed tickets",IF(AND(ABS(K714-L714)&gt;=$S$3,ABS(K714-L714)&gt;=$S$4*MAX(L714,1)),"FAR OFF","OK"))))</f>
        <v>OK</v>
      </c>
      <c r="N714" s="7" t="n">
        <f aca="false">D714/SUMIFS($D$2:$D$741,$B$2:$B$741,B714)</f>
        <v>0.116402116402116</v>
      </c>
      <c r="O714" s="7" t="n">
        <f aca="false">SUMIFS($D$2:D714,$B$2:B714,B714)/SUMIFS($D$2:$D$741,$B$2:$B$741,B714)</f>
        <v>0.904761904761905</v>
      </c>
      <c r="P714" s="8" t="b">
        <f aca="false">O714-N714&lt;$S$2</f>
        <v>1</v>
      </c>
      <c r="Q714" s="2"/>
      <c r="R714" s="2"/>
      <c r="S714" s="2"/>
    </row>
    <row r="715" customFormat="false" ht="14.25" hidden="false" customHeight="false" outlineLevel="0" collapsed="false">
      <c r="A715" s="4" t="s">
        <v>800</v>
      </c>
      <c r="B715" s="4" t="s">
        <v>797</v>
      </c>
      <c r="C715" s="5" t="n">
        <v>2</v>
      </c>
      <c r="D715" s="5" t="n">
        <v>11</v>
      </c>
      <c r="E715" s="5" t="n">
        <v>2</v>
      </c>
      <c r="F715" s="5" t="n">
        <v>4</v>
      </c>
      <c r="G715" s="5" t="n">
        <v>4</v>
      </c>
      <c r="H715" s="5" t="n">
        <v>7</v>
      </c>
      <c r="I715" s="6" t="n">
        <v>6</v>
      </c>
      <c r="J715" s="6" t="n">
        <v>8.1</v>
      </c>
      <c r="K715" s="6" t="n">
        <v>15</v>
      </c>
      <c r="L715" s="6" t="n">
        <v>15.4</v>
      </c>
      <c r="M715" s="4" t="str">
        <f aca="false">IF(AND(K715="",L715=""),"No closed tickets",IF(K715="","MISSING in catalog",IF(L715="","No valid closed tickets",IF(AND(ABS(K715-L715)&gt;=$S$3,ABS(K715-L715)&gt;=$S$4*MAX(L715,1)),"FAR OFF","OK"))))</f>
        <v>OK</v>
      </c>
      <c r="N715" s="7" t="n">
        <f aca="false">D715/SUMIFS($D$2:$D$741,$B$2:$B$741,B715)</f>
        <v>0.0582010582010582</v>
      </c>
      <c r="O715" s="7" t="n">
        <f aca="false">SUMIFS($D$2:D715,$B$2:B715,B715)/SUMIFS($D$2:$D$741,$B$2:$B$741,B715)</f>
        <v>0.962962962962963</v>
      </c>
      <c r="P715" s="8" t="b">
        <f aca="false">O715-N715&lt;$S$2</f>
        <v>1</v>
      </c>
      <c r="Q715" s="2"/>
      <c r="R715" s="2"/>
      <c r="S715" s="2"/>
    </row>
    <row r="716" customFormat="false" ht="14.25" hidden="false" customHeight="false" outlineLevel="0" collapsed="false">
      <c r="A716" s="4" t="s">
        <v>801</v>
      </c>
      <c r="B716" s="4" t="s">
        <v>797</v>
      </c>
      <c r="C716" s="5" t="n">
        <v>1</v>
      </c>
      <c r="D716" s="5" t="n">
        <v>4</v>
      </c>
      <c r="E716" s="5" t="n">
        <v>2</v>
      </c>
      <c r="F716" s="5" t="n">
        <v>0</v>
      </c>
      <c r="G716" s="5" t="n">
        <v>0</v>
      </c>
      <c r="H716" s="5" t="n">
        <v>4</v>
      </c>
      <c r="I716" s="6" t="n">
        <v>1</v>
      </c>
      <c r="J716" s="6" t="n">
        <v>1</v>
      </c>
      <c r="K716" s="6" t="n">
        <v>2</v>
      </c>
      <c r="L716" s="6" t="n">
        <v>1.7</v>
      </c>
      <c r="M716" s="4" t="str">
        <f aca="false">IF(AND(K716="",L716=""),"No closed tickets",IF(K716="","MISSING in catalog",IF(L716="","No valid closed tickets",IF(AND(ABS(K716-L716)&gt;=$S$3,ABS(K716-L716)&gt;=$S$4*MAX(L716,1)),"FAR OFF","OK"))))</f>
        <v>OK</v>
      </c>
      <c r="N716" s="7" t="n">
        <f aca="false">D716/SUMIFS($D$2:$D$741,$B$2:$B$741,B716)</f>
        <v>0.0211640211640212</v>
      </c>
      <c r="O716" s="7" t="n">
        <f aca="false">SUMIFS($D$2:D716,$B$2:B716,B716)/SUMIFS($D$2:$D$741,$B$2:$B$741,B716)</f>
        <v>0.984126984126984</v>
      </c>
      <c r="P716" s="8" t="b">
        <f aca="false">O716-N716&lt;$S$2</f>
        <v>0</v>
      </c>
      <c r="Q716" s="2"/>
      <c r="R716" s="2"/>
      <c r="S716" s="2"/>
    </row>
    <row r="717" customFormat="false" ht="14.25" hidden="false" customHeight="false" outlineLevel="0" collapsed="false">
      <c r="A717" s="4" t="s">
        <v>802</v>
      </c>
      <c r="B717" s="4" t="s">
        <v>797</v>
      </c>
      <c r="C717" s="5" t="n">
        <v>1</v>
      </c>
      <c r="D717" s="5" t="n">
        <v>3</v>
      </c>
      <c r="E717" s="5" t="n">
        <v>2</v>
      </c>
      <c r="F717" s="5" t="n">
        <v>1</v>
      </c>
      <c r="G717" s="5" t="n">
        <v>0</v>
      </c>
      <c r="H717" s="5" t="n">
        <v>2</v>
      </c>
      <c r="I717" s="6" t="n">
        <v>10</v>
      </c>
      <c r="J717" s="6" t="n">
        <v>10</v>
      </c>
      <c r="K717" s="6" t="n">
        <v>14</v>
      </c>
      <c r="L717" s="6" t="n">
        <v>14</v>
      </c>
      <c r="M717" s="4" t="str">
        <f aca="false">IF(AND(K717="",L717=""),"No closed tickets",IF(K717="","MISSING in catalog",IF(L717="","No valid closed tickets",IF(AND(ABS(K717-L717)&gt;=$S$3,ABS(K717-L717)&gt;=$S$4*MAX(L717,1)),"FAR OFF","OK"))))</f>
        <v>OK</v>
      </c>
      <c r="N717" s="7" t="n">
        <f aca="false">D717/SUMIFS($D$2:$D$741,$B$2:$B$741,B717)</f>
        <v>0.0158730158730159</v>
      </c>
      <c r="O717" s="7" t="n">
        <f aca="false">SUMIFS($D$2:D717,$B$2:B717,B717)/SUMIFS($D$2:$D$741,$B$2:$B$741,B717)</f>
        <v>1</v>
      </c>
      <c r="P717" s="8" t="b">
        <f aca="false">O717-N717&lt;$S$2</f>
        <v>0</v>
      </c>
      <c r="Q717" s="2"/>
      <c r="R717" s="2"/>
      <c r="S717" s="2"/>
    </row>
    <row r="718" customFormat="false" ht="14.25" hidden="false" customHeight="false" outlineLevel="0" collapsed="false">
      <c r="A718" s="10" t="s">
        <v>803</v>
      </c>
      <c r="B718" s="10" t="s">
        <v>804</v>
      </c>
      <c r="C718" s="11" t="n">
        <v>1</v>
      </c>
      <c r="D718" s="11" t="n">
        <v>210</v>
      </c>
      <c r="E718" s="11" t="n">
        <v>204</v>
      </c>
      <c r="F718" s="11" t="n">
        <v>11</v>
      </c>
      <c r="G718" s="11" t="n">
        <v>0</v>
      </c>
      <c r="H718" s="11" t="n">
        <v>199</v>
      </c>
      <c r="I718" s="12" t="n">
        <v>3</v>
      </c>
      <c r="J718" s="12" t="n">
        <v>8.4</v>
      </c>
      <c r="K718" s="12" t="n">
        <v>19</v>
      </c>
      <c r="L718" s="12" t="n">
        <v>18.6</v>
      </c>
      <c r="M718" s="10" t="str">
        <f aca="false">IF(AND(K718="",L718=""),"No closed tickets",IF(K718="","MISSING in catalog",IF(L718="","No valid closed tickets",IF(AND(ABS(K718-L718)&gt;=$S$3,ABS(K718-L718)&gt;=$S$4*MAX(L718,1)),"FAR OFF","OK"))))</f>
        <v>OK</v>
      </c>
      <c r="N718" s="13" t="n">
        <f aca="false">D718/SUMIFS($D$2:$D$741,$B$2:$B$741,B718)</f>
        <v>0.850202429149798</v>
      </c>
      <c r="O718" s="13" t="n">
        <f aca="false">SUMIFS($D$2:D718,$B$2:B718,B718)/SUMIFS($D$2:$D$741,$B$2:$B$741,B718)</f>
        <v>0.850202429149798</v>
      </c>
      <c r="P718" s="14" t="b">
        <f aca="false">O718-N718&lt;$S$2</f>
        <v>1</v>
      </c>
      <c r="Q718" s="2"/>
      <c r="R718" s="2"/>
      <c r="S718" s="2"/>
    </row>
    <row r="719" customFormat="false" ht="14.25" hidden="false" customHeight="false" outlineLevel="0" collapsed="false">
      <c r="A719" s="4" t="s">
        <v>805</v>
      </c>
      <c r="B719" s="4" t="s">
        <v>804</v>
      </c>
      <c r="C719" s="5" t="n">
        <v>1</v>
      </c>
      <c r="D719" s="5" t="n">
        <v>37</v>
      </c>
      <c r="E719" s="5" t="n">
        <v>37</v>
      </c>
      <c r="F719" s="5" t="n">
        <v>0</v>
      </c>
      <c r="G719" s="5" t="n">
        <v>0</v>
      </c>
      <c r="H719" s="5" t="n">
        <v>37</v>
      </c>
      <c r="I719" s="6" t="n">
        <v>3</v>
      </c>
      <c r="J719" s="6" t="n">
        <v>4.6</v>
      </c>
      <c r="K719" s="6" t="n">
        <v>11</v>
      </c>
      <c r="L719" s="6" t="n">
        <v>11.4</v>
      </c>
      <c r="M719" s="4" t="str">
        <f aca="false">IF(AND(K719="",L719=""),"No closed tickets",IF(K719="","MISSING in catalog",IF(L719="","No valid closed tickets",IF(AND(ABS(K719-L719)&gt;=$S$3,ABS(K719-L719)&gt;=$S$4*MAX(L719,1)),"FAR OFF","OK"))))</f>
        <v>OK</v>
      </c>
      <c r="N719" s="7" t="n">
        <f aca="false">D719/SUMIFS($D$2:$D$741,$B$2:$B$741,B719)</f>
        <v>0.149797570850202</v>
      </c>
      <c r="O719" s="7" t="n">
        <f aca="false">SUMIFS($D$2:D719,$B$2:B719,B719)/SUMIFS($D$2:$D$741,$B$2:$B$741,B719)</f>
        <v>1</v>
      </c>
      <c r="P719" s="8" t="b">
        <f aca="false">O719-N719&lt;$S$2</f>
        <v>1</v>
      </c>
      <c r="Q719" s="2"/>
      <c r="R719" s="2"/>
      <c r="S719" s="2"/>
    </row>
    <row r="720" customFormat="false" ht="14.25" hidden="false" customHeight="false" outlineLevel="0" collapsed="false">
      <c r="A720" s="10" t="s">
        <v>806</v>
      </c>
      <c r="B720" s="10" t="s">
        <v>807</v>
      </c>
      <c r="C720" s="11" t="n">
        <v>2</v>
      </c>
      <c r="D720" s="11" t="n">
        <v>2</v>
      </c>
      <c r="E720" s="11" t="n">
        <v>0</v>
      </c>
      <c r="F720" s="11" t="n">
        <v>0</v>
      </c>
      <c r="G720" s="11" t="n">
        <v>0</v>
      </c>
      <c r="H720" s="11" t="n">
        <v>2</v>
      </c>
      <c r="I720" s="12" t="n">
        <v>2.5</v>
      </c>
      <c r="J720" s="12" t="n">
        <v>2.5</v>
      </c>
      <c r="K720" s="12" t="n">
        <v>4</v>
      </c>
      <c r="L720" s="12" t="n">
        <v>4.5</v>
      </c>
      <c r="M720" s="10" t="str">
        <f aca="false">IF(AND(K720="",L720=""),"No closed tickets",IF(K720="","MISSING in catalog",IF(L720="","No valid closed tickets",IF(AND(ABS(K720-L720)&gt;=$S$3,ABS(K720-L720)&gt;=$S$4*MAX(L720,1)),"FAR OFF","OK"))))</f>
        <v>OK</v>
      </c>
      <c r="N720" s="13" t="n">
        <f aca="false">D720/SUMIFS($D$2:$D$741,$B$2:$B$741,B720)</f>
        <v>1</v>
      </c>
      <c r="O720" s="13" t="n">
        <f aca="false">SUMIFS($D$2:D720,$B$2:B720,B720)/SUMIFS($D$2:$D$741,$B$2:$B$741,B720)</f>
        <v>1</v>
      </c>
      <c r="P720" s="14" t="b">
        <f aca="false">O720-N720&lt;$S$2</f>
        <v>1</v>
      </c>
      <c r="Q720" s="2"/>
      <c r="R720" s="2"/>
      <c r="S720" s="2"/>
    </row>
    <row r="721" customFormat="false" ht="14.25" hidden="false" customHeight="false" outlineLevel="0" collapsed="false">
      <c r="A721" s="10" t="s">
        <v>808</v>
      </c>
      <c r="B721" s="10" t="s">
        <v>809</v>
      </c>
      <c r="C721" s="11" t="n">
        <v>1</v>
      </c>
      <c r="D721" s="11" t="n">
        <v>1</v>
      </c>
      <c r="E721" s="11" t="n">
        <v>0</v>
      </c>
      <c r="F721" s="11" t="n">
        <v>0</v>
      </c>
      <c r="G721" s="11" t="n">
        <v>0</v>
      </c>
      <c r="H721" s="11" t="n">
        <v>1</v>
      </c>
      <c r="I721" s="12" t="n">
        <v>0</v>
      </c>
      <c r="J721" s="12" t="n">
        <v>0</v>
      </c>
      <c r="K721" s="12" t="n">
        <v>0</v>
      </c>
      <c r="L721" s="12" t="n">
        <v>0</v>
      </c>
      <c r="M721" s="10" t="str">
        <f aca="false">IF(AND(K721="",L721=""),"No closed tickets",IF(K721="","MISSING in catalog",IF(L721="","No valid closed tickets",IF(AND(ABS(K721-L721)&gt;=$S$3,ABS(K721-L721)&gt;=$S$4*MAX(L721,1)),"FAR OFF","OK"))))</f>
        <v>OK</v>
      </c>
      <c r="N721" s="13" t="n">
        <f aca="false">D721/SUMIFS($D$2:$D$741,$B$2:$B$741,B721)</f>
        <v>1</v>
      </c>
      <c r="O721" s="13" t="n">
        <f aca="false">SUMIFS($D$2:D721,$B$2:B721,B721)/SUMIFS($D$2:$D$741,$B$2:$B$741,B721)</f>
        <v>1</v>
      </c>
      <c r="P721" s="14" t="b">
        <f aca="false">O721-N721&lt;$S$2</f>
        <v>1</v>
      </c>
      <c r="Q721" s="2"/>
      <c r="R721" s="2"/>
      <c r="S721" s="2"/>
    </row>
    <row r="722" customFormat="false" ht="14.25" hidden="false" customHeight="false" outlineLevel="0" collapsed="false">
      <c r="A722" s="10" t="s">
        <v>810</v>
      </c>
      <c r="B722" s="10" t="s">
        <v>811</v>
      </c>
      <c r="C722" s="11" t="n">
        <v>2</v>
      </c>
      <c r="D722" s="11" t="n">
        <v>414</v>
      </c>
      <c r="E722" s="11" t="n">
        <v>85</v>
      </c>
      <c r="F722" s="11" t="n">
        <v>2</v>
      </c>
      <c r="G722" s="11" t="n">
        <v>2</v>
      </c>
      <c r="H722" s="11" t="n">
        <v>412</v>
      </c>
      <c r="I722" s="12" t="n">
        <v>4</v>
      </c>
      <c r="J722" s="12" t="n">
        <v>8</v>
      </c>
      <c r="K722" s="12" t="n">
        <v>14</v>
      </c>
      <c r="L722" s="12" t="n">
        <v>14</v>
      </c>
      <c r="M722" s="10" t="str">
        <f aca="false">IF(AND(K722="",L722=""),"No closed tickets",IF(K722="","MISSING in catalog",IF(L722="","No valid closed tickets",IF(AND(ABS(K722-L722)&gt;=$S$3,ABS(K722-L722)&gt;=$S$4*MAX(L722,1)),"FAR OFF","OK"))))</f>
        <v>OK</v>
      </c>
      <c r="N722" s="13" t="n">
        <f aca="false">D722/SUMIFS($D$2:$D$741,$B$2:$B$741,B722)</f>
        <v>1</v>
      </c>
      <c r="O722" s="13" t="n">
        <f aca="false">SUMIFS($D$2:D722,$B$2:B722,B722)/SUMIFS($D$2:$D$741,$B$2:$B$741,B722)</f>
        <v>1</v>
      </c>
      <c r="P722" s="14" t="b">
        <f aca="false">O722-N722&lt;$S$2</f>
        <v>1</v>
      </c>
      <c r="Q722" s="2"/>
      <c r="R722" s="2"/>
      <c r="S722" s="2"/>
    </row>
    <row r="723" customFormat="false" ht="14.25" hidden="false" customHeight="false" outlineLevel="0" collapsed="false">
      <c r="A723" s="10" t="s">
        <v>812</v>
      </c>
      <c r="B723" s="10" t="s">
        <v>813</v>
      </c>
      <c r="C723" s="11" t="n">
        <v>2</v>
      </c>
      <c r="D723" s="11" t="n">
        <v>545</v>
      </c>
      <c r="E723" s="11" t="n">
        <v>0</v>
      </c>
      <c r="F723" s="11" t="n">
        <v>0</v>
      </c>
      <c r="G723" s="11" t="n">
        <v>0</v>
      </c>
      <c r="H723" s="11" t="n">
        <v>545</v>
      </c>
      <c r="I723" s="12" t="n">
        <v>2</v>
      </c>
      <c r="J723" s="12" t="n">
        <v>4.1</v>
      </c>
      <c r="K723" s="12" t="n">
        <v>10</v>
      </c>
      <c r="L723" s="12" t="n">
        <v>10</v>
      </c>
      <c r="M723" s="10" t="str">
        <f aca="false">IF(AND(K723="",L723=""),"No closed tickets",IF(K723="","MISSING in catalog",IF(L723="","No valid closed tickets",IF(AND(ABS(K723-L723)&gt;=$S$3,ABS(K723-L723)&gt;=$S$4*MAX(L723,1)),"FAR OFF","OK"))))</f>
        <v>OK</v>
      </c>
      <c r="N723" s="13" t="n">
        <f aca="false">D723/SUMIFS($D$2:$D$741,$B$2:$B$741,B723)</f>
        <v>0.891980360065466</v>
      </c>
      <c r="O723" s="13" t="n">
        <f aca="false">SUMIFS($D$2:D723,$B$2:B723,B723)/SUMIFS($D$2:$D$741,$B$2:$B$741,B723)</f>
        <v>0.891980360065466</v>
      </c>
      <c r="P723" s="14" t="b">
        <f aca="false">O723-N723&lt;$S$2</f>
        <v>1</v>
      </c>
      <c r="Q723" s="2"/>
      <c r="R723" s="2"/>
      <c r="S723" s="2"/>
    </row>
    <row r="724" customFormat="false" ht="14.25" hidden="false" customHeight="false" outlineLevel="0" collapsed="false">
      <c r="A724" s="4" t="s">
        <v>814</v>
      </c>
      <c r="B724" s="4" t="s">
        <v>813</v>
      </c>
      <c r="C724" s="5" t="n">
        <v>2</v>
      </c>
      <c r="D724" s="5" t="n">
        <v>66</v>
      </c>
      <c r="E724" s="5" t="n">
        <v>0</v>
      </c>
      <c r="F724" s="5" t="n">
        <v>0</v>
      </c>
      <c r="G724" s="5" t="n">
        <v>0</v>
      </c>
      <c r="H724" s="5" t="n">
        <v>66</v>
      </c>
      <c r="I724" s="6" t="n">
        <v>19</v>
      </c>
      <c r="J724" s="6" t="n">
        <v>21</v>
      </c>
      <c r="K724" s="6" t="n">
        <v>34</v>
      </c>
      <c r="L724" s="6" t="n">
        <v>34.5</v>
      </c>
      <c r="M724" s="4" t="str">
        <f aca="false">IF(AND(K724="",L724=""),"No closed tickets",IF(K724="","MISSING in catalog",IF(L724="","No valid closed tickets",IF(AND(ABS(K724-L724)&gt;=$S$3,ABS(K724-L724)&gt;=$S$4*MAX(L724,1)),"FAR OFF","OK"))))</f>
        <v>OK</v>
      </c>
      <c r="N724" s="7" t="n">
        <f aca="false">D724/SUMIFS($D$2:$D$741,$B$2:$B$741,B724)</f>
        <v>0.108019639934534</v>
      </c>
      <c r="O724" s="7" t="n">
        <f aca="false">SUMIFS($D$2:D724,$B$2:B724,B724)/SUMIFS($D$2:$D$741,$B$2:$B$741,B724)</f>
        <v>1</v>
      </c>
      <c r="P724" s="8" t="b">
        <f aca="false">O724-N724&lt;$S$2</f>
        <v>1</v>
      </c>
      <c r="Q724" s="2"/>
      <c r="R724" s="2"/>
      <c r="S724" s="2"/>
    </row>
    <row r="725" customFormat="false" ht="14.25" hidden="false" customHeight="false" outlineLevel="0" collapsed="false">
      <c r="A725" s="10" t="s">
        <v>815</v>
      </c>
      <c r="B725" s="10" t="s">
        <v>816</v>
      </c>
      <c r="C725" s="11" t="n">
        <v>2</v>
      </c>
      <c r="D725" s="11" t="n">
        <v>275</v>
      </c>
      <c r="E725" s="11" t="n">
        <v>0</v>
      </c>
      <c r="F725" s="11" t="n">
        <v>0</v>
      </c>
      <c r="G725" s="11" t="n">
        <v>0</v>
      </c>
      <c r="H725" s="11" t="n">
        <v>275</v>
      </c>
      <c r="I725" s="12" t="n">
        <v>5</v>
      </c>
      <c r="J725" s="12" t="n">
        <v>8.2</v>
      </c>
      <c r="K725" s="12" t="n">
        <v>21</v>
      </c>
      <c r="L725" s="12" t="n">
        <v>21</v>
      </c>
      <c r="M725" s="10" t="str">
        <f aca="false">IF(AND(K725="",L725=""),"No closed tickets",IF(K725="","MISSING in catalog",IF(L725="","No valid closed tickets",IF(AND(ABS(K725-L725)&gt;=$S$3,ABS(K725-L725)&gt;=$S$4*MAX(L725,1)),"FAR OFF","OK"))))</f>
        <v>OK</v>
      </c>
      <c r="N725" s="13" t="n">
        <f aca="false">D725/SUMIFS($D$2:$D$741,$B$2:$B$741,B725)</f>
        <v>1</v>
      </c>
      <c r="O725" s="13" t="n">
        <f aca="false">SUMIFS($D$2:D725,$B$2:B725,B725)/SUMIFS($D$2:$D$741,$B$2:$B$741,B725)</f>
        <v>1</v>
      </c>
      <c r="P725" s="14" t="b">
        <f aca="false">O725-N725&lt;$S$2</f>
        <v>1</v>
      </c>
      <c r="Q725" s="2"/>
      <c r="R725" s="2"/>
      <c r="S725" s="2"/>
    </row>
    <row r="726" customFormat="false" ht="14.25" hidden="false" customHeight="false" outlineLevel="0" collapsed="false">
      <c r="A726" s="10" t="s">
        <v>817</v>
      </c>
      <c r="B726" s="10" t="s">
        <v>818</v>
      </c>
      <c r="C726" s="11" t="n">
        <v>1</v>
      </c>
      <c r="D726" s="11" t="n">
        <v>1</v>
      </c>
      <c r="E726" s="11" t="n">
        <v>0</v>
      </c>
      <c r="F726" s="11" t="n">
        <v>0</v>
      </c>
      <c r="G726" s="11" t="n">
        <v>0</v>
      </c>
      <c r="H726" s="11" t="n">
        <v>1</v>
      </c>
      <c r="I726" s="12" t="n">
        <v>0</v>
      </c>
      <c r="J726" s="12" t="n">
        <v>0</v>
      </c>
      <c r="K726" s="12" t="n">
        <v>0</v>
      </c>
      <c r="L726" s="12" t="n">
        <v>0</v>
      </c>
      <c r="M726" s="10" t="str">
        <f aca="false">IF(AND(K726="",L726=""),"No closed tickets",IF(K726="","MISSING in catalog",IF(L726="","No valid closed tickets",IF(AND(ABS(K726-L726)&gt;=$S$3,ABS(K726-L726)&gt;=$S$4*MAX(L726,1)),"FAR OFF","OK"))))</f>
        <v>OK</v>
      </c>
      <c r="N726" s="13" t="n">
        <f aca="false">D726/SUMIFS($D$2:$D$741,$B$2:$B$741,B726)</f>
        <v>1</v>
      </c>
      <c r="O726" s="13" t="n">
        <f aca="false">SUMIFS($D$2:D726,$B$2:B726,B726)/SUMIFS($D$2:$D$741,$B$2:$B$741,B726)</f>
        <v>1</v>
      </c>
      <c r="P726" s="14" t="b">
        <f aca="false">O726-N726&lt;$S$2</f>
        <v>1</v>
      </c>
      <c r="Q726" s="2"/>
      <c r="R726" s="2"/>
      <c r="S726" s="2"/>
    </row>
    <row r="727" customFormat="false" ht="14.25" hidden="false" customHeight="false" outlineLevel="0" collapsed="false">
      <c r="A727" s="10" t="s">
        <v>819</v>
      </c>
      <c r="B727" s="10" t="s">
        <v>820</v>
      </c>
      <c r="C727" s="11" t="n">
        <v>1</v>
      </c>
      <c r="D727" s="11" t="n">
        <v>1</v>
      </c>
      <c r="E727" s="11" t="n">
        <v>0</v>
      </c>
      <c r="F727" s="11" t="n">
        <v>0</v>
      </c>
      <c r="G727" s="11" t="n">
        <v>0</v>
      </c>
      <c r="H727" s="11" t="n">
        <v>1</v>
      </c>
      <c r="I727" s="12" t="n">
        <v>0</v>
      </c>
      <c r="J727" s="12" t="n">
        <v>0</v>
      </c>
      <c r="K727" s="12" t="n">
        <v>0</v>
      </c>
      <c r="L727" s="12" t="n">
        <v>0</v>
      </c>
      <c r="M727" s="10" t="str">
        <f aca="false">IF(AND(K727="",L727=""),"No closed tickets",IF(K727="","MISSING in catalog",IF(L727="","No valid closed tickets",IF(AND(ABS(K727-L727)&gt;=$S$3,ABS(K727-L727)&gt;=$S$4*MAX(L727,1)),"FAR OFF","OK"))))</f>
        <v>OK</v>
      </c>
      <c r="N727" s="13" t="n">
        <f aca="false">D727/SUMIFS($D$2:$D$741,$B$2:$B$741,B727)</f>
        <v>1</v>
      </c>
      <c r="O727" s="13" t="n">
        <f aca="false">SUMIFS($D$2:D727,$B$2:B727,B727)/SUMIFS($D$2:$D$741,$B$2:$B$741,B727)</f>
        <v>1</v>
      </c>
      <c r="P727" s="14" t="b">
        <f aca="false">O727-N727&lt;$S$2</f>
        <v>1</v>
      </c>
      <c r="Q727" s="2"/>
      <c r="R727" s="2"/>
      <c r="S727" s="2"/>
    </row>
    <row r="728" customFormat="false" ht="14.25" hidden="false" customHeight="false" outlineLevel="0" collapsed="false">
      <c r="A728" s="10" t="s">
        <v>821</v>
      </c>
      <c r="B728" s="10" t="s">
        <v>822</v>
      </c>
      <c r="C728" s="11" t="n">
        <v>2</v>
      </c>
      <c r="D728" s="11" t="n">
        <v>154</v>
      </c>
      <c r="E728" s="11" t="n">
        <v>0</v>
      </c>
      <c r="F728" s="11" t="n">
        <v>0</v>
      </c>
      <c r="G728" s="11" t="n">
        <v>0</v>
      </c>
      <c r="H728" s="11" t="n">
        <v>154</v>
      </c>
      <c r="I728" s="12" t="n">
        <v>0</v>
      </c>
      <c r="J728" s="12" t="n">
        <v>8.2</v>
      </c>
      <c r="K728" s="12" t="n">
        <v>30</v>
      </c>
      <c r="L728" s="12" t="n">
        <v>29.7</v>
      </c>
      <c r="M728" s="10" t="str">
        <f aca="false">IF(AND(K728="",L728=""),"No closed tickets",IF(K728="","MISSING in catalog",IF(L728="","No valid closed tickets",IF(AND(ABS(K728-L728)&gt;=$S$3,ABS(K728-L728)&gt;=$S$4*MAX(L728,1)),"FAR OFF","OK"))))</f>
        <v>OK</v>
      </c>
      <c r="N728" s="13" t="n">
        <f aca="false">D728/SUMIFS($D$2:$D$741,$B$2:$B$741,B728)</f>
        <v>0.484276729559748</v>
      </c>
      <c r="O728" s="13" t="n">
        <f aca="false">SUMIFS($D$2:D728,$B$2:B728,B728)/SUMIFS($D$2:$D$741,$B$2:$B$741,B728)</f>
        <v>0.484276729559748</v>
      </c>
      <c r="P728" s="14" t="b">
        <f aca="false">O728-N728&lt;$S$2</f>
        <v>1</v>
      </c>
      <c r="Q728" s="2"/>
      <c r="R728" s="2"/>
      <c r="S728" s="2"/>
    </row>
    <row r="729" customFormat="false" ht="14.25" hidden="false" customHeight="false" outlineLevel="0" collapsed="false">
      <c r="A729" s="4" t="s">
        <v>823</v>
      </c>
      <c r="B729" s="4" t="s">
        <v>822</v>
      </c>
      <c r="C729" s="5" t="n">
        <v>2</v>
      </c>
      <c r="D729" s="5" t="n">
        <v>68</v>
      </c>
      <c r="E729" s="5" t="n">
        <v>0</v>
      </c>
      <c r="F729" s="5" t="n">
        <v>0</v>
      </c>
      <c r="G729" s="5" t="n">
        <v>0</v>
      </c>
      <c r="H729" s="5" t="n">
        <v>68</v>
      </c>
      <c r="I729" s="6" t="n">
        <v>1</v>
      </c>
      <c r="J729" s="6" t="n">
        <v>1.9</v>
      </c>
      <c r="K729" s="6" t="n">
        <v>4</v>
      </c>
      <c r="L729" s="6" t="n">
        <v>4</v>
      </c>
      <c r="M729" s="4" t="str">
        <f aca="false">IF(AND(K729="",L729=""),"No closed tickets",IF(K729="","MISSING in catalog",IF(L729="","No valid closed tickets",IF(AND(ABS(K729-L729)&gt;=$S$3,ABS(K729-L729)&gt;=$S$4*MAX(L729,1)),"FAR OFF","OK"))))</f>
        <v>OK</v>
      </c>
      <c r="N729" s="7" t="n">
        <f aca="false">D729/SUMIFS($D$2:$D$741,$B$2:$B$741,B729)</f>
        <v>0.213836477987421</v>
      </c>
      <c r="O729" s="7" t="n">
        <f aca="false">SUMIFS($D$2:D729,$B$2:B729,B729)/SUMIFS($D$2:$D$741,$B$2:$B$741,B729)</f>
        <v>0.69811320754717</v>
      </c>
      <c r="P729" s="8" t="b">
        <f aca="false">O729-N729&lt;$S$2</f>
        <v>1</v>
      </c>
      <c r="Q729" s="2"/>
      <c r="R729" s="2"/>
      <c r="S729" s="2"/>
    </row>
    <row r="730" customFormat="false" ht="14.25" hidden="false" customHeight="false" outlineLevel="0" collapsed="false">
      <c r="A730" s="4" t="s">
        <v>824</v>
      </c>
      <c r="B730" s="4" t="s">
        <v>822</v>
      </c>
      <c r="C730" s="5" t="n">
        <v>2</v>
      </c>
      <c r="D730" s="5" t="n">
        <v>43</v>
      </c>
      <c r="E730" s="5" t="n">
        <v>0</v>
      </c>
      <c r="F730" s="5" t="n">
        <v>0</v>
      </c>
      <c r="G730" s="5" t="n">
        <v>0</v>
      </c>
      <c r="H730" s="5" t="n">
        <v>43</v>
      </c>
      <c r="I730" s="6" t="n">
        <v>2</v>
      </c>
      <c r="J730" s="6" t="n">
        <v>4.7</v>
      </c>
      <c r="K730" s="6" t="n">
        <v>11</v>
      </c>
      <c r="L730" s="6" t="n">
        <v>10.8</v>
      </c>
      <c r="M730" s="4" t="str">
        <f aca="false">IF(AND(K730="",L730=""),"No closed tickets",IF(K730="","MISSING in catalog",IF(L730="","No valid closed tickets",IF(AND(ABS(K730-L730)&gt;=$S$3,ABS(K730-L730)&gt;=$S$4*MAX(L730,1)),"FAR OFF","OK"))))</f>
        <v>OK</v>
      </c>
      <c r="N730" s="7" t="n">
        <f aca="false">D730/SUMIFS($D$2:$D$741,$B$2:$B$741,B730)</f>
        <v>0.135220125786164</v>
      </c>
      <c r="O730" s="7" t="n">
        <f aca="false">SUMIFS($D$2:D730,$B$2:B730,B730)/SUMIFS($D$2:$D$741,$B$2:$B$741,B730)</f>
        <v>0.833333333333333</v>
      </c>
      <c r="P730" s="8" t="b">
        <f aca="false">O730-N730&lt;$S$2</f>
        <v>1</v>
      </c>
      <c r="Q730" s="2"/>
      <c r="R730" s="2"/>
      <c r="S730" s="2"/>
    </row>
    <row r="731" customFormat="false" ht="14.25" hidden="false" customHeight="false" outlineLevel="0" collapsed="false">
      <c r="A731" s="4" t="s">
        <v>825</v>
      </c>
      <c r="B731" s="4" t="s">
        <v>822</v>
      </c>
      <c r="C731" s="5" t="n">
        <v>2</v>
      </c>
      <c r="D731" s="5" t="n">
        <v>30</v>
      </c>
      <c r="E731" s="5" t="n">
        <v>0</v>
      </c>
      <c r="F731" s="5" t="n">
        <v>0</v>
      </c>
      <c r="G731" s="5" t="n">
        <v>0</v>
      </c>
      <c r="H731" s="5" t="n">
        <v>30</v>
      </c>
      <c r="I731" s="6" t="n">
        <v>1</v>
      </c>
      <c r="J731" s="6" t="n">
        <v>22.6</v>
      </c>
      <c r="K731" s="6" t="n">
        <v>4</v>
      </c>
      <c r="L731" s="6" t="n">
        <v>4.4</v>
      </c>
      <c r="M731" s="4" t="str">
        <f aca="false">IF(AND(K731="",L731=""),"No closed tickets",IF(K731="","MISSING in catalog",IF(L731="","No valid closed tickets",IF(AND(ABS(K731-L731)&gt;=$S$3,ABS(K731-L731)&gt;=$S$4*MAX(L731,1)),"FAR OFF","OK"))))</f>
        <v>OK</v>
      </c>
      <c r="N731" s="7" t="n">
        <f aca="false">D731/SUMIFS($D$2:$D$741,$B$2:$B$741,B731)</f>
        <v>0.0943396226415094</v>
      </c>
      <c r="O731" s="7" t="n">
        <f aca="false">SUMIFS($D$2:D731,$B$2:B731,B731)/SUMIFS($D$2:$D$741,$B$2:$B$741,B731)</f>
        <v>0.927672955974843</v>
      </c>
      <c r="P731" s="8" t="b">
        <f aca="false">O731-N731&lt;$S$2</f>
        <v>1</v>
      </c>
      <c r="Q731" s="2"/>
      <c r="R731" s="2"/>
      <c r="S731" s="2"/>
    </row>
    <row r="732" customFormat="false" ht="14.25" hidden="false" customHeight="false" outlineLevel="0" collapsed="false">
      <c r="A732" s="4" t="s">
        <v>826</v>
      </c>
      <c r="B732" s="4" t="s">
        <v>822</v>
      </c>
      <c r="C732" s="5" t="n">
        <v>2</v>
      </c>
      <c r="D732" s="5" t="n">
        <v>13</v>
      </c>
      <c r="E732" s="5" t="n">
        <v>0</v>
      </c>
      <c r="F732" s="5" t="n">
        <v>0</v>
      </c>
      <c r="G732" s="5" t="n">
        <v>0</v>
      </c>
      <c r="H732" s="5" t="n">
        <v>13</v>
      </c>
      <c r="I732" s="6" t="n">
        <v>13</v>
      </c>
      <c r="J732" s="6" t="n">
        <v>13.2</v>
      </c>
      <c r="K732" s="6" t="n">
        <v>19</v>
      </c>
      <c r="L732" s="6" t="n">
        <v>19</v>
      </c>
      <c r="M732" s="4" t="str">
        <f aca="false">IF(AND(K732="",L732=""),"No closed tickets",IF(K732="","MISSING in catalog",IF(L732="","No valid closed tickets",IF(AND(ABS(K732-L732)&gt;=$S$3,ABS(K732-L732)&gt;=$S$4*MAX(L732,1)),"FAR OFF","OK"))))</f>
        <v>OK</v>
      </c>
      <c r="N732" s="7" t="n">
        <f aca="false">D732/SUMIFS($D$2:$D$741,$B$2:$B$741,B732)</f>
        <v>0.0408805031446541</v>
      </c>
      <c r="O732" s="7" t="n">
        <f aca="false">SUMIFS($D$2:D732,$B$2:B732,B732)/SUMIFS($D$2:$D$741,$B$2:$B$741,B732)</f>
        <v>0.968553459119497</v>
      </c>
      <c r="P732" s="8" t="b">
        <f aca="false">O732-N732&lt;$S$2</f>
        <v>1</v>
      </c>
      <c r="Q732" s="2"/>
      <c r="R732" s="2"/>
      <c r="S732" s="2"/>
    </row>
    <row r="733" customFormat="false" ht="14.25" hidden="false" customHeight="false" outlineLevel="0" collapsed="false">
      <c r="A733" s="4" t="s">
        <v>827</v>
      </c>
      <c r="B733" s="4" t="s">
        <v>822</v>
      </c>
      <c r="C733" s="5" t="n">
        <v>2</v>
      </c>
      <c r="D733" s="5" t="n">
        <v>10</v>
      </c>
      <c r="E733" s="5" t="n">
        <v>0</v>
      </c>
      <c r="F733" s="5" t="n">
        <v>0</v>
      </c>
      <c r="G733" s="5" t="n">
        <v>0</v>
      </c>
      <c r="H733" s="5" t="n">
        <v>10</v>
      </c>
      <c r="I733" s="6" t="n">
        <v>9.5</v>
      </c>
      <c r="J733" s="6" t="n">
        <v>9.2</v>
      </c>
      <c r="K733" s="6" t="n">
        <v>12</v>
      </c>
      <c r="L733" s="6" t="n">
        <v>12.2</v>
      </c>
      <c r="M733" s="4" t="str">
        <f aca="false">IF(AND(K733="",L733=""),"No closed tickets",IF(K733="","MISSING in catalog",IF(L733="","No valid closed tickets",IF(AND(ABS(K733-L733)&gt;=$S$3,ABS(K733-L733)&gt;=$S$4*MAX(L733,1)),"FAR OFF","OK"))))</f>
        <v>OK</v>
      </c>
      <c r="N733" s="7" t="n">
        <f aca="false">D733/SUMIFS($D$2:$D$741,$B$2:$B$741,B733)</f>
        <v>0.0314465408805031</v>
      </c>
      <c r="O733" s="7" t="n">
        <f aca="false">SUMIFS($D$2:D733,$B$2:B733,B733)/SUMIFS($D$2:$D$741,$B$2:$B$741,B733)</f>
        <v>1</v>
      </c>
      <c r="P733" s="8" t="b">
        <f aca="false">O733-N733&lt;$S$2</f>
        <v>0</v>
      </c>
      <c r="Q733" s="2"/>
      <c r="R733" s="2"/>
      <c r="S733" s="2"/>
    </row>
    <row r="734" customFormat="false" ht="14.25" hidden="false" customHeight="false" outlineLevel="0" collapsed="false">
      <c r="A734" s="10" t="s">
        <v>828</v>
      </c>
      <c r="B734" s="10" t="s">
        <v>829</v>
      </c>
      <c r="C734" s="11" t="n">
        <v>2</v>
      </c>
      <c r="D734" s="11" t="n">
        <v>102</v>
      </c>
      <c r="E734" s="11" t="n">
        <v>0</v>
      </c>
      <c r="F734" s="11" t="n">
        <v>0</v>
      </c>
      <c r="G734" s="11" t="n">
        <v>0</v>
      </c>
      <c r="H734" s="11" t="n">
        <v>102</v>
      </c>
      <c r="I734" s="12" t="n">
        <v>1</v>
      </c>
      <c r="J734" s="12" t="n">
        <v>3.3</v>
      </c>
      <c r="K734" s="12" t="n">
        <v>13</v>
      </c>
      <c r="L734" s="12" t="n">
        <v>13</v>
      </c>
      <c r="M734" s="10" t="str">
        <f aca="false">IF(AND(K734="",L734=""),"No closed tickets",IF(K734="","MISSING in catalog",IF(L734="","No valid closed tickets",IF(AND(ABS(K734-L734)&gt;=$S$3,ABS(K734-L734)&gt;=$S$4*MAX(L734,1)),"FAR OFF","OK"))))</f>
        <v>OK</v>
      </c>
      <c r="N734" s="13" t="n">
        <f aca="false">D734/SUMIFS($D$2:$D$741,$B$2:$B$741,B734)</f>
        <v>1</v>
      </c>
      <c r="O734" s="13" t="n">
        <f aca="false">SUMIFS($D$2:D734,$B$2:B734,B734)/SUMIFS($D$2:$D$741,$B$2:$B$741,B734)</f>
        <v>1</v>
      </c>
      <c r="P734" s="14" t="b">
        <f aca="false">O734-N734&lt;$S$2</f>
        <v>1</v>
      </c>
      <c r="Q734" s="2"/>
      <c r="R734" s="2"/>
      <c r="S734" s="2"/>
    </row>
    <row r="735" customFormat="false" ht="14.25" hidden="false" customHeight="false" outlineLevel="0" collapsed="false">
      <c r="A735" s="10" t="s">
        <v>830</v>
      </c>
      <c r="B735" s="10" t="s">
        <v>831</v>
      </c>
      <c r="C735" s="11" t="n">
        <v>0</v>
      </c>
      <c r="D735" s="11" t="n">
        <v>101</v>
      </c>
      <c r="E735" s="11" t="n">
        <v>0</v>
      </c>
      <c r="F735" s="11" t="n">
        <v>0</v>
      </c>
      <c r="G735" s="11" t="n">
        <v>0</v>
      </c>
      <c r="H735" s="11" t="n">
        <v>101</v>
      </c>
      <c r="I735" s="12" t="n">
        <v>12</v>
      </c>
      <c r="J735" s="12" t="n">
        <v>83.2</v>
      </c>
      <c r="K735" s="12" t="n">
        <v>257</v>
      </c>
      <c r="L735" s="12" t="n">
        <v>257</v>
      </c>
      <c r="M735" s="10" t="str">
        <f aca="false">IF(AND(K735="",L735=""),"No closed tickets",IF(K735="","MISSING in catalog",IF(L735="","No valid closed tickets",IF(AND(ABS(K735-L735)&gt;=$S$3,ABS(K735-L735)&gt;=$S$4*MAX(L735,1)),"FAR OFF","OK"))))</f>
        <v>OK</v>
      </c>
      <c r="N735" s="13" t="n">
        <f aca="false">D735/SUMIFS($D$2:$D$741,$B$2:$B$741,B735)</f>
        <v>0.419087136929461</v>
      </c>
      <c r="O735" s="13" t="n">
        <f aca="false">SUMIFS($D$2:D735,$B$2:B735,B735)/SUMIFS($D$2:$D$741,$B$2:$B$741,B735)</f>
        <v>0.419087136929461</v>
      </c>
      <c r="P735" s="14" t="b">
        <f aca="false">O735-N735&lt;$S$2</f>
        <v>1</v>
      </c>
      <c r="Q735" s="2"/>
      <c r="R735" s="2"/>
      <c r="S735" s="2"/>
    </row>
    <row r="736" customFormat="false" ht="14.25" hidden="false" customHeight="false" outlineLevel="0" collapsed="false">
      <c r="A736" s="4" t="s">
        <v>832</v>
      </c>
      <c r="B736" s="4" t="s">
        <v>831</v>
      </c>
      <c r="C736" s="5" t="n">
        <v>0</v>
      </c>
      <c r="D736" s="5" t="n">
        <v>49</v>
      </c>
      <c r="E736" s="5" t="n">
        <v>0</v>
      </c>
      <c r="F736" s="5" t="n">
        <v>0</v>
      </c>
      <c r="G736" s="5" t="n">
        <v>0</v>
      </c>
      <c r="H736" s="5" t="n">
        <v>49</v>
      </c>
      <c r="I736" s="6" t="n">
        <v>18</v>
      </c>
      <c r="J736" s="6" t="n">
        <v>41.5</v>
      </c>
      <c r="K736" s="6" t="n">
        <v>138</v>
      </c>
      <c r="L736" s="6" t="n">
        <v>137.8</v>
      </c>
      <c r="M736" s="4" t="str">
        <f aca="false">IF(AND(K736="",L736=""),"No closed tickets",IF(K736="","MISSING in catalog",IF(L736="","No valid closed tickets",IF(AND(ABS(K736-L736)&gt;=$S$3,ABS(K736-L736)&gt;=$S$4*MAX(L736,1)),"FAR OFF","OK"))))</f>
        <v>OK</v>
      </c>
      <c r="N736" s="7" t="n">
        <f aca="false">D736/SUMIFS($D$2:$D$741,$B$2:$B$741,B736)</f>
        <v>0.203319502074689</v>
      </c>
      <c r="O736" s="7" t="n">
        <f aca="false">SUMIFS($D$2:D736,$B$2:B736,B736)/SUMIFS($D$2:$D$741,$B$2:$B$741,B736)</f>
        <v>0.622406639004149</v>
      </c>
      <c r="P736" s="8" t="b">
        <f aca="false">O736-N736&lt;$S$2</f>
        <v>1</v>
      </c>
      <c r="Q736" s="2"/>
      <c r="R736" s="2"/>
      <c r="S736" s="2"/>
    </row>
    <row r="737" customFormat="false" ht="14.25" hidden="false" customHeight="false" outlineLevel="0" collapsed="false">
      <c r="A737" s="4" t="s">
        <v>833</v>
      </c>
      <c r="B737" s="4" t="s">
        <v>831</v>
      </c>
      <c r="C737" s="5" t="n">
        <v>0</v>
      </c>
      <c r="D737" s="5" t="n">
        <v>36</v>
      </c>
      <c r="E737" s="5" t="n">
        <v>0</v>
      </c>
      <c r="F737" s="5" t="n">
        <v>0</v>
      </c>
      <c r="G737" s="5" t="n">
        <v>0</v>
      </c>
      <c r="H737" s="5" t="n">
        <v>36</v>
      </c>
      <c r="I737" s="6" t="n">
        <v>2.5</v>
      </c>
      <c r="J737" s="6" t="n">
        <v>22</v>
      </c>
      <c r="K737" s="6" t="n">
        <v>29</v>
      </c>
      <c r="L737" s="6" t="n">
        <v>29</v>
      </c>
      <c r="M737" s="4" t="str">
        <f aca="false">IF(AND(K737="",L737=""),"No closed tickets",IF(K737="","MISSING in catalog",IF(L737="","No valid closed tickets",IF(AND(ABS(K737-L737)&gt;=$S$3,ABS(K737-L737)&gt;=$S$4*MAX(L737,1)),"FAR OFF","OK"))))</f>
        <v>OK</v>
      </c>
      <c r="N737" s="7" t="n">
        <f aca="false">D737/SUMIFS($D$2:$D$741,$B$2:$B$741,B737)</f>
        <v>0.149377593360996</v>
      </c>
      <c r="O737" s="7" t="n">
        <f aca="false">SUMIFS($D$2:D737,$B$2:B737,B737)/SUMIFS($D$2:$D$741,$B$2:$B$741,B737)</f>
        <v>0.771784232365145</v>
      </c>
      <c r="P737" s="8" t="b">
        <f aca="false">O737-N737&lt;$S$2</f>
        <v>1</v>
      </c>
      <c r="Q737" s="2"/>
      <c r="R737" s="2"/>
      <c r="S737" s="2"/>
    </row>
    <row r="738" customFormat="false" ht="14.25" hidden="false" customHeight="false" outlineLevel="0" collapsed="false">
      <c r="A738" s="4" t="s">
        <v>834</v>
      </c>
      <c r="B738" s="4" t="s">
        <v>831</v>
      </c>
      <c r="C738" s="5" t="n">
        <v>0</v>
      </c>
      <c r="D738" s="5" t="n">
        <v>20</v>
      </c>
      <c r="E738" s="5" t="n">
        <v>0</v>
      </c>
      <c r="F738" s="5" t="n">
        <v>0</v>
      </c>
      <c r="G738" s="5" t="n">
        <v>0</v>
      </c>
      <c r="H738" s="5" t="n">
        <v>20</v>
      </c>
      <c r="I738" s="6" t="n">
        <v>6.5</v>
      </c>
      <c r="J738" s="6" t="n">
        <v>22.6</v>
      </c>
      <c r="K738" s="6" t="n">
        <v>20</v>
      </c>
      <c r="L738" s="6" t="n">
        <v>20.1</v>
      </c>
      <c r="M738" s="4" t="str">
        <f aca="false">IF(AND(K738="",L738=""),"No closed tickets",IF(K738="","MISSING in catalog",IF(L738="","No valid closed tickets",IF(AND(ABS(K738-L738)&gt;=$S$3,ABS(K738-L738)&gt;=$S$4*MAX(L738,1)),"FAR OFF","OK"))))</f>
        <v>OK</v>
      </c>
      <c r="N738" s="7" t="n">
        <f aca="false">D738/SUMIFS($D$2:$D$741,$B$2:$B$741,B738)</f>
        <v>0.0829875518672199</v>
      </c>
      <c r="O738" s="7" t="n">
        <f aca="false">SUMIFS($D$2:D738,$B$2:B738,B738)/SUMIFS($D$2:$D$741,$B$2:$B$741,B738)</f>
        <v>0.854771784232365</v>
      </c>
      <c r="P738" s="8" t="b">
        <f aca="false">O738-N738&lt;$S$2</f>
        <v>1</v>
      </c>
      <c r="Q738" s="2"/>
      <c r="R738" s="2"/>
      <c r="S738" s="2"/>
    </row>
    <row r="739" customFormat="false" ht="14.25" hidden="false" customHeight="false" outlineLevel="0" collapsed="false">
      <c r="A739" s="4" t="s">
        <v>835</v>
      </c>
      <c r="B739" s="4" t="s">
        <v>831</v>
      </c>
      <c r="C739" s="5" t="n">
        <v>0</v>
      </c>
      <c r="D739" s="5" t="n">
        <v>15</v>
      </c>
      <c r="E739" s="5" t="n">
        <v>0</v>
      </c>
      <c r="F739" s="5" t="n">
        <v>0</v>
      </c>
      <c r="G739" s="5" t="n">
        <v>0</v>
      </c>
      <c r="H739" s="5" t="n">
        <v>15</v>
      </c>
      <c r="I739" s="6" t="n">
        <v>8</v>
      </c>
      <c r="J739" s="6" t="n">
        <v>9.1</v>
      </c>
      <c r="K739" s="6" t="n">
        <v>20</v>
      </c>
      <c r="L739" s="6" t="n">
        <v>20.2</v>
      </c>
      <c r="M739" s="4" t="str">
        <f aca="false">IF(AND(K739="",L739=""),"No closed tickets",IF(K739="","MISSING in catalog",IF(L739="","No valid closed tickets",IF(AND(ABS(K739-L739)&gt;=$S$3,ABS(K739-L739)&gt;=$S$4*MAX(L739,1)),"FAR OFF","OK"))))</f>
        <v>OK</v>
      </c>
      <c r="N739" s="7" t="n">
        <f aca="false">D739/SUMIFS($D$2:$D$741,$B$2:$B$741,B739)</f>
        <v>0.0622406639004149</v>
      </c>
      <c r="O739" s="7" t="n">
        <f aca="false">SUMIFS($D$2:D739,$B$2:B739,B739)/SUMIFS($D$2:$D$741,$B$2:$B$741,B739)</f>
        <v>0.91701244813278</v>
      </c>
      <c r="P739" s="8" t="b">
        <f aca="false">O739-N739&lt;$S$2</f>
        <v>1</v>
      </c>
      <c r="Q739" s="2"/>
      <c r="R739" s="2"/>
      <c r="S739" s="2"/>
    </row>
    <row r="740" customFormat="false" ht="14.25" hidden="false" customHeight="false" outlineLevel="0" collapsed="false">
      <c r="A740" s="4" t="s">
        <v>836</v>
      </c>
      <c r="B740" s="4" t="s">
        <v>831</v>
      </c>
      <c r="C740" s="5" t="n">
        <v>0</v>
      </c>
      <c r="D740" s="5" t="n">
        <v>11</v>
      </c>
      <c r="E740" s="5" t="n">
        <v>0</v>
      </c>
      <c r="F740" s="5" t="n">
        <v>0</v>
      </c>
      <c r="G740" s="5" t="n">
        <v>0</v>
      </c>
      <c r="H740" s="5" t="n">
        <v>11</v>
      </c>
      <c r="I740" s="6" t="n">
        <v>62</v>
      </c>
      <c r="J740" s="6" t="n">
        <v>58.3</v>
      </c>
      <c r="K740" s="6" t="n">
        <v>132</v>
      </c>
      <c r="L740" s="6" t="n">
        <v>132</v>
      </c>
      <c r="M740" s="4" t="str">
        <f aca="false">IF(AND(K740="",L740=""),"No closed tickets",IF(K740="","MISSING in catalog",IF(L740="","No valid closed tickets",IF(AND(ABS(K740-L740)&gt;=$S$3,ABS(K740-L740)&gt;=$S$4*MAX(L740,1)),"FAR OFF","OK"))))</f>
        <v>OK</v>
      </c>
      <c r="N740" s="7" t="n">
        <f aca="false">D740/SUMIFS($D$2:$D$741,$B$2:$B$741,B740)</f>
        <v>0.045643153526971</v>
      </c>
      <c r="O740" s="7" t="n">
        <f aca="false">SUMIFS($D$2:D740,$B$2:B740,B740)/SUMIFS($D$2:$D$741,$B$2:$B$741,B740)</f>
        <v>0.962655601659751</v>
      </c>
      <c r="P740" s="8" t="b">
        <f aca="false">O740-N740&lt;$S$2</f>
        <v>1</v>
      </c>
      <c r="Q740" s="2"/>
      <c r="R740" s="2"/>
      <c r="S740" s="2"/>
    </row>
    <row r="741" customFormat="false" ht="14.25" hidden="false" customHeight="false" outlineLevel="0" collapsed="false">
      <c r="A741" s="4" t="s">
        <v>837</v>
      </c>
      <c r="B741" s="4" t="s">
        <v>831</v>
      </c>
      <c r="C741" s="5" t="n">
        <v>0</v>
      </c>
      <c r="D741" s="5" t="n">
        <v>9</v>
      </c>
      <c r="E741" s="5" t="n">
        <v>0</v>
      </c>
      <c r="F741" s="5" t="n">
        <v>0</v>
      </c>
      <c r="G741" s="5" t="n">
        <v>0</v>
      </c>
      <c r="H741" s="5" t="n">
        <v>9</v>
      </c>
      <c r="I741" s="6" t="n">
        <v>4</v>
      </c>
      <c r="J741" s="6" t="n">
        <v>7.2</v>
      </c>
      <c r="K741" s="6" t="n">
        <v>16</v>
      </c>
      <c r="L741" s="6" t="n">
        <v>15.6</v>
      </c>
      <c r="M741" s="4" t="str">
        <f aca="false">IF(AND(K741="",L741=""),"No closed tickets",IF(K741="","MISSING in catalog",IF(L741="","No valid closed tickets",IF(AND(ABS(K741-L741)&gt;=$S$3,ABS(K741-L741)&gt;=$S$4*MAX(L741,1)),"FAR OFF","OK"))))</f>
        <v>OK</v>
      </c>
      <c r="N741" s="7" t="n">
        <f aca="false">D741/SUMIFS($D$2:$D$741,$B$2:$B$741,B741)</f>
        <v>0.037344398340249</v>
      </c>
      <c r="O741" s="7" t="n">
        <f aca="false">SUMIFS($D$2:D741,$B$2:B741,B741)/SUMIFS($D$2:$D$741,$B$2:$B$741,B741)</f>
        <v>1</v>
      </c>
      <c r="P741" s="8" t="b">
        <f aca="false">O741-N741&lt;$S$2</f>
        <v>0</v>
      </c>
      <c r="Q741" s="2"/>
      <c r="R741" s="2"/>
      <c r="S741" s="2"/>
    </row>
  </sheetData>
  <autoFilter ref="A1:P741"/>
  <conditionalFormatting sqref="M2:M741">
    <cfRule type="expression" priority="2" aboveAverage="0" equalAverage="0" bottom="0" percent="0" rank="0" text="" dxfId="5">
      <formula>M2&lt;&gt;"OK"</formula>
    </cfRule>
  </conditionalFormatting>
  <conditionalFormatting sqref="P2:P741">
    <cfRule type="expression" priority="3" aboveAverage="0" equalAverage="0" bottom="0" percent="0" rank="0" text="" dxfId="6">
      <formula>P2=1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44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11" min="7" style="0" width="10"/>
    <col collapsed="false" customWidth="true" hidden="false" outlineLevel="0" max="13" min="13" style="0" width="12"/>
  </cols>
  <sheetData>
    <row r="1" customFormat="false" ht="30" hidden="false" customHeight="true" outlineLevel="0" collapsed="false">
      <c r="A1" s="1" t="s">
        <v>838</v>
      </c>
      <c r="B1" s="1" t="s">
        <v>0</v>
      </c>
      <c r="C1" s="1" t="s">
        <v>1</v>
      </c>
      <c r="D1" s="1" t="s">
        <v>4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M1" s="3" t="s">
        <v>29</v>
      </c>
    </row>
    <row r="2" customFormat="false" ht="15" hidden="false" customHeight="false" outlineLevel="0" collapsed="false">
      <c r="A2" s="16" t="n">
        <v>1</v>
      </c>
      <c r="B2" s="4" t="s">
        <v>567</v>
      </c>
      <c r="C2" s="4" t="str">
        <f aca="false">IF('Service Types'!B502="","",'Service Types'!B502)</f>
        <v>OS - Waste and Recycling Services</v>
      </c>
      <c r="D2" s="5" t="n">
        <f aca="false">IF('Service Types'!E502="","",'Service Types'!E502)</f>
        <v>23454</v>
      </c>
      <c r="E2" s="5" t="n">
        <f aca="false">IF('Service Types'!D502="","",'Service Types'!D502)</f>
        <v>102428</v>
      </c>
      <c r="F2" s="5" t="n">
        <f aca="false">IF('Service Types'!F502="","",'Service Types'!F502)</f>
        <v>140</v>
      </c>
      <c r="G2" s="5" t="n">
        <f aca="false">IF('Service Types'!G502="","",'Service Types'!G502)</f>
        <v>0</v>
      </c>
      <c r="H2" s="5" t="n">
        <f aca="false">IF('Service Types'!H502="","",'Service Types'!H502)</f>
        <v>102288</v>
      </c>
      <c r="I2" s="6" t="n">
        <f aca="false">IF('Service Types'!I502="","",'Service Types'!I502)</f>
        <v>3</v>
      </c>
      <c r="J2" s="6" t="n">
        <f aca="false">IF('Service Types'!J502="","",'Service Types'!J502)</f>
        <v>4.3</v>
      </c>
      <c r="K2" s="6" t="n">
        <f aca="false">IF('Service Types'!K502="","",'Service Types'!K502)</f>
        <v>8</v>
      </c>
      <c r="M2" s="4" t="s">
        <v>839</v>
      </c>
    </row>
    <row r="3" customFormat="false" ht="15" hidden="false" customHeight="false" outlineLevel="0" collapsed="false">
      <c r="A3" s="16" t="n">
        <v>2</v>
      </c>
      <c r="B3" s="4" t="s">
        <v>505</v>
      </c>
      <c r="C3" s="4" t="str">
        <f aca="false">IF('Service Types'!B441="","",'Service Types'!B441)</f>
        <v>OS - Parks and Open Spaces</v>
      </c>
      <c r="D3" s="5" t="n">
        <f aca="false">IF('Service Types'!E441="","",'Service Types'!E441)</f>
        <v>12952</v>
      </c>
      <c r="E3" s="5" t="n">
        <f aca="false">IF('Service Types'!D441="","",'Service Types'!D441)</f>
        <v>42457</v>
      </c>
      <c r="F3" s="5" t="n">
        <f aca="false">IF('Service Types'!F441="","",'Service Types'!F441)</f>
        <v>1192</v>
      </c>
      <c r="G3" s="5" t="n">
        <f aca="false">IF('Service Types'!G441="","",'Service Types'!G441)</f>
        <v>471</v>
      </c>
      <c r="H3" s="5" t="n">
        <f aca="false">IF('Service Types'!H441="","",'Service Types'!H441)</f>
        <v>41265</v>
      </c>
      <c r="I3" s="6" t="n">
        <f aca="false">IF('Service Types'!I441="","",'Service Types'!I441)</f>
        <v>7</v>
      </c>
      <c r="J3" s="6" t="n">
        <f aca="false">IF('Service Types'!J441="","",'Service Types'!J441)</f>
        <v>16.6</v>
      </c>
      <c r="K3" s="6" t="n">
        <f aca="false">IF('Service Types'!K441="","",'Service Types'!K441)</f>
        <v>39</v>
      </c>
      <c r="M3" s="4" t="s">
        <v>840</v>
      </c>
    </row>
    <row r="4" customFormat="false" ht="15" hidden="false" customHeight="false" outlineLevel="0" collapsed="false">
      <c r="A4" s="16" t="n">
        <v>3</v>
      </c>
      <c r="B4" s="4" t="s">
        <v>167</v>
      </c>
      <c r="C4" s="4" t="str">
        <f aca="false">IF('Service Types'!B124="","",'Service Types'!B124)</f>
        <v>CS - Emergency Management and Community Safety</v>
      </c>
      <c r="D4" s="5" t="n">
        <f aca="false">IF('Service Types'!E124="","",'Service Types'!E124)</f>
        <v>11071</v>
      </c>
      <c r="E4" s="5" t="n">
        <f aca="false">IF('Service Types'!D124="","",'Service Types'!D124)</f>
        <v>44141</v>
      </c>
      <c r="F4" s="5" t="n">
        <f aca="false">IF('Service Types'!F124="","",'Service Types'!F124)</f>
        <v>617</v>
      </c>
      <c r="G4" s="5" t="n">
        <f aca="false">IF('Service Types'!G124="","",'Service Types'!G124)</f>
        <v>293</v>
      </c>
      <c r="H4" s="5" t="n">
        <f aca="false">IF('Service Types'!H124="","",'Service Types'!H124)</f>
        <v>43523</v>
      </c>
      <c r="I4" s="6" t="n">
        <f aca="false">IF('Service Types'!I124="","",'Service Types'!I124)</f>
        <v>8</v>
      </c>
      <c r="J4" s="6" t="n">
        <f aca="false">IF('Service Types'!J124="","",'Service Types'!J124)</f>
        <v>13.5</v>
      </c>
      <c r="K4" s="6" t="n">
        <f aca="false">IF('Service Types'!K124="","",'Service Types'!K124)</f>
        <v>23</v>
      </c>
      <c r="M4" s="4" t="s">
        <v>841</v>
      </c>
    </row>
    <row r="5" customFormat="false" ht="15" hidden="false" customHeight="false" outlineLevel="0" collapsed="false">
      <c r="A5" s="16" t="n">
        <v>4</v>
      </c>
      <c r="B5" s="4" t="s">
        <v>168</v>
      </c>
      <c r="C5" s="4" t="str">
        <f aca="false">IF('Service Types'!B125="","",'Service Types'!B125)</f>
        <v>CS - Emergency Management and Community Safety</v>
      </c>
      <c r="D5" s="5" t="n">
        <f aca="false">IF('Service Types'!E125="","",'Service Types'!E125)</f>
        <v>10003</v>
      </c>
      <c r="E5" s="5" t="n">
        <f aca="false">IF('Service Types'!D125="","",'Service Types'!D125)</f>
        <v>39298</v>
      </c>
      <c r="F5" s="5" t="n">
        <f aca="false">IF('Service Types'!F125="","",'Service Types'!F125)</f>
        <v>895</v>
      </c>
      <c r="G5" s="5" t="n">
        <f aca="false">IF('Service Types'!G125="","",'Service Types'!G125)</f>
        <v>180</v>
      </c>
      <c r="H5" s="5" t="n">
        <f aca="false">IF('Service Types'!H125="","",'Service Types'!H125)</f>
        <v>38403</v>
      </c>
      <c r="I5" s="6" t="n">
        <f aca="false">IF('Service Types'!I125="","",'Service Types'!I125)</f>
        <v>30</v>
      </c>
      <c r="J5" s="6" t="n">
        <f aca="false">IF('Service Types'!J125="","",'Service Types'!J125)</f>
        <v>26.5</v>
      </c>
      <c r="K5" s="6" t="n">
        <f aca="false">IF('Service Types'!K125="","",'Service Types'!K125)</f>
        <v>41</v>
      </c>
      <c r="M5" s="4" t="s">
        <v>842</v>
      </c>
    </row>
    <row r="6" customFormat="false" ht="15" hidden="false" customHeight="false" outlineLevel="0" collapsed="false">
      <c r="A6" s="16" t="n">
        <v>5</v>
      </c>
      <c r="B6" s="4" t="s">
        <v>570</v>
      </c>
      <c r="C6" s="4" t="str">
        <f aca="false">IF('Service Types'!B504="","",'Service Types'!B504)</f>
        <v>OS - Waste and Recycling Services</v>
      </c>
      <c r="D6" s="5" t="n">
        <f aca="false">IF('Service Types'!E504="","",'Service Types'!E504)</f>
        <v>9327</v>
      </c>
      <c r="E6" s="5" t="n">
        <f aca="false">IF('Service Types'!D504="","",'Service Types'!D504)</f>
        <v>36309</v>
      </c>
      <c r="F6" s="5" t="n">
        <f aca="false">IF('Service Types'!F504="","",'Service Types'!F504)</f>
        <v>44</v>
      </c>
      <c r="G6" s="5" t="n">
        <f aca="false">IF('Service Types'!G504="","",'Service Types'!G504)</f>
        <v>0</v>
      </c>
      <c r="H6" s="5" t="n">
        <f aca="false">IF('Service Types'!H504="","",'Service Types'!H504)</f>
        <v>36265</v>
      </c>
      <c r="I6" s="6" t="n">
        <f aca="false">IF('Service Types'!I504="","",'Service Types'!I504)</f>
        <v>1</v>
      </c>
      <c r="J6" s="6" t="n">
        <f aca="false">IF('Service Types'!J504="","",'Service Types'!J504)</f>
        <v>1.6</v>
      </c>
      <c r="K6" s="6" t="n">
        <f aca="false">IF('Service Types'!K504="","",'Service Types'!K504)</f>
        <v>4</v>
      </c>
      <c r="M6" s="4" t="s">
        <v>843</v>
      </c>
    </row>
    <row r="7" customFormat="false" ht="15" hidden="false" customHeight="false" outlineLevel="0" collapsed="false">
      <c r="A7" s="16" t="n">
        <v>6</v>
      </c>
      <c r="B7" s="4" t="s">
        <v>569</v>
      </c>
      <c r="C7" s="4" t="str">
        <f aca="false">IF('Service Types'!B503="","",'Service Types'!B503)</f>
        <v>OS - Waste and Recycling Services</v>
      </c>
      <c r="D7" s="5" t="n">
        <f aca="false">IF('Service Types'!E503="","",'Service Types'!E503)</f>
        <v>9256</v>
      </c>
      <c r="E7" s="5" t="n">
        <f aca="false">IF('Service Types'!D503="","",'Service Types'!D503)</f>
        <v>36710</v>
      </c>
      <c r="F7" s="5" t="n">
        <f aca="false">IF('Service Types'!F503="","",'Service Types'!F503)</f>
        <v>38</v>
      </c>
      <c r="G7" s="5" t="n">
        <f aca="false">IF('Service Types'!G503="","",'Service Types'!G503)</f>
        <v>0</v>
      </c>
      <c r="H7" s="5" t="n">
        <f aca="false">IF('Service Types'!H503="","",'Service Types'!H503)</f>
        <v>36672</v>
      </c>
      <c r="I7" s="6" t="n">
        <f aca="false">IF('Service Types'!I503="","",'Service Types'!I503)</f>
        <v>1</v>
      </c>
      <c r="J7" s="6" t="n">
        <f aca="false">IF('Service Types'!J503="","",'Service Types'!J503)</f>
        <v>1.6</v>
      </c>
      <c r="K7" s="6" t="n">
        <f aca="false">IF('Service Types'!K503="","",'Service Types'!K503)</f>
        <v>4</v>
      </c>
    </row>
    <row r="8" customFormat="false" ht="15" hidden="false" customHeight="false" outlineLevel="0" collapsed="false">
      <c r="A8" s="16" t="n">
        <v>7</v>
      </c>
      <c r="B8" s="4" t="s">
        <v>432</v>
      </c>
      <c r="C8" s="4" t="str">
        <f aca="false">IF('Service Types'!B370="","",'Service Types'!B370)</f>
        <v>OS - Mobility</v>
      </c>
      <c r="D8" s="5" t="n">
        <f aca="false">IF('Service Types'!E370="","",'Service Types'!E370)</f>
        <v>7889</v>
      </c>
      <c r="E8" s="5" t="n">
        <f aca="false">IF('Service Types'!D370="","",'Service Types'!D370)</f>
        <v>34790</v>
      </c>
      <c r="F8" s="5" t="n">
        <f aca="false">IF('Service Types'!F370="","",'Service Types'!F370)</f>
        <v>990</v>
      </c>
      <c r="G8" s="5" t="n">
        <f aca="false">IF('Service Types'!G370="","",'Service Types'!G370)</f>
        <v>924</v>
      </c>
      <c r="H8" s="5" t="n">
        <f aca="false">IF('Service Types'!H370="","",'Service Types'!H370)</f>
        <v>30396</v>
      </c>
      <c r="I8" s="6" t="n">
        <f aca="false">IF('Service Types'!I370="","",'Service Types'!I370)</f>
        <v>1</v>
      </c>
      <c r="J8" s="6" t="n">
        <f aca="false">IF('Service Types'!J370="","",'Service Types'!J370)</f>
        <v>5.9</v>
      </c>
      <c r="K8" s="6" t="n">
        <f aca="false">IF('Service Types'!K370="","",'Service Types'!K370)</f>
        <v>6</v>
      </c>
    </row>
    <row r="9" customFormat="false" ht="15" hidden="false" customHeight="false" outlineLevel="0" collapsed="false">
      <c r="A9" s="16" t="n">
        <v>8</v>
      </c>
      <c r="B9" s="4" t="s">
        <v>169</v>
      </c>
      <c r="C9" s="4" t="str">
        <f aca="false">IF('Service Types'!B126="","",'Service Types'!B126)</f>
        <v>CS - Emergency Management and Community Safety</v>
      </c>
      <c r="D9" s="5" t="n">
        <f aca="false">IF('Service Types'!E126="","",'Service Types'!E126)</f>
        <v>7844</v>
      </c>
      <c r="E9" s="5" t="n">
        <f aca="false">IF('Service Types'!D126="","",'Service Types'!D126)</f>
        <v>33965</v>
      </c>
      <c r="F9" s="5" t="n">
        <f aca="false">IF('Service Types'!F126="","",'Service Types'!F126)</f>
        <v>694</v>
      </c>
      <c r="G9" s="5" t="n">
        <f aca="false">IF('Service Types'!G126="","",'Service Types'!G126)</f>
        <v>309</v>
      </c>
      <c r="H9" s="5" t="n">
        <f aca="false">IF('Service Types'!H126="","",'Service Types'!H126)</f>
        <v>33271</v>
      </c>
      <c r="I9" s="6" t="n">
        <f aca="false">IF('Service Types'!I126="","",'Service Types'!I126)</f>
        <v>5</v>
      </c>
      <c r="J9" s="6" t="n">
        <f aca="false">IF('Service Types'!J126="","",'Service Types'!J126)</f>
        <v>15.1</v>
      </c>
      <c r="K9" s="6" t="n">
        <f aca="false">IF('Service Types'!K126="","",'Service Types'!K126)</f>
        <v>33</v>
      </c>
    </row>
    <row r="10" customFormat="false" ht="15" hidden="false" customHeight="false" outlineLevel="0" collapsed="false">
      <c r="A10" s="16" t="n">
        <v>9</v>
      </c>
      <c r="B10" s="4" t="s">
        <v>26</v>
      </c>
      <c r="C10" s="4" t="str">
        <f aca="false">IF('Service Types'!B5="","",'Service Types'!B5)</f>
        <v>CPFS - Assessment and Tax</v>
      </c>
      <c r="D10" s="5" t="n">
        <f aca="false">IF('Service Types'!E5="","",'Service Types'!E5)</f>
        <v>7326</v>
      </c>
      <c r="E10" s="5" t="n">
        <f aca="false">IF('Service Types'!D5="","",'Service Types'!D5)</f>
        <v>50951</v>
      </c>
      <c r="F10" s="5" t="n">
        <f aca="false">IF('Service Types'!F5="","",'Service Types'!F5)</f>
        <v>0</v>
      </c>
      <c r="G10" s="5" t="n">
        <f aca="false">IF('Service Types'!G5="","",'Service Types'!G5)</f>
        <v>0</v>
      </c>
      <c r="H10" s="5" t="n">
        <f aca="false">IF('Service Types'!H5="","",'Service Types'!H5)</f>
        <v>50951</v>
      </c>
      <c r="I10" s="6" t="n">
        <f aca="false">IF('Service Types'!I5="","",'Service Types'!I5)</f>
        <v>3</v>
      </c>
      <c r="J10" s="6" t="n">
        <f aca="false">IF('Service Types'!J5="","",'Service Types'!J5)</f>
        <v>6.7</v>
      </c>
      <c r="K10" s="6" t="n">
        <f aca="false">IF('Service Types'!K5="","",'Service Types'!K5)</f>
        <v>10</v>
      </c>
    </row>
    <row r="11" customFormat="false" ht="15" hidden="false" customHeight="false" outlineLevel="0" collapsed="false">
      <c r="A11" s="16" t="n">
        <v>10</v>
      </c>
      <c r="B11" s="4" t="s">
        <v>34</v>
      </c>
      <c r="C11" s="4" t="str">
        <f aca="false">IF('Service Types'!B9="","",'Service Types'!B9)</f>
        <v>CPFS - Assessment and Tax</v>
      </c>
      <c r="D11" s="5" t="n">
        <f aca="false">IF('Service Types'!E9="","",'Service Types'!E9)</f>
        <v>7307</v>
      </c>
      <c r="E11" s="5" t="n">
        <f aca="false">IF('Service Types'!D9="","",'Service Types'!D9)</f>
        <v>9159</v>
      </c>
      <c r="F11" s="5" t="n">
        <f aca="false">IF('Service Types'!F9="","",'Service Types'!F9)</f>
        <v>24</v>
      </c>
      <c r="G11" s="5" t="n">
        <f aca="false">IF('Service Types'!G9="","",'Service Types'!G9)</f>
        <v>0</v>
      </c>
      <c r="H11" s="5" t="n">
        <f aca="false">IF('Service Types'!H9="","",'Service Types'!H9)</f>
        <v>9135</v>
      </c>
      <c r="I11" s="6" t="n">
        <f aca="false">IF('Service Types'!I9="","",'Service Types'!I9)</f>
        <v>4</v>
      </c>
      <c r="J11" s="6" t="n">
        <f aca="false">IF('Service Types'!J9="","",'Service Types'!J9)</f>
        <v>8.8</v>
      </c>
      <c r="K11" s="6" t="n">
        <f aca="false">IF('Service Types'!K9="","",'Service Types'!K9)</f>
        <v>16</v>
      </c>
    </row>
    <row r="12" customFormat="false" ht="15" hidden="false" customHeight="false" outlineLevel="0" collapsed="false">
      <c r="A12" s="16" t="n">
        <v>11</v>
      </c>
      <c r="B12" s="4" t="s">
        <v>571</v>
      </c>
      <c r="C12" s="4" t="str">
        <f aca="false">IF('Service Types'!B505="","",'Service Types'!B505)</f>
        <v>OS - Waste and Recycling Services</v>
      </c>
      <c r="D12" s="5" t="n">
        <f aca="false">IF('Service Types'!E505="","",'Service Types'!E505)</f>
        <v>6896</v>
      </c>
      <c r="E12" s="5" t="n">
        <f aca="false">IF('Service Types'!D505="","",'Service Types'!D505)</f>
        <v>33263</v>
      </c>
      <c r="F12" s="5" t="n">
        <f aca="false">IF('Service Types'!F505="","",'Service Types'!F505)</f>
        <v>37</v>
      </c>
      <c r="G12" s="5" t="n">
        <f aca="false">IF('Service Types'!G505="","",'Service Types'!G505)</f>
        <v>0</v>
      </c>
      <c r="H12" s="5" t="n">
        <f aca="false">IF('Service Types'!H505="","",'Service Types'!H505)</f>
        <v>33226</v>
      </c>
      <c r="I12" s="6" t="n">
        <f aca="false">IF('Service Types'!I505="","",'Service Types'!I505)</f>
        <v>1</v>
      </c>
      <c r="J12" s="6" t="n">
        <f aca="false">IF('Service Types'!J505="","",'Service Types'!J505)</f>
        <v>1.5</v>
      </c>
      <c r="K12" s="6" t="n">
        <f aca="false">IF('Service Types'!K505="","",'Service Types'!K505)</f>
        <v>4</v>
      </c>
    </row>
    <row r="13" customFormat="false" ht="15" hidden="false" customHeight="false" outlineLevel="0" collapsed="false">
      <c r="A13" s="16" t="n">
        <v>12</v>
      </c>
      <c r="B13" s="4" t="s">
        <v>572</v>
      </c>
      <c r="C13" s="4" t="str">
        <f aca="false">IF('Service Types'!B506="","",'Service Types'!B506)</f>
        <v>OS - Waste and Recycling Services</v>
      </c>
      <c r="D13" s="5" t="n">
        <f aca="false">IF('Service Types'!E506="","",'Service Types'!E506)</f>
        <v>6165</v>
      </c>
      <c r="E13" s="5" t="n">
        <f aca="false">IF('Service Types'!D506="","",'Service Types'!D506)</f>
        <v>30520</v>
      </c>
      <c r="F13" s="5" t="n">
        <f aca="false">IF('Service Types'!F506="","",'Service Types'!F506)</f>
        <v>55</v>
      </c>
      <c r="G13" s="5" t="n">
        <f aca="false">IF('Service Types'!G506="","",'Service Types'!G506)</f>
        <v>0</v>
      </c>
      <c r="H13" s="5" t="n">
        <f aca="false">IF('Service Types'!H506="","",'Service Types'!H506)</f>
        <v>30465</v>
      </c>
      <c r="I13" s="6" t="n">
        <f aca="false">IF('Service Types'!I506="","",'Service Types'!I506)</f>
        <v>4</v>
      </c>
      <c r="J13" s="6" t="n">
        <f aca="false">IF('Service Types'!J506="","",'Service Types'!J506)</f>
        <v>5</v>
      </c>
      <c r="K13" s="6" t="n">
        <f aca="false">IF('Service Types'!K506="","",'Service Types'!K506)</f>
        <v>11</v>
      </c>
    </row>
    <row r="14" customFormat="false" ht="15" hidden="false" customHeight="false" outlineLevel="0" collapsed="false">
      <c r="A14" s="16" t="n">
        <v>13</v>
      </c>
      <c r="B14" s="4" t="s">
        <v>435</v>
      </c>
      <c r="C14" s="4" t="str">
        <f aca="false">IF('Service Types'!B372="","",'Service Types'!B372)</f>
        <v>OS - Mobility</v>
      </c>
      <c r="D14" s="5" t="n">
        <f aca="false">IF('Service Types'!E372="","",'Service Types'!E372)</f>
        <v>6096</v>
      </c>
      <c r="E14" s="5" t="n">
        <f aca="false">IF('Service Types'!D372="","",'Service Types'!D372)</f>
        <v>24787</v>
      </c>
      <c r="F14" s="5" t="n">
        <f aca="false">IF('Service Types'!F372="","",'Service Types'!F372)</f>
        <v>1454</v>
      </c>
      <c r="G14" s="5" t="n">
        <f aca="false">IF('Service Types'!G372="","",'Service Types'!G372)</f>
        <v>1262</v>
      </c>
      <c r="H14" s="5" t="n">
        <f aca="false">IF('Service Types'!H372="","",'Service Types'!H372)</f>
        <v>22427</v>
      </c>
      <c r="I14" s="6" t="n">
        <f aca="false">IF('Service Types'!I372="","",'Service Types'!I372)</f>
        <v>1</v>
      </c>
      <c r="J14" s="6" t="n">
        <f aca="false">IF('Service Types'!J372="","",'Service Types'!J372)</f>
        <v>13.3</v>
      </c>
      <c r="K14" s="6" t="n">
        <f aca="false">IF('Service Types'!K372="","",'Service Types'!K372)</f>
        <v>24</v>
      </c>
    </row>
    <row r="15" customFormat="false" ht="15" hidden="false" customHeight="false" outlineLevel="0" collapsed="false">
      <c r="A15" s="16" t="n">
        <v>14</v>
      </c>
      <c r="B15" s="4" t="s">
        <v>165</v>
      </c>
      <c r="C15" s="4" t="str">
        <f aca="false">IF('Service Types'!B123="","",'Service Types'!B123)</f>
        <v>CS - Emergency Management and Community Safety</v>
      </c>
      <c r="D15" s="5" t="n">
        <f aca="false">IF('Service Types'!E123="","",'Service Types'!E123)</f>
        <v>6028</v>
      </c>
      <c r="E15" s="5" t="n">
        <f aca="false">IF('Service Types'!D123="","",'Service Types'!D123)</f>
        <v>49297</v>
      </c>
      <c r="F15" s="5" t="n">
        <f aca="false">IF('Service Types'!F123="","",'Service Types'!F123)</f>
        <v>46</v>
      </c>
      <c r="G15" s="5" t="n">
        <f aca="false">IF('Service Types'!G123="","",'Service Types'!G123)</f>
        <v>46</v>
      </c>
      <c r="H15" s="5" t="n">
        <f aca="false">IF('Service Types'!H123="","",'Service Types'!H123)</f>
        <v>48657</v>
      </c>
      <c r="I15" s="6" t="n">
        <f aca="false">IF('Service Types'!I123="","",'Service Types'!I123)</f>
        <v>5</v>
      </c>
      <c r="J15" s="6" t="n">
        <f aca="false">IF('Service Types'!J123="","",'Service Types'!J123)</f>
        <v>9.3</v>
      </c>
      <c r="K15" s="6" t="n">
        <f aca="false">IF('Service Types'!K123="","",'Service Types'!K123)</f>
        <v>19</v>
      </c>
    </row>
    <row r="16" customFormat="false" ht="15" hidden="false" customHeight="false" outlineLevel="0" collapsed="false">
      <c r="A16" s="16" t="n">
        <v>15</v>
      </c>
      <c r="B16" s="4" t="s">
        <v>171</v>
      </c>
      <c r="C16" s="4" t="str">
        <f aca="false">IF('Service Types'!B128="","",'Service Types'!B128)</f>
        <v>CS - Emergency Management and Community Safety</v>
      </c>
      <c r="D16" s="5" t="n">
        <f aca="false">IF('Service Types'!E128="","",'Service Types'!E128)</f>
        <v>5598</v>
      </c>
      <c r="E16" s="5" t="n">
        <f aca="false">IF('Service Types'!D128="","",'Service Types'!D128)</f>
        <v>20961</v>
      </c>
      <c r="F16" s="5" t="n">
        <f aca="false">IF('Service Types'!F128="","",'Service Types'!F128)</f>
        <v>432</v>
      </c>
      <c r="G16" s="5" t="n">
        <f aca="false">IF('Service Types'!G128="","",'Service Types'!G128)</f>
        <v>216</v>
      </c>
      <c r="H16" s="5" t="n">
        <f aca="false">IF('Service Types'!H128="","",'Service Types'!H128)</f>
        <v>20529</v>
      </c>
      <c r="I16" s="6" t="n">
        <f aca="false">IF('Service Types'!I128="","",'Service Types'!I128)</f>
        <v>5</v>
      </c>
      <c r="J16" s="6" t="n">
        <f aca="false">IF('Service Types'!J128="","",'Service Types'!J128)</f>
        <v>14.5</v>
      </c>
      <c r="K16" s="6" t="n">
        <f aca="false">IF('Service Types'!K128="","",'Service Types'!K128)</f>
        <v>34</v>
      </c>
    </row>
    <row r="17" customFormat="false" ht="15" hidden="false" customHeight="false" outlineLevel="0" collapsed="false">
      <c r="A17" s="16" t="n">
        <v>16</v>
      </c>
      <c r="B17" s="4" t="s">
        <v>170</v>
      </c>
      <c r="C17" s="4" t="str">
        <f aca="false">IF('Service Types'!B127="","",'Service Types'!B127)</f>
        <v>CS - Emergency Management and Community Safety</v>
      </c>
      <c r="D17" s="5" t="n">
        <f aca="false">IF('Service Types'!E127="","",'Service Types'!E127)</f>
        <v>5404</v>
      </c>
      <c r="E17" s="5" t="n">
        <f aca="false">IF('Service Types'!D127="","",'Service Types'!D127)</f>
        <v>29665</v>
      </c>
      <c r="F17" s="5" t="n">
        <f aca="false">IF('Service Types'!F127="","",'Service Types'!F127)</f>
        <v>388</v>
      </c>
      <c r="G17" s="5" t="n">
        <f aca="false">IF('Service Types'!G127="","",'Service Types'!G127)</f>
        <v>165</v>
      </c>
      <c r="H17" s="5" t="n">
        <f aca="false">IF('Service Types'!H127="","",'Service Types'!H127)</f>
        <v>29277</v>
      </c>
      <c r="I17" s="6" t="n">
        <f aca="false">IF('Service Types'!I127="","",'Service Types'!I127)</f>
        <v>4</v>
      </c>
      <c r="J17" s="6" t="n">
        <f aca="false">IF('Service Types'!J127="","",'Service Types'!J127)</f>
        <v>12.7</v>
      </c>
      <c r="K17" s="6" t="n">
        <f aca="false">IF('Service Types'!K127="","",'Service Types'!K127)</f>
        <v>29</v>
      </c>
    </row>
    <row r="18" customFormat="false" ht="15" hidden="false" customHeight="false" outlineLevel="0" collapsed="false">
      <c r="A18" s="16" t="n">
        <v>17</v>
      </c>
      <c r="B18" s="4" t="s">
        <v>436</v>
      </c>
      <c r="C18" s="4" t="str">
        <f aca="false">IF('Service Types'!B373="","",'Service Types'!B373)</f>
        <v>OS - Mobility</v>
      </c>
      <c r="D18" s="5" t="n">
        <f aca="false">IF('Service Types'!E373="","",'Service Types'!E373)</f>
        <v>5375</v>
      </c>
      <c r="E18" s="5" t="n">
        <f aca="false">IF('Service Types'!D373="","",'Service Types'!D373)</f>
        <v>22676</v>
      </c>
      <c r="F18" s="5" t="n">
        <f aca="false">IF('Service Types'!F373="","",'Service Types'!F373)</f>
        <v>3812</v>
      </c>
      <c r="G18" s="5" t="n">
        <f aca="false">IF('Service Types'!G373="","",'Service Types'!G373)</f>
        <v>3328</v>
      </c>
      <c r="H18" s="5" t="n">
        <f aca="false">IF('Service Types'!H373="","",'Service Types'!H373)</f>
        <v>18864</v>
      </c>
      <c r="I18" s="6" t="n">
        <f aca="false">IF('Service Types'!I373="","",'Service Types'!I373)</f>
        <v>145</v>
      </c>
      <c r="J18" s="6" t="n">
        <f aca="false">IF('Service Types'!J373="","",'Service Types'!J373)</f>
        <v>166.9</v>
      </c>
      <c r="K18" s="6" t="n">
        <f aca="false">IF('Service Types'!K373="","",'Service Types'!K373)</f>
        <v>393</v>
      </c>
    </row>
    <row r="19" customFormat="false" ht="15" hidden="false" customHeight="false" outlineLevel="0" collapsed="false">
      <c r="A19" s="16" t="n">
        <v>18</v>
      </c>
      <c r="B19" s="4" t="s">
        <v>257</v>
      </c>
      <c r="C19" s="4" t="str">
        <f aca="false">IF('Service Types'!B213="","",'Service Types'!B213)</f>
        <v>CS - Recreation and Social Programs</v>
      </c>
      <c r="D19" s="5" t="n">
        <f aca="false">IF('Service Types'!E213="","",'Service Types'!E213)</f>
        <v>5364</v>
      </c>
      <c r="E19" s="5" t="n">
        <f aca="false">IF('Service Types'!D213="","",'Service Types'!D213)</f>
        <v>23846</v>
      </c>
      <c r="F19" s="5" t="n">
        <f aca="false">IF('Service Types'!F213="","",'Service Types'!F213)</f>
        <v>134</v>
      </c>
      <c r="G19" s="5" t="n">
        <f aca="false">IF('Service Types'!G213="","",'Service Types'!G213)</f>
        <v>3</v>
      </c>
      <c r="H19" s="5" t="n">
        <f aca="false">IF('Service Types'!H213="","",'Service Types'!H213)</f>
        <v>23712</v>
      </c>
      <c r="I19" s="6" t="n">
        <f aca="false">IF('Service Types'!I213="","",'Service Types'!I213)</f>
        <v>11</v>
      </c>
      <c r="J19" s="6" t="n">
        <f aca="false">IF('Service Types'!J213="","",'Service Types'!J213)</f>
        <v>18.5</v>
      </c>
      <c r="K19" s="6" t="n">
        <f aca="false">IF('Service Types'!K213="","",'Service Types'!K213)</f>
        <v>45</v>
      </c>
    </row>
    <row r="20" customFormat="false" ht="15" hidden="false" customHeight="false" outlineLevel="0" collapsed="false">
      <c r="A20" s="16" t="n">
        <v>19</v>
      </c>
      <c r="B20" s="4" t="s">
        <v>439</v>
      </c>
      <c r="C20" s="4" t="str">
        <f aca="false">IF('Service Types'!B376="","",'Service Types'!B376)</f>
        <v>OS - Mobility</v>
      </c>
      <c r="D20" s="5" t="n">
        <f aca="false">IF('Service Types'!E376="","",'Service Types'!E376)</f>
        <v>5296</v>
      </c>
      <c r="E20" s="5" t="n">
        <f aca="false">IF('Service Types'!D376="","",'Service Types'!D376)</f>
        <v>19741</v>
      </c>
      <c r="F20" s="5" t="n">
        <f aca="false">IF('Service Types'!F376="","",'Service Types'!F376)</f>
        <v>18</v>
      </c>
      <c r="G20" s="5" t="n">
        <f aca="false">IF('Service Types'!G376="","",'Service Types'!G376)</f>
        <v>9</v>
      </c>
      <c r="H20" s="5" t="n">
        <f aca="false">IF('Service Types'!H376="","",'Service Types'!H376)</f>
        <v>18744</v>
      </c>
      <c r="I20" s="6" t="n">
        <f aca="false">IF('Service Types'!I376="","",'Service Types'!I376)</f>
        <v>0</v>
      </c>
      <c r="J20" s="6" t="n">
        <f aca="false">IF('Service Types'!J376="","",'Service Types'!J376)</f>
        <v>0.3</v>
      </c>
      <c r="K20" s="6" t="n">
        <f aca="false">IF('Service Types'!K376="","",'Service Types'!K376)</f>
        <v>1</v>
      </c>
    </row>
    <row r="21" customFormat="false" ht="15" hidden="false" customHeight="false" outlineLevel="0" collapsed="false">
      <c r="A21" s="16" t="n">
        <v>20</v>
      </c>
      <c r="B21" s="4" t="s">
        <v>38</v>
      </c>
      <c r="C21" s="4" t="str">
        <f aca="false">IF('Service Types'!B11="","",'Service Types'!B11)</f>
        <v>CPFS - Assessment and Tax</v>
      </c>
      <c r="D21" s="5" t="n">
        <f aca="false">IF('Service Types'!E11="","",'Service Types'!E11)</f>
        <v>5101</v>
      </c>
      <c r="E21" s="5" t="n">
        <f aca="false">IF('Service Types'!D11="","",'Service Types'!D11)</f>
        <v>5101</v>
      </c>
      <c r="F21" s="5" t="n">
        <f aca="false">IF('Service Types'!F11="","",'Service Types'!F11)</f>
        <v>99</v>
      </c>
      <c r="G21" s="5" t="n">
        <f aca="false">IF('Service Types'!G11="","",'Service Types'!G11)</f>
        <v>4</v>
      </c>
      <c r="H21" s="5" t="n">
        <f aca="false">IF('Service Types'!H11="","",'Service Types'!H11)</f>
        <v>5002</v>
      </c>
      <c r="I21" s="6" t="n">
        <f aca="false">IF('Service Types'!I11="","",'Service Types'!I11)</f>
        <v>2</v>
      </c>
      <c r="J21" s="6" t="n">
        <f aca="false">IF('Service Types'!J11="","",'Service Types'!J11)</f>
        <v>2.2</v>
      </c>
      <c r="K21" s="6" t="n">
        <f aca="false">IF('Service Types'!K11="","",'Service Types'!K11)</f>
        <v>4</v>
      </c>
    </row>
    <row r="22" customFormat="false" ht="15" hidden="false" customHeight="false" outlineLevel="0" collapsed="false">
      <c r="A22" s="16" t="n">
        <v>21</v>
      </c>
      <c r="B22" s="4" t="s">
        <v>599</v>
      </c>
      <c r="C22" s="4" t="str">
        <f aca="false">IF('Service Types'!B532="","",'Service Types'!B532)</f>
        <v>OS - Water Services</v>
      </c>
      <c r="D22" s="5" t="n">
        <f aca="false">IF('Service Types'!E532="","",'Service Types'!E532)</f>
        <v>4422</v>
      </c>
      <c r="E22" s="5" t="n">
        <f aca="false">IF('Service Types'!D532="","",'Service Types'!D532)</f>
        <v>25079</v>
      </c>
      <c r="F22" s="5" t="n">
        <f aca="false">IF('Service Types'!F532="","",'Service Types'!F532)</f>
        <v>5</v>
      </c>
      <c r="G22" s="5" t="n">
        <f aca="false">IF('Service Types'!G532="","",'Service Types'!G532)</f>
        <v>0</v>
      </c>
      <c r="H22" s="5" t="n">
        <f aca="false">IF('Service Types'!H532="","",'Service Types'!H532)</f>
        <v>25074</v>
      </c>
      <c r="I22" s="6" t="n">
        <f aca="false">IF('Service Types'!I532="","",'Service Types'!I532)</f>
        <v>0</v>
      </c>
      <c r="J22" s="6" t="n">
        <f aca="false">IF('Service Types'!J532="","",'Service Types'!J532)</f>
        <v>0.6</v>
      </c>
      <c r="K22" s="6" t="n">
        <f aca="false">IF('Service Types'!K532="","",'Service Types'!K532)</f>
        <v>1</v>
      </c>
    </row>
    <row r="23" customFormat="false" ht="15" hidden="false" customHeight="false" outlineLevel="0" collapsed="false">
      <c r="A23" s="16" t="n">
        <v>22</v>
      </c>
      <c r="B23" s="4" t="s">
        <v>442</v>
      </c>
      <c r="C23" s="4" t="str">
        <f aca="false">IF('Service Types'!B379="","",'Service Types'!B379)</f>
        <v>OS - Mobility</v>
      </c>
      <c r="D23" s="5" t="n">
        <f aca="false">IF('Service Types'!E379="","",'Service Types'!E379)</f>
        <v>4320</v>
      </c>
      <c r="E23" s="5" t="n">
        <f aca="false">IF('Service Types'!D379="","",'Service Types'!D379)</f>
        <v>17517</v>
      </c>
      <c r="F23" s="5" t="n">
        <f aca="false">IF('Service Types'!F379="","",'Service Types'!F379)</f>
        <v>64</v>
      </c>
      <c r="G23" s="5" t="n">
        <f aca="false">IF('Service Types'!G379="","",'Service Types'!G379)</f>
        <v>61</v>
      </c>
      <c r="H23" s="5" t="n">
        <f aca="false">IF('Service Types'!H379="","",'Service Types'!H379)</f>
        <v>13848</v>
      </c>
      <c r="I23" s="6" t="n">
        <f aca="false">IF('Service Types'!I379="","",'Service Types'!I379)</f>
        <v>0</v>
      </c>
      <c r="J23" s="6" t="n">
        <f aca="false">IF('Service Types'!J379="","",'Service Types'!J379)</f>
        <v>0.7</v>
      </c>
      <c r="K23" s="6" t="n">
        <f aca="false">IF('Service Types'!K379="","",'Service Types'!K379)</f>
        <v>1</v>
      </c>
    </row>
    <row r="24" customFormat="false" ht="15" hidden="false" customHeight="false" outlineLevel="0" collapsed="false">
      <c r="A24" s="16" t="n">
        <v>23</v>
      </c>
      <c r="B24" s="4" t="s">
        <v>438</v>
      </c>
      <c r="C24" s="4" t="str">
        <f aca="false">IF('Service Types'!B375="","",'Service Types'!B375)</f>
        <v>OS - Mobility</v>
      </c>
      <c r="D24" s="5" t="n">
        <f aca="false">IF('Service Types'!E375="","",'Service Types'!E375)</f>
        <v>4256</v>
      </c>
      <c r="E24" s="5" t="n">
        <f aca="false">IF('Service Types'!D375="","",'Service Types'!D375)</f>
        <v>21509</v>
      </c>
      <c r="F24" s="5" t="n">
        <f aca="false">IF('Service Types'!F375="","",'Service Types'!F375)</f>
        <v>2949</v>
      </c>
      <c r="G24" s="5" t="n">
        <f aca="false">IF('Service Types'!G375="","",'Service Types'!G375)</f>
        <v>2667</v>
      </c>
      <c r="H24" s="5" t="n">
        <f aca="false">IF('Service Types'!H375="","",'Service Types'!H375)</f>
        <v>16640</v>
      </c>
      <c r="I24" s="6" t="n">
        <f aca="false">IF('Service Types'!I375="","",'Service Types'!I375)</f>
        <v>3</v>
      </c>
      <c r="J24" s="6" t="n">
        <f aca="false">IF('Service Types'!J375="","",'Service Types'!J375)</f>
        <v>37.1</v>
      </c>
      <c r="K24" s="6" t="n">
        <f aca="false">IF('Service Types'!K375="","",'Service Types'!K375)</f>
        <v>108</v>
      </c>
    </row>
    <row r="25" customFormat="false" ht="15" hidden="false" customHeight="false" outlineLevel="0" collapsed="false">
      <c r="A25" s="16" t="n">
        <v>24</v>
      </c>
      <c r="B25" s="4" t="s">
        <v>508</v>
      </c>
      <c r="C25" s="4" t="str">
        <f aca="false">IF('Service Types'!B443="","",'Service Types'!B443)</f>
        <v>OS - Parks and Open Spaces</v>
      </c>
      <c r="D25" s="5" t="n">
        <f aca="false">IF('Service Types'!E443="","",'Service Types'!E443)</f>
        <v>4233</v>
      </c>
      <c r="E25" s="5" t="n">
        <f aca="false">IF('Service Types'!D443="","",'Service Types'!D443)</f>
        <v>13340</v>
      </c>
      <c r="F25" s="5" t="n">
        <f aca="false">IF('Service Types'!F443="","",'Service Types'!F443)</f>
        <v>65</v>
      </c>
      <c r="G25" s="5" t="n">
        <f aca="false">IF('Service Types'!G443="","",'Service Types'!G443)</f>
        <v>26</v>
      </c>
      <c r="H25" s="5" t="n">
        <f aca="false">IF('Service Types'!H443="","",'Service Types'!H443)</f>
        <v>13275</v>
      </c>
      <c r="I25" s="6" t="n">
        <f aca="false">IF('Service Types'!I443="","",'Service Types'!I443)</f>
        <v>3</v>
      </c>
      <c r="J25" s="6" t="n">
        <f aca="false">IF('Service Types'!J443="","",'Service Types'!J443)</f>
        <v>5</v>
      </c>
      <c r="K25" s="6" t="n">
        <f aca="false">IF('Service Types'!K443="","",'Service Types'!K443)</f>
        <v>10</v>
      </c>
    </row>
    <row r="26" customFormat="false" ht="15" hidden="false" customHeight="false" outlineLevel="0" collapsed="false">
      <c r="A26" s="16" t="n">
        <v>25</v>
      </c>
      <c r="B26" s="4" t="s">
        <v>573</v>
      </c>
      <c r="C26" s="4" t="str">
        <f aca="false">IF('Service Types'!B507="","",'Service Types'!B507)</f>
        <v>OS - Waste and Recycling Services</v>
      </c>
      <c r="D26" s="5" t="n">
        <f aca="false">IF('Service Types'!E507="","",'Service Types'!E507)</f>
        <v>4158</v>
      </c>
      <c r="E26" s="5" t="n">
        <f aca="false">IF('Service Types'!D507="","",'Service Types'!D507)</f>
        <v>15742</v>
      </c>
      <c r="F26" s="5" t="n">
        <f aca="false">IF('Service Types'!F507="","",'Service Types'!F507)</f>
        <v>74</v>
      </c>
      <c r="G26" s="5" t="n">
        <f aca="false">IF('Service Types'!G507="","",'Service Types'!G507)</f>
        <v>0</v>
      </c>
      <c r="H26" s="5" t="n">
        <f aca="false">IF('Service Types'!H507="","",'Service Types'!H507)</f>
        <v>15668</v>
      </c>
      <c r="I26" s="6" t="n">
        <f aca="false">IF('Service Types'!I507="","",'Service Types'!I507)</f>
        <v>1</v>
      </c>
      <c r="J26" s="6" t="n">
        <f aca="false">IF('Service Types'!J507="","",'Service Types'!J507)</f>
        <v>2.2</v>
      </c>
      <c r="K26" s="6" t="n">
        <f aca="false">IF('Service Types'!K507="","",'Service Types'!K507)</f>
        <v>4</v>
      </c>
    </row>
    <row r="27" customFormat="false" ht="15" hidden="false" customHeight="false" outlineLevel="0" collapsed="false">
      <c r="A27" s="16" t="n">
        <v>26</v>
      </c>
      <c r="B27" s="4" t="s">
        <v>172</v>
      </c>
      <c r="C27" s="4" t="str">
        <f aca="false">IF('Service Types'!B129="","",'Service Types'!B129)</f>
        <v>CS - Emergency Management and Community Safety</v>
      </c>
      <c r="D27" s="5" t="n">
        <f aca="false">IF('Service Types'!E129="","",'Service Types'!E129)</f>
        <v>3938</v>
      </c>
      <c r="E27" s="5" t="n">
        <f aca="false">IF('Service Types'!D129="","",'Service Types'!D129)</f>
        <v>13264</v>
      </c>
      <c r="F27" s="5" t="n">
        <f aca="false">IF('Service Types'!F129="","",'Service Types'!F129)</f>
        <v>1005</v>
      </c>
      <c r="G27" s="5" t="n">
        <f aca="false">IF('Service Types'!G129="","",'Service Types'!G129)</f>
        <v>625</v>
      </c>
      <c r="H27" s="5" t="n">
        <f aca="false">IF('Service Types'!H129="","",'Service Types'!H129)</f>
        <v>12259</v>
      </c>
      <c r="I27" s="6" t="n">
        <f aca="false">IF('Service Types'!I129="","",'Service Types'!I129)</f>
        <v>3</v>
      </c>
      <c r="J27" s="6" t="n">
        <f aca="false">IF('Service Types'!J129="","",'Service Types'!J129)</f>
        <v>11.8</v>
      </c>
      <c r="K27" s="6" t="n">
        <f aca="false">IF('Service Types'!K129="","",'Service Types'!K129)</f>
        <v>25</v>
      </c>
    </row>
    <row r="28" customFormat="false" ht="15" hidden="false" customHeight="false" outlineLevel="0" collapsed="false">
      <c r="A28" s="16" t="n">
        <v>27</v>
      </c>
      <c r="B28" s="4" t="s">
        <v>434</v>
      </c>
      <c r="C28" s="4" t="str">
        <f aca="false">IF('Service Types'!B371="","",'Service Types'!B371)</f>
        <v>OS - Mobility</v>
      </c>
      <c r="D28" s="5" t="n">
        <f aca="false">IF('Service Types'!E371="","",'Service Types'!E371)</f>
        <v>3786</v>
      </c>
      <c r="E28" s="5" t="n">
        <f aca="false">IF('Service Types'!D371="","",'Service Types'!D371)</f>
        <v>28005</v>
      </c>
      <c r="F28" s="5" t="n">
        <f aca="false">IF('Service Types'!F371="","",'Service Types'!F371)</f>
        <v>561</v>
      </c>
      <c r="G28" s="5" t="n">
        <f aca="false">IF('Service Types'!G371="","",'Service Types'!G371)</f>
        <v>561</v>
      </c>
      <c r="H28" s="5" t="n">
        <f aca="false">IF('Service Types'!H371="","",'Service Types'!H371)</f>
        <v>25812</v>
      </c>
      <c r="I28" s="6" t="n">
        <f aca="false">IF('Service Types'!I371="","",'Service Types'!I371)</f>
        <v>1</v>
      </c>
      <c r="J28" s="6" t="n">
        <f aca="false">IF('Service Types'!J371="","",'Service Types'!J371)</f>
        <v>3.3</v>
      </c>
      <c r="K28" s="6" t="n">
        <f aca="false">IF('Service Types'!K371="","",'Service Types'!K371)</f>
        <v>4</v>
      </c>
    </row>
    <row r="29" customFormat="false" ht="15" hidden="false" customHeight="false" outlineLevel="0" collapsed="false">
      <c r="A29" s="16" t="n">
        <v>28</v>
      </c>
      <c r="B29" s="4" t="s">
        <v>441</v>
      </c>
      <c r="C29" s="4" t="str">
        <f aca="false">IF('Service Types'!B378="","",'Service Types'!B378)</f>
        <v>OS - Mobility</v>
      </c>
      <c r="D29" s="5" t="n">
        <f aca="false">IF('Service Types'!E378="","",'Service Types'!E378)</f>
        <v>3770</v>
      </c>
      <c r="E29" s="5" t="n">
        <f aca="false">IF('Service Types'!D378="","",'Service Types'!D378)</f>
        <v>17883</v>
      </c>
      <c r="F29" s="5" t="n">
        <f aca="false">IF('Service Types'!F378="","",'Service Types'!F378)</f>
        <v>2268</v>
      </c>
      <c r="G29" s="5" t="n">
        <f aca="false">IF('Service Types'!G378="","",'Service Types'!G378)</f>
        <v>2095</v>
      </c>
      <c r="H29" s="5" t="n">
        <f aca="false">IF('Service Types'!H378="","",'Service Types'!H378)</f>
        <v>14022</v>
      </c>
      <c r="I29" s="6" t="n">
        <f aca="false">IF('Service Types'!I378="","",'Service Types'!I378)</f>
        <v>2</v>
      </c>
      <c r="J29" s="6" t="n">
        <f aca="false">IF('Service Types'!J378="","",'Service Types'!J378)</f>
        <v>23.2</v>
      </c>
      <c r="K29" s="6" t="n">
        <f aca="false">IF('Service Types'!K378="","",'Service Types'!K378)</f>
        <v>38</v>
      </c>
    </row>
    <row r="30" customFormat="false" ht="15" hidden="false" customHeight="false" outlineLevel="0" collapsed="false">
      <c r="A30" s="16" t="n">
        <v>29</v>
      </c>
      <c r="B30" s="4" t="s">
        <v>661</v>
      </c>
      <c r="C30" s="4" t="str">
        <f aca="false">IF('Service Types'!B591="","",'Service Types'!B591)</f>
        <v>OSC - Waste and Recycling Services</v>
      </c>
      <c r="D30" s="5" t="n">
        <f aca="false">IF('Service Types'!E591="","",'Service Types'!E591)</f>
        <v>3546</v>
      </c>
      <c r="E30" s="5" t="n">
        <f aca="false">IF('Service Types'!D591="","",'Service Types'!D591)</f>
        <v>15182</v>
      </c>
      <c r="F30" s="5" t="n">
        <f aca="false">IF('Service Types'!F591="","",'Service Types'!F591)</f>
        <v>26</v>
      </c>
      <c r="G30" s="5" t="n">
        <f aca="false">IF('Service Types'!G591="","",'Service Types'!G591)</f>
        <v>0</v>
      </c>
      <c r="H30" s="5" t="n">
        <f aca="false">IF('Service Types'!H591="","",'Service Types'!H591)</f>
        <v>15156</v>
      </c>
      <c r="I30" s="6" t="n">
        <f aca="false">IF('Service Types'!I591="","",'Service Types'!I591)</f>
        <v>1</v>
      </c>
      <c r="J30" s="6" t="n">
        <f aca="false">IF('Service Types'!J591="","",'Service Types'!J591)</f>
        <v>2.5</v>
      </c>
      <c r="K30" s="6" t="n">
        <f aca="false">IF('Service Types'!K591="","",'Service Types'!K591)</f>
        <v>4</v>
      </c>
    </row>
    <row r="31" customFormat="false" ht="15" hidden="false" customHeight="false" outlineLevel="0" collapsed="false">
      <c r="A31" s="16" t="n">
        <v>30</v>
      </c>
      <c r="B31" s="4" t="s">
        <v>601</v>
      </c>
      <c r="C31" s="4" t="str">
        <f aca="false">IF('Service Types'!B533="","",'Service Types'!B533)</f>
        <v>OS - Water Services</v>
      </c>
      <c r="D31" s="5" t="n">
        <f aca="false">IF('Service Types'!E533="","",'Service Types'!E533)</f>
        <v>3324</v>
      </c>
      <c r="E31" s="5" t="n">
        <f aca="false">IF('Service Types'!D533="","",'Service Types'!D533)</f>
        <v>14891</v>
      </c>
      <c r="F31" s="5" t="n">
        <f aca="false">IF('Service Types'!F533="","",'Service Types'!F533)</f>
        <v>146</v>
      </c>
      <c r="G31" s="5" t="n">
        <f aca="false">IF('Service Types'!G533="","",'Service Types'!G533)</f>
        <v>0</v>
      </c>
      <c r="H31" s="5" t="n">
        <f aca="false">IF('Service Types'!H533="","",'Service Types'!H533)</f>
        <v>14724</v>
      </c>
      <c r="I31" s="6" t="n">
        <f aca="false">IF('Service Types'!I533="","",'Service Types'!I533)</f>
        <v>11</v>
      </c>
      <c r="J31" s="6" t="n">
        <f aca="false">IF('Service Types'!J533="","",'Service Types'!J533)</f>
        <v>11.8</v>
      </c>
      <c r="K31" s="6" t="n">
        <f aca="false">IF('Service Types'!K533="","",'Service Types'!K533)</f>
        <v>25</v>
      </c>
    </row>
    <row r="32" customFormat="false" ht="15" hidden="false" customHeight="false" outlineLevel="0" collapsed="false">
      <c r="A32" s="16" t="n">
        <v>31</v>
      </c>
      <c r="B32" s="4" t="s">
        <v>81</v>
      </c>
      <c r="C32" s="4" t="str">
        <f aca="false">IF('Service Types'!B43="","",'Service Types'!B43)</f>
        <v>CS - Calgary Fire</v>
      </c>
      <c r="D32" s="5" t="n">
        <f aca="false">IF('Service Types'!E43="","",'Service Types'!E43)</f>
        <v>3276</v>
      </c>
      <c r="E32" s="5" t="n">
        <f aca="false">IF('Service Types'!D43="","",'Service Types'!D43)</f>
        <v>17433</v>
      </c>
      <c r="F32" s="5" t="n">
        <f aca="false">IF('Service Types'!F43="","",'Service Types'!F43)</f>
        <v>214</v>
      </c>
      <c r="G32" s="5" t="n">
        <f aca="false">IF('Service Types'!G43="","",'Service Types'!G43)</f>
        <v>74</v>
      </c>
      <c r="H32" s="5" t="n">
        <f aca="false">IF('Service Types'!H43="","",'Service Types'!H43)</f>
        <v>17218</v>
      </c>
      <c r="I32" s="6" t="n">
        <f aca="false">IF('Service Types'!I43="","",'Service Types'!I43)</f>
        <v>6</v>
      </c>
      <c r="J32" s="6" t="n">
        <f aca="false">IF('Service Types'!J43="","",'Service Types'!J43)</f>
        <v>21</v>
      </c>
      <c r="K32" s="6" t="n">
        <f aca="false">IF('Service Types'!K43="","",'Service Types'!K43)</f>
        <v>43</v>
      </c>
    </row>
    <row r="33" customFormat="false" ht="15" hidden="false" customHeight="false" outlineLevel="0" collapsed="false">
      <c r="A33" s="16" t="n">
        <v>32</v>
      </c>
      <c r="B33" s="4" t="s">
        <v>574</v>
      </c>
      <c r="C33" s="4" t="str">
        <f aca="false">IF('Service Types'!B508="","",'Service Types'!B508)</f>
        <v>OS - Waste and Recycling Services</v>
      </c>
      <c r="D33" s="5" t="n">
        <f aca="false">IF('Service Types'!E508="","",'Service Types'!E508)</f>
        <v>3124</v>
      </c>
      <c r="E33" s="5" t="n">
        <f aca="false">IF('Service Types'!D508="","",'Service Types'!D508)</f>
        <v>12601</v>
      </c>
      <c r="F33" s="5" t="n">
        <f aca="false">IF('Service Types'!F508="","",'Service Types'!F508)</f>
        <v>20</v>
      </c>
      <c r="G33" s="5" t="n">
        <f aca="false">IF('Service Types'!G508="","",'Service Types'!G508)</f>
        <v>0</v>
      </c>
      <c r="H33" s="5" t="n">
        <f aca="false">IF('Service Types'!H508="","",'Service Types'!H508)</f>
        <v>12581</v>
      </c>
      <c r="I33" s="6" t="n">
        <f aca="false">IF('Service Types'!I508="","",'Service Types'!I508)</f>
        <v>1</v>
      </c>
      <c r="J33" s="6" t="n">
        <f aca="false">IF('Service Types'!J508="","",'Service Types'!J508)</f>
        <v>1.4</v>
      </c>
      <c r="K33" s="6" t="n">
        <f aca="false">IF('Service Types'!K508="","",'Service Types'!K508)</f>
        <v>4</v>
      </c>
    </row>
    <row r="34" customFormat="false" ht="15" hidden="false" customHeight="false" outlineLevel="0" collapsed="false">
      <c r="A34" s="16" t="n">
        <v>33</v>
      </c>
      <c r="B34" s="4" t="s">
        <v>440</v>
      </c>
      <c r="C34" s="4" t="str">
        <f aca="false">IF('Service Types'!B377="","",'Service Types'!B377)</f>
        <v>OS - Mobility</v>
      </c>
      <c r="D34" s="5" t="n">
        <f aca="false">IF('Service Types'!E377="","",'Service Types'!E377)</f>
        <v>3089</v>
      </c>
      <c r="E34" s="5" t="n">
        <f aca="false">IF('Service Types'!D377="","",'Service Types'!D377)</f>
        <v>19032</v>
      </c>
      <c r="F34" s="5" t="n">
        <f aca="false">IF('Service Types'!F377="","",'Service Types'!F377)</f>
        <v>4690</v>
      </c>
      <c r="G34" s="5" t="n">
        <f aca="false">IF('Service Types'!G377="","",'Service Types'!G377)</f>
        <v>4680</v>
      </c>
      <c r="H34" s="5" t="n">
        <f aca="false">IF('Service Types'!H377="","",'Service Types'!H377)</f>
        <v>13968</v>
      </c>
      <c r="I34" s="6" t="n">
        <f aca="false">IF('Service Types'!I377="","",'Service Types'!I377)</f>
        <v>4</v>
      </c>
      <c r="J34" s="6" t="n">
        <f aca="false">IF('Service Types'!J377="","",'Service Types'!J377)</f>
        <v>46.7</v>
      </c>
      <c r="K34" s="6" t="n">
        <f aca="false">IF('Service Types'!K377="","",'Service Types'!K377)</f>
        <v>133</v>
      </c>
    </row>
    <row r="35" customFormat="false" ht="15" hidden="false" customHeight="false" outlineLevel="0" collapsed="false">
      <c r="A35" s="16" t="n">
        <v>34</v>
      </c>
      <c r="B35" s="4" t="s">
        <v>405</v>
      </c>
      <c r="C35" s="4" t="str">
        <f aca="false">IF('Service Types'!B345="","",'Service Types'!B345)</f>
        <v>OS - Calgary Transit</v>
      </c>
      <c r="D35" s="5" t="n">
        <f aca="false">IF('Service Types'!E345="","",'Service Types'!E345)</f>
        <v>3042</v>
      </c>
      <c r="E35" s="5" t="n">
        <f aca="false">IF('Service Types'!D345="","",'Service Types'!D345)</f>
        <v>14434</v>
      </c>
      <c r="F35" s="5" t="n">
        <f aca="false">IF('Service Types'!F345="","",'Service Types'!F345)</f>
        <v>523</v>
      </c>
      <c r="G35" s="5" t="n">
        <f aca="false">IF('Service Types'!G345="","",'Service Types'!G345)</f>
        <v>69</v>
      </c>
      <c r="H35" s="5" t="n">
        <f aca="false">IF('Service Types'!H345="","",'Service Types'!H345)</f>
        <v>13911</v>
      </c>
      <c r="I35" s="6" t="n">
        <f aca="false">IF('Service Types'!I345="","",'Service Types'!I345)</f>
        <v>11</v>
      </c>
      <c r="J35" s="6" t="n">
        <f aca="false">IF('Service Types'!J345="","",'Service Types'!J345)</f>
        <v>18.8</v>
      </c>
      <c r="K35" s="6" t="n">
        <f aca="false">IF('Service Types'!K345="","",'Service Types'!K345)</f>
        <v>44</v>
      </c>
    </row>
    <row r="36" customFormat="false" ht="15" hidden="false" customHeight="false" outlineLevel="0" collapsed="false">
      <c r="A36" s="16" t="n">
        <v>35</v>
      </c>
      <c r="B36" s="4" t="s">
        <v>406</v>
      </c>
      <c r="C36" s="4" t="str">
        <f aca="false">IF('Service Types'!B346="","",'Service Types'!B346)</f>
        <v>OS - Calgary Transit</v>
      </c>
      <c r="D36" s="5" t="n">
        <f aca="false">IF('Service Types'!E346="","",'Service Types'!E346)</f>
        <v>3040</v>
      </c>
      <c r="E36" s="5" t="n">
        <f aca="false">IF('Service Types'!D346="","",'Service Types'!D346)</f>
        <v>13452</v>
      </c>
      <c r="F36" s="5" t="n">
        <f aca="false">IF('Service Types'!F346="","",'Service Types'!F346)</f>
        <v>442</v>
      </c>
      <c r="G36" s="5" t="n">
        <f aca="false">IF('Service Types'!G346="","",'Service Types'!G346)</f>
        <v>84</v>
      </c>
      <c r="H36" s="5" t="n">
        <f aca="false">IF('Service Types'!H346="","",'Service Types'!H346)</f>
        <v>13010</v>
      </c>
      <c r="I36" s="6" t="n">
        <f aca="false">IF('Service Types'!I346="","",'Service Types'!I346)</f>
        <v>25</v>
      </c>
      <c r="J36" s="6" t="n">
        <f aca="false">IF('Service Types'!J346="","",'Service Types'!J346)</f>
        <v>38.7</v>
      </c>
      <c r="K36" s="6" t="n">
        <f aca="false">IF('Service Types'!K346="","",'Service Types'!K346)</f>
        <v>90</v>
      </c>
    </row>
    <row r="37" customFormat="false" ht="15" hidden="false" customHeight="false" outlineLevel="0" collapsed="false">
      <c r="A37" s="16" t="n">
        <v>36</v>
      </c>
      <c r="B37" s="4" t="s">
        <v>174</v>
      </c>
      <c r="C37" s="4" t="str">
        <f aca="false">IF('Service Types'!B131="","",'Service Types'!B131)</f>
        <v>CS - Emergency Management and Community Safety</v>
      </c>
      <c r="D37" s="5" t="n">
        <f aca="false">IF('Service Types'!E131="","",'Service Types'!E131)</f>
        <v>2911</v>
      </c>
      <c r="E37" s="5" t="n">
        <f aca="false">IF('Service Types'!D131="","",'Service Types'!D131)</f>
        <v>12115</v>
      </c>
      <c r="F37" s="5" t="n">
        <f aca="false">IF('Service Types'!F131="","",'Service Types'!F131)</f>
        <v>445</v>
      </c>
      <c r="G37" s="5" t="n">
        <f aca="false">IF('Service Types'!G131="","",'Service Types'!G131)</f>
        <v>162</v>
      </c>
      <c r="H37" s="5" t="n">
        <f aca="false">IF('Service Types'!H131="","",'Service Types'!H131)</f>
        <v>11622</v>
      </c>
      <c r="I37" s="6" t="n">
        <f aca="false">IF('Service Types'!I131="","",'Service Types'!I131)</f>
        <v>16</v>
      </c>
      <c r="J37" s="6" t="n">
        <f aca="false">IF('Service Types'!J131="","",'Service Types'!J131)</f>
        <v>27.4</v>
      </c>
      <c r="K37" s="6" t="n">
        <f aca="false">IF('Service Types'!K131="","",'Service Types'!K131)</f>
        <v>67</v>
      </c>
    </row>
    <row r="38" customFormat="false" ht="15" hidden="false" customHeight="false" outlineLevel="0" collapsed="false">
      <c r="A38" s="16" t="n">
        <v>37</v>
      </c>
      <c r="B38" s="4" t="s">
        <v>176</v>
      </c>
      <c r="C38" s="4" t="str">
        <f aca="false">IF('Service Types'!B133="","",'Service Types'!B133)</f>
        <v>CS - Emergency Management and Community Safety</v>
      </c>
      <c r="D38" s="5" t="n">
        <f aca="false">IF('Service Types'!E133="","",'Service Types'!E133)</f>
        <v>2875</v>
      </c>
      <c r="E38" s="5" t="n">
        <f aca="false">IF('Service Types'!D133="","",'Service Types'!D133)</f>
        <v>10657</v>
      </c>
      <c r="F38" s="5" t="n">
        <f aca="false">IF('Service Types'!F133="","",'Service Types'!F133)</f>
        <v>173</v>
      </c>
      <c r="G38" s="5" t="n">
        <f aca="false">IF('Service Types'!G133="","",'Service Types'!G133)</f>
        <v>71</v>
      </c>
      <c r="H38" s="5" t="n">
        <f aca="false">IF('Service Types'!H133="","",'Service Types'!H133)</f>
        <v>10484</v>
      </c>
      <c r="I38" s="6" t="n">
        <f aca="false">IF('Service Types'!I133="","",'Service Types'!I133)</f>
        <v>5</v>
      </c>
      <c r="J38" s="6" t="n">
        <f aca="false">IF('Service Types'!J133="","",'Service Types'!J133)</f>
        <v>11.1</v>
      </c>
      <c r="K38" s="6" t="n">
        <f aca="false">IF('Service Types'!K133="","",'Service Types'!K133)</f>
        <v>25</v>
      </c>
    </row>
    <row r="39" customFormat="false" ht="15" hidden="false" customHeight="false" outlineLevel="0" collapsed="false">
      <c r="A39" s="16" t="n">
        <v>38</v>
      </c>
      <c r="B39" s="4" t="s">
        <v>443</v>
      </c>
      <c r="C39" s="4" t="str">
        <f aca="false">IF('Service Types'!B380="","",'Service Types'!B380)</f>
        <v>OS - Mobility</v>
      </c>
      <c r="D39" s="5" t="n">
        <f aca="false">IF('Service Types'!E380="","",'Service Types'!E380)</f>
        <v>2844</v>
      </c>
      <c r="E39" s="5" t="n">
        <f aca="false">IF('Service Types'!D380="","",'Service Types'!D380)</f>
        <v>12093</v>
      </c>
      <c r="F39" s="5" t="n">
        <f aca="false">IF('Service Types'!F380="","",'Service Types'!F380)</f>
        <v>1636</v>
      </c>
      <c r="G39" s="5" t="n">
        <f aca="false">IF('Service Types'!G380="","",'Service Types'!G380)</f>
        <v>1065</v>
      </c>
      <c r="H39" s="5" t="n">
        <f aca="false">IF('Service Types'!H380="","",'Service Types'!H380)</f>
        <v>10456</v>
      </c>
      <c r="I39" s="6" t="n">
        <f aca="false">IF('Service Types'!I380="","",'Service Types'!I380)</f>
        <v>4</v>
      </c>
      <c r="J39" s="6" t="n">
        <f aca="false">IF('Service Types'!J380="","",'Service Types'!J380)</f>
        <v>170.3</v>
      </c>
      <c r="K39" s="6" t="n">
        <f aca="false">IF('Service Types'!K380="","",'Service Types'!K380)</f>
        <v>679</v>
      </c>
    </row>
    <row r="40" customFormat="false" ht="15" hidden="false" customHeight="false" outlineLevel="0" collapsed="false">
      <c r="A40" s="16" t="n">
        <v>39</v>
      </c>
      <c r="B40" s="4" t="s">
        <v>437</v>
      </c>
      <c r="C40" s="4" t="str">
        <f aca="false">IF('Service Types'!B374="","",'Service Types'!B374)</f>
        <v>OS - Mobility</v>
      </c>
      <c r="D40" s="5" t="n">
        <f aca="false">IF('Service Types'!E374="","",'Service Types'!E374)</f>
        <v>2743</v>
      </c>
      <c r="E40" s="5" t="n">
        <f aca="false">IF('Service Types'!D374="","",'Service Types'!D374)</f>
        <v>22223</v>
      </c>
      <c r="F40" s="5" t="n">
        <f aca="false">IF('Service Types'!F374="","",'Service Types'!F374)</f>
        <v>11</v>
      </c>
      <c r="G40" s="5" t="n">
        <f aca="false">IF('Service Types'!G374="","",'Service Types'!G374)</f>
        <v>2</v>
      </c>
      <c r="H40" s="5" t="n">
        <f aca="false">IF('Service Types'!H374="","",'Service Types'!H374)</f>
        <v>21717</v>
      </c>
      <c r="I40" s="6" t="n">
        <f aca="false">IF('Service Types'!I374="","",'Service Types'!I374)</f>
        <v>0</v>
      </c>
      <c r="J40" s="6" t="n">
        <f aca="false">IF('Service Types'!J374="","",'Service Types'!J374)</f>
        <v>4.2</v>
      </c>
      <c r="K40" s="6" t="n">
        <f aca="false">IF('Service Types'!K374="","",'Service Types'!K374)</f>
        <v>1</v>
      </c>
    </row>
    <row r="41" customFormat="false" ht="15" hidden="false" customHeight="false" outlineLevel="0" collapsed="false">
      <c r="A41" s="16" t="n">
        <v>40</v>
      </c>
      <c r="B41" s="4" t="s">
        <v>575</v>
      </c>
      <c r="C41" s="4" t="str">
        <f aca="false">IF('Service Types'!B509="","",'Service Types'!B509)</f>
        <v>OS - Waste and Recycling Services</v>
      </c>
      <c r="D41" s="5" t="n">
        <f aca="false">IF('Service Types'!E509="","",'Service Types'!E509)</f>
        <v>2638</v>
      </c>
      <c r="E41" s="5" t="n">
        <f aca="false">IF('Service Types'!D509="","",'Service Types'!D509)</f>
        <v>10037</v>
      </c>
      <c r="F41" s="5" t="n">
        <f aca="false">IF('Service Types'!F509="","",'Service Types'!F509)</f>
        <v>28</v>
      </c>
      <c r="G41" s="5" t="n">
        <f aca="false">IF('Service Types'!G509="","",'Service Types'!G509)</f>
        <v>0</v>
      </c>
      <c r="H41" s="5" t="n">
        <f aca="false">IF('Service Types'!H509="","",'Service Types'!H509)</f>
        <v>10009</v>
      </c>
      <c r="I41" s="6" t="n">
        <f aca="false">IF('Service Types'!I509="","",'Service Types'!I509)</f>
        <v>3</v>
      </c>
      <c r="J41" s="6" t="n">
        <f aca="false">IF('Service Types'!J509="","",'Service Types'!J509)</f>
        <v>5.2</v>
      </c>
      <c r="K41" s="6" t="n">
        <f aca="false">IF('Service Types'!K509="","",'Service Types'!K509)</f>
        <v>12</v>
      </c>
    </row>
    <row r="42" customFormat="false" ht="15" hidden="false" customHeight="false" outlineLevel="0" collapsed="false">
      <c r="A42" s="16" t="n">
        <v>41</v>
      </c>
      <c r="B42" s="4" t="s">
        <v>446</v>
      </c>
      <c r="C42" s="4" t="str">
        <f aca="false">IF('Service Types'!B383="","",'Service Types'!B383)</f>
        <v>OS - Mobility</v>
      </c>
      <c r="D42" s="5" t="n">
        <f aca="false">IF('Service Types'!E383="","",'Service Types'!E383)</f>
        <v>2616</v>
      </c>
      <c r="E42" s="5" t="n">
        <f aca="false">IF('Service Types'!D383="","",'Service Types'!D383)</f>
        <v>9325</v>
      </c>
      <c r="F42" s="5" t="n">
        <f aca="false">IF('Service Types'!F383="","",'Service Types'!F383)</f>
        <v>120</v>
      </c>
      <c r="G42" s="5" t="n">
        <f aca="false">IF('Service Types'!G383="","",'Service Types'!G383)</f>
        <v>5</v>
      </c>
      <c r="H42" s="5" t="n">
        <f aca="false">IF('Service Types'!H383="","",'Service Types'!H383)</f>
        <v>9205</v>
      </c>
      <c r="I42" s="6" t="n">
        <f aca="false">IF('Service Types'!I383="","",'Service Types'!I383)</f>
        <v>4</v>
      </c>
      <c r="J42" s="6" t="n">
        <f aca="false">IF('Service Types'!J383="","",'Service Types'!J383)</f>
        <v>11</v>
      </c>
      <c r="K42" s="6" t="n">
        <f aca="false">IF('Service Types'!K383="","",'Service Types'!K383)</f>
        <v>25</v>
      </c>
    </row>
    <row r="43" customFormat="false" ht="15" hidden="false" customHeight="false" outlineLevel="0" collapsed="false">
      <c r="A43" s="16" t="n">
        <v>42</v>
      </c>
      <c r="B43" s="4" t="s">
        <v>403</v>
      </c>
      <c r="C43" s="4" t="str">
        <f aca="false">IF('Service Types'!B344="","",'Service Types'!B344)</f>
        <v>OS - Calgary Transit</v>
      </c>
      <c r="D43" s="5" t="n">
        <f aca="false">IF('Service Types'!E344="","",'Service Types'!E344)</f>
        <v>2600</v>
      </c>
      <c r="E43" s="5" t="n">
        <f aca="false">IF('Service Types'!D344="","",'Service Types'!D344)</f>
        <v>18016</v>
      </c>
      <c r="F43" s="5" t="n">
        <f aca="false">IF('Service Types'!F344="","",'Service Types'!F344)</f>
        <v>155</v>
      </c>
      <c r="G43" s="5" t="n">
        <f aca="false">IF('Service Types'!G344="","",'Service Types'!G344)</f>
        <v>2</v>
      </c>
      <c r="H43" s="5" t="n">
        <f aca="false">IF('Service Types'!H344="","",'Service Types'!H344)</f>
        <v>17861</v>
      </c>
      <c r="I43" s="6" t="n">
        <f aca="false">IF('Service Types'!I344="","",'Service Types'!I344)</f>
        <v>9</v>
      </c>
      <c r="J43" s="6" t="n">
        <f aca="false">IF('Service Types'!J344="","",'Service Types'!J344)</f>
        <v>7.8</v>
      </c>
      <c r="K43" s="6" t="n">
        <f aca="false">IF('Service Types'!K344="","",'Service Types'!K344)</f>
        <v>11</v>
      </c>
    </row>
    <row r="44" customFormat="false" ht="15" hidden="false" customHeight="false" outlineLevel="0" collapsed="false">
      <c r="A44" s="16" t="n">
        <v>43</v>
      </c>
      <c r="B44" s="4" t="s">
        <v>46</v>
      </c>
      <c r="C44" s="4" t="str">
        <f aca="false">IF('Service Types'!B15="","",'Service Types'!B15)</f>
        <v>CPFS - Assessment and Tax</v>
      </c>
      <c r="D44" s="5" t="n">
        <f aca="false">IF('Service Types'!E15="","",'Service Types'!E15)</f>
        <v>2600</v>
      </c>
      <c r="E44" s="5" t="n">
        <f aca="false">IF('Service Types'!D15="","",'Service Types'!D15)</f>
        <v>2600</v>
      </c>
      <c r="F44" s="5" t="n">
        <f aca="false">IF('Service Types'!F15="","",'Service Types'!F15)</f>
        <v>66</v>
      </c>
      <c r="G44" s="5" t="n">
        <f aca="false">IF('Service Types'!G15="","",'Service Types'!G15)</f>
        <v>5</v>
      </c>
      <c r="H44" s="5" t="n">
        <f aca="false">IF('Service Types'!H15="","",'Service Types'!H15)</f>
        <v>2534</v>
      </c>
      <c r="I44" s="6" t="n">
        <f aca="false">IF('Service Types'!I15="","",'Service Types'!I15)</f>
        <v>3</v>
      </c>
      <c r="J44" s="6" t="n">
        <f aca="false">IF('Service Types'!J15="","",'Service Types'!J15)</f>
        <v>4.3</v>
      </c>
      <c r="K44" s="6" t="n">
        <f aca="false">IF('Service Types'!K15="","",'Service Types'!K15)</f>
        <v>8</v>
      </c>
    </row>
    <row r="45" customFormat="false" ht="15" hidden="false" customHeight="false" outlineLevel="0" collapsed="false">
      <c r="A45" s="16" t="n">
        <v>44</v>
      </c>
      <c r="B45" s="4" t="s">
        <v>444</v>
      </c>
      <c r="C45" s="4" t="str">
        <f aca="false">IF('Service Types'!B381="","",'Service Types'!B381)</f>
        <v>OS - Mobility</v>
      </c>
      <c r="D45" s="5" t="n">
        <f aca="false">IF('Service Types'!E381="","",'Service Types'!E381)</f>
        <v>2495</v>
      </c>
      <c r="E45" s="5" t="n">
        <f aca="false">IF('Service Types'!D381="","",'Service Types'!D381)</f>
        <v>11999</v>
      </c>
      <c r="F45" s="5" t="n">
        <f aca="false">IF('Service Types'!F381="","",'Service Types'!F381)</f>
        <v>1048</v>
      </c>
      <c r="G45" s="5" t="n">
        <f aca="false">IF('Service Types'!G381="","",'Service Types'!G381)</f>
        <v>762</v>
      </c>
      <c r="H45" s="5" t="n">
        <f aca="false">IF('Service Types'!H381="","",'Service Types'!H381)</f>
        <v>10951</v>
      </c>
      <c r="I45" s="6" t="n">
        <f aca="false">IF('Service Types'!I381="","",'Service Types'!I381)</f>
        <v>4</v>
      </c>
      <c r="J45" s="6" t="n">
        <f aca="false">IF('Service Types'!J381="","",'Service Types'!J381)</f>
        <v>78.3</v>
      </c>
      <c r="K45" s="6" t="n">
        <f aca="false">IF('Service Types'!K381="","",'Service Types'!K381)</f>
        <v>257</v>
      </c>
    </row>
    <row r="46" customFormat="false" ht="15" hidden="false" customHeight="false" outlineLevel="0" collapsed="false">
      <c r="A46" s="16" t="n">
        <v>45</v>
      </c>
      <c r="B46" s="4" t="s">
        <v>445</v>
      </c>
      <c r="C46" s="4" t="str">
        <f aca="false">IF('Service Types'!B382="","",'Service Types'!B382)</f>
        <v>OS - Mobility</v>
      </c>
      <c r="D46" s="5" t="n">
        <f aca="false">IF('Service Types'!E382="","",'Service Types'!E382)</f>
        <v>2472</v>
      </c>
      <c r="E46" s="5" t="n">
        <f aca="false">IF('Service Types'!D382="","",'Service Types'!D382)</f>
        <v>11775</v>
      </c>
      <c r="F46" s="5" t="n">
        <f aca="false">IF('Service Types'!F382="","",'Service Types'!F382)</f>
        <v>109</v>
      </c>
      <c r="G46" s="5" t="n">
        <f aca="false">IF('Service Types'!G382="","",'Service Types'!G382)</f>
        <v>91</v>
      </c>
      <c r="H46" s="5" t="n">
        <f aca="false">IF('Service Types'!H382="","",'Service Types'!H382)</f>
        <v>11666</v>
      </c>
      <c r="I46" s="6" t="n">
        <f aca="false">IF('Service Types'!I382="","",'Service Types'!I382)</f>
        <v>1</v>
      </c>
      <c r="J46" s="6" t="n">
        <f aca="false">IF('Service Types'!J382="","",'Service Types'!J382)</f>
        <v>13.7</v>
      </c>
      <c r="K46" s="6" t="n">
        <f aca="false">IF('Service Types'!K382="","",'Service Types'!K382)</f>
        <v>9</v>
      </c>
    </row>
    <row r="47" customFormat="false" ht="15" hidden="false" customHeight="false" outlineLevel="0" collapsed="false">
      <c r="A47" s="16" t="n">
        <v>46</v>
      </c>
      <c r="B47" s="4" t="s">
        <v>175</v>
      </c>
      <c r="C47" s="4" t="str">
        <f aca="false">IF('Service Types'!B132="","",'Service Types'!B132)</f>
        <v>CS - Emergency Management and Community Safety</v>
      </c>
      <c r="D47" s="5" t="n">
        <f aca="false">IF('Service Types'!E132="","",'Service Types'!E132)</f>
        <v>2402</v>
      </c>
      <c r="E47" s="5" t="n">
        <f aca="false">IF('Service Types'!D132="","",'Service Types'!D132)</f>
        <v>11477</v>
      </c>
      <c r="F47" s="5" t="n">
        <f aca="false">IF('Service Types'!F132="","",'Service Types'!F132)</f>
        <v>93</v>
      </c>
      <c r="G47" s="5" t="n">
        <f aca="false">IF('Service Types'!G132="","",'Service Types'!G132)</f>
        <v>55</v>
      </c>
      <c r="H47" s="5" t="n">
        <f aca="false">IF('Service Types'!H132="","",'Service Types'!H132)</f>
        <v>11380</v>
      </c>
      <c r="I47" s="6" t="n">
        <f aca="false">IF('Service Types'!I132="","",'Service Types'!I132)</f>
        <v>0</v>
      </c>
      <c r="J47" s="6" t="n">
        <f aca="false">IF('Service Types'!J132="","",'Service Types'!J132)</f>
        <v>5.8</v>
      </c>
      <c r="K47" s="6" t="n">
        <f aca="false">IF('Service Types'!K132="","",'Service Types'!K132)</f>
        <v>12</v>
      </c>
    </row>
    <row r="48" customFormat="false" ht="15" hidden="false" customHeight="false" outlineLevel="0" collapsed="false">
      <c r="A48" s="16" t="n">
        <v>47</v>
      </c>
      <c r="B48" s="4" t="s">
        <v>602</v>
      </c>
      <c r="C48" s="4" t="str">
        <f aca="false">IF('Service Types'!B534="","",'Service Types'!B534)</f>
        <v>OS - Water Services</v>
      </c>
      <c r="D48" s="5" t="n">
        <f aca="false">IF('Service Types'!E534="","",'Service Types'!E534)</f>
        <v>2387</v>
      </c>
      <c r="E48" s="5" t="n">
        <f aca="false">IF('Service Types'!D534="","",'Service Types'!D534)</f>
        <v>13039</v>
      </c>
      <c r="F48" s="5" t="n">
        <f aca="false">IF('Service Types'!F534="","",'Service Types'!F534)</f>
        <v>25</v>
      </c>
      <c r="G48" s="5" t="n">
        <f aca="false">IF('Service Types'!G534="","",'Service Types'!G534)</f>
        <v>7</v>
      </c>
      <c r="H48" s="5" t="n">
        <f aca="false">IF('Service Types'!H534="","",'Service Types'!H534)</f>
        <v>12869</v>
      </c>
      <c r="I48" s="6" t="n">
        <f aca="false">IF('Service Types'!I534="","",'Service Types'!I534)</f>
        <v>3</v>
      </c>
      <c r="J48" s="6" t="n">
        <f aca="false">IF('Service Types'!J534="","",'Service Types'!J534)</f>
        <v>6.7</v>
      </c>
      <c r="K48" s="6" t="n">
        <f aca="false">IF('Service Types'!K534="","",'Service Types'!K534)</f>
        <v>14</v>
      </c>
    </row>
    <row r="49" customFormat="false" ht="15" hidden="false" customHeight="false" outlineLevel="0" collapsed="false">
      <c r="A49" s="16" t="n">
        <v>48</v>
      </c>
      <c r="B49" s="4" t="s">
        <v>730</v>
      </c>
      <c r="C49" s="4" t="str">
        <f aca="false">IF('Service Types'!B652="","",'Service Types'!B652)</f>
        <v>PDS - Development, Business and Building Services</v>
      </c>
      <c r="D49" s="5" t="n">
        <f aca="false">IF('Service Types'!E652="","",'Service Types'!E652)</f>
        <v>2365</v>
      </c>
      <c r="E49" s="5" t="n">
        <f aca="false">IF('Service Types'!D652="","",'Service Types'!D652)</f>
        <v>2394</v>
      </c>
      <c r="F49" s="5" t="n">
        <f aca="false">IF('Service Types'!F652="","",'Service Types'!F652)</f>
        <v>781</v>
      </c>
      <c r="G49" s="5" t="n">
        <f aca="false">IF('Service Types'!G652="","",'Service Types'!G652)</f>
        <v>94</v>
      </c>
      <c r="H49" s="5" t="n">
        <f aca="false">IF('Service Types'!H652="","",'Service Types'!H652)</f>
        <v>1613</v>
      </c>
      <c r="I49" s="6" t="n">
        <f aca="false">IF('Service Types'!I652="","",'Service Types'!I652)</f>
        <v>40</v>
      </c>
      <c r="J49" s="6" t="n">
        <f aca="false">IF('Service Types'!J652="","",'Service Types'!J652)</f>
        <v>41.7</v>
      </c>
      <c r="K49" s="6" t="n">
        <f aca="false">IF('Service Types'!K652="","",'Service Types'!K652)</f>
        <v>57</v>
      </c>
    </row>
    <row r="50" customFormat="false" ht="15" hidden="false" customHeight="false" outlineLevel="0" collapsed="false">
      <c r="A50" s="16" t="n">
        <v>49</v>
      </c>
      <c r="B50" s="4" t="s">
        <v>604</v>
      </c>
      <c r="C50" s="4" t="str">
        <f aca="false">IF('Service Types'!B536="","",'Service Types'!B536)</f>
        <v>OS - Water Services</v>
      </c>
      <c r="D50" s="5" t="n">
        <f aca="false">IF('Service Types'!E536="","",'Service Types'!E536)</f>
        <v>2342</v>
      </c>
      <c r="E50" s="5" t="n">
        <f aca="false">IF('Service Types'!D536="","",'Service Types'!D536)</f>
        <v>8915</v>
      </c>
      <c r="F50" s="5" t="n">
        <f aca="false">IF('Service Types'!F536="","",'Service Types'!F536)</f>
        <v>124</v>
      </c>
      <c r="G50" s="5" t="n">
        <f aca="false">IF('Service Types'!G536="","",'Service Types'!G536)</f>
        <v>1</v>
      </c>
      <c r="H50" s="5" t="n">
        <f aca="false">IF('Service Types'!H536="","",'Service Types'!H536)</f>
        <v>8788</v>
      </c>
      <c r="I50" s="6" t="n">
        <f aca="false">IF('Service Types'!I536="","",'Service Types'!I536)</f>
        <v>13</v>
      </c>
      <c r="J50" s="6" t="n">
        <f aca="false">IF('Service Types'!J536="","",'Service Types'!J536)</f>
        <v>33.1</v>
      </c>
      <c r="K50" s="6" t="n">
        <f aca="false">IF('Service Types'!K536="","",'Service Types'!K536)</f>
        <v>55</v>
      </c>
    </row>
    <row r="51" customFormat="false" ht="15" hidden="false" customHeight="false" outlineLevel="0" collapsed="false">
      <c r="A51" s="16" t="n">
        <v>50</v>
      </c>
      <c r="B51" s="4" t="s">
        <v>512</v>
      </c>
      <c r="C51" s="4" t="str">
        <f aca="false">IF('Service Types'!B447="","",'Service Types'!B447)</f>
        <v>OS - Parks and Open Spaces</v>
      </c>
      <c r="D51" s="5" t="n">
        <f aca="false">IF('Service Types'!E447="","",'Service Types'!E447)</f>
        <v>2284</v>
      </c>
      <c r="E51" s="5" t="n">
        <f aca="false">IF('Service Types'!D447="","",'Service Types'!D447)</f>
        <v>7166</v>
      </c>
      <c r="F51" s="5" t="n">
        <f aca="false">IF('Service Types'!F447="","",'Service Types'!F447)</f>
        <v>87</v>
      </c>
      <c r="G51" s="5" t="n">
        <f aca="false">IF('Service Types'!G447="","",'Service Types'!G447)</f>
        <v>39</v>
      </c>
      <c r="H51" s="5" t="n">
        <f aca="false">IF('Service Types'!H447="","",'Service Types'!H447)</f>
        <v>7079</v>
      </c>
      <c r="I51" s="6" t="n">
        <f aca="false">IF('Service Types'!I447="","",'Service Types'!I447)</f>
        <v>3</v>
      </c>
      <c r="J51" s="6" t="n">
        <f aca="false">IF('Service Types'!J447="","",'Service Types'!J447)</f>
        <v>5</v>
      </c>
      <c r="K51" s="6" t="n">
        <f aca="false">IF('Service Types'!K447="","",'Service Types'!K447)</f>
        <v>10</v>
      </c>
    </row>
    <row r="52" customFormat="false" ht="15" hidden="false" customHeight="false" outlineLevel="0" collapsed="false">
      <c r="A52" s="16" t="n">
        <v>51</v>
      </c>
      <c r="B52" s="4" t="s">
        <v>173</v>
      </c>
      <c r="C52" s="4" t="str">
        <f aca="false">IF('Service Types'!B130="","",'Service Types'!B130)</f>
        <v>CS - Emergency Management and Community Safety</v>
      </c>
      <c r="D52" s="5" t="n">
        <f aca="false">IF('Service Types'!E130="","",'Service Types'!E130)</f>
        <v>2121</v>
      </c>
      <c r="E52" s="5" t="n">
        <f aca="false">IF('Service Types'!D130="","",'Service Types'!D130)</f>
        <v>12305</v>
      </c>
      <c r="F52" s="5" t="n">
        <f aca="false">IF('Service Types'!F130="","",'Service Types'!F130)</f>
        <v>32</v>
      </c>
      <c r="G52" s="5" t="n">
        <f aca="false">IF('Service Types'!G130="","",'Service Types'!G130)</f>
        <v>22</v>
      </c>
      <c r="H52" s="5" t="n">
        <f aca="false">IF('Service Types'!H130="","",'Service Types'!H130)</f>
        <v>12273</v>
      </c>
      <c r="I52" s="6" t="n">
        <f aca="false">IF('Service Types'!I130="","",'Service Types'!I130)</f>
        <v>0</v>
      </c>
      <c r="J52" s="6" t="n">
        <f aca="false">IF('Service Types'!J130="","",'Service Types'!J130)</f>
        <v>3.6</v>
      </c>
      <c r="K52" s="6" t="n">
        <f aca="false">IF('Service Types'!K130="","",'Service Types'!K130)</f>
        <v>1</v>
      </c>
    </row>
    <row r="53" customFormat="false" ht="15" hidden="false" customHeight="false" outlineLevel="0" collapsed="false">
      <c r="A53" s="16" t="n">
        <v>52</v>
      </c>
      <c r="B53" s="4" t="s">
        <v>448</v>
      </c>
      <c r="C53" s="4" t="str">
        <f aca="false">IF('Service Types'!B385="","",'Service Types'!B385)</f>
        <v>OS - Mobility</v>
      </c>
      <c r="D53" s="5" t="n">
        <f aca="false">IF('Service Types'!E385="","",'Service Types'!E385)</f>
        <v>2109</v>
      </c>
      <c r="E53" s="5" t="n">
        <f aca="false">IF('Service Types'!D385="","",'Service Types'!D385)</f>
        <v>6103</v>
      </c>
      <c r="F53" s="5" t="n">
        <f aca="false">IF('Service Types'!F385="","",'Service Types'!F385)</f>
        <v>20</v>
      </c>
      <c r="G53" s="5" t="n">
        <f aca="false">IF('Service Types'!G385="","",'Service Types'!G385)</f>
        <v>1</v>
      </c>
      <c r="H53" s="5" t="n">
        <f aca="false">IF('Service Types'!H385="","",'Service Types'!H385)</f>
        <v>6083</v>
      </c>
      <c r="I53" s="6" t="n">
        <f aca="false">IF('Service Types'!I385="","",'Service Types'!I385)</f>
        <v>1</v>
      </c>
      <c r="J53" s="6" t="n">
        <f aca="false">IF('Service Types'!J385="","",'Service Types'!J385)</f>
        <v>6.5</v>
      </c>
      <c r="K53" s="6" t="n">
        <f aca="false">IF('Service Types'!K385="","",'Service Types'!K385)</f>
        <v>9</v>
      </c>
    </row>
    <row r="54" customFormat="false" ht="15" hidden="false" customHeight="false" outlineLevel="0" collapsed="false">
      <c r="A54" s="16" t="n">
        <v>53</v>
      </c>
      <c r="B54" s="4" t="s">
        <v>707</v>
      </c>
      <c r="C54" s="4" t="str">
        <f aca="false">IF('Service Types'!B630="","",'Service Types'!B630)</f>
        <v>PDS - Development, Business and Building Services</v>
      </c>
      <c r="D54" s="5" t="n">
        <f aca="false">IF('Service Types'!E630="","",'Service Types'!E630)</f>
        <v>2104</v>
      </c>
      <c r="E54" s="5" t="n">
        <f aca="false">IF('Service Types'!D630="","",'Service Types'!D630)</f>
        <v>16747</v>
      </c>
      <c r="F54" s="5" t="n">
        <f aca="false">IF('Service Types'!F630="","",'Service Types'!F630)</f>
        <v>15</v>
      </c>
      <c r="G54" s="5" t="n">
        <f aca="false">IF('Service Types'!G630="","",'Service Types'!G630)</f>
        <v>15</v>
      </c>
      <c r="H54" s="5" t="n">
        <f aca="false">IF('Service Types'!H630="","",'Service Types'!H630)</f>
        <v>16732</v>
      </c>
      <c r="I54" s="6" t="n">
        <f aca="false">IF('Service Types'!I630="","",'Service Types'!I630)</f>
        <v>40</v>
      </c>
      <c r="J54" s="6" t="n">
        <f aca="false">IF('Service Types'!J630="","",'Service Types'!J630)</f>
        <v>53.7</v>
      </c>
      <c r="K54" s="6" t="n">
        <f aca="false">IF('Service Types'!K630="","",'Service Types'!K630)</f>
        <v>74</v>
      </c>
    </row>
    <row r="55" customFormat="false" ht="15" hidden="false" customHeight="false" outlineLevel="0" collapsed="false">
      <c r="A55" s="16" t="n">
        <v>54</v>
      </c>
      <c r="B55" s="4" t="s">
        <v>603</v>
      </c>
      <c r="C55" s="4" t="str">
        <f aca="false">IF('Service Types'!B535="","",'Service Types'!B535)</f>
        <v>OS - Water Services</v>
      </c>
      <c r="D55" s="5" t="n">
        <f aca="false">IF('Service Types'!E535="","",'Service Types'!E535)</f>
        <v>2103</v>
      </c>
      <c r="E55" s="5" t="n">
        <f aca="false">IF('Service Types'!D535="","",'Service Types'!D535)</f>
        <v>9672</v>
      </c>
      <c r="F55" s="5" t="n">
        <f aca="false">IF('Service Types'!F535="","",'Service Types'!F535)</f>
        <v>398</v>
      </c>
      <c r="G55" s="5" t="n">
        <f aca="false">IF('Service Types'!G535="","",'Service Types'!G535)</f>
        <v>187</v>
      </c>
      <c r="H55" s="5" t="n">
        <f aca="false">IF('Service Types'!H535="","",'Service Types'!H535)</f>
        <v>9274</v>
      </c>
      <c r="I55" s="6" t="n">
        <f aca="false">IF('Service Types'!I535="","",'Service Types'!I535)</f>
        <v>87</v>
      </c>
      <c r="J55" s="6" t="n">
        <f aca="false">IF('Service Types'!J535="","",'Service Types'!J535)</f>
        <v>103.9</v>
      </c>
      <c r="K55" s="6" t="n">
        <f aca="false">IF('Service Types'!K535="","",'Service Types'!K535)</f>
        <v>224</v>
      </c>
    </row>
    <row r="56" customFormat="false" ht="15" hidden="false" customHeight="false" outlineLevel="0" collapsed="false">
      <c r="A56" s="16" t="n">
        <v>55</v>
      </c>
      <c r="B56" s="4" t="s">
        <v>509</v>
      </c>
      <c r="C56" s="4" t="str">
        <f aca="false">IF('Service Types'!B444="","",'Service Types'!B444)</f>
        <v>OS - Parks and Open Spaces</v>
      </c>
      <c r="D56" s="5" t="n">
        <f aca="false">IF('Service Types'!E444="","",'Service Types'!E444)</f>
        <v>2081</v>
      </c>
      <c r="E56" s="5" t="n">
        <f aca="false">IF('Service Types'!D444="","",'Service Types'!D444)</f>
        <v>11358</v>
      </c>
      <c r="F56" s="5" t="n">
        <f aca="false">IF('Service Types'!F444="","",'Service Types'!F444)</f>
        <v>21</v>
      </c>
      <c r="G56" s="5" t="n">
        <f aca="false">IF('Service Types'!G444="","",'Service Types'!G444)</f>
        <v>21</v>
      </c>
      <c r="H56" s="5" t="n">
        <f aca="false">IF('Service Types'!H444="","",'Service Types'!H444)</f>
        <v>11337</v>
      </c>
      <c r="I56" s="6" t="n">
        <f aca="false">IF('Service Types'!I444="","",'Service Types'!I444)</f>
        <v>0</v>
      </c>
      <c r="J56" s="6" t="n">
        <f aca="false">IF('Service Types'!J444="","",'Service Types'!J444)</f>
        <v>0</v>
      </c>
      <c r="K56" s="6" t="n">
        <f aca="false">IF('Service Types'!K444="","",'Service Types'!K444)</f>
        <v>0</v>
      </c>
    </row>
    <row r="57" customFormat="false" ht="15" hidden="false" customHeight="false" outlineLevel="0" collapsed="false">
      <c r="A57" s="16" t="n">
        <v>56</v>
      </c>
      <c r="B57" s="4" t="s">
        <v>513</v>
      </c>
      <c r="C57" s="4" t="str">
        <f aca="false">IF('Service Types'!B448="","",'Service Types'!B448)</f>
        <v>OS - Parks and Open Spaces</v>
      </c>
      <c r="D57" s="5" t="n">
        <f aca="false">IF('Service Types'!E448="","",'Service Types'!E448)</f>
        <v>2045</v>
      </c>
      <c r="E57" s="5" t="n">
        <f aca="false">IF('Service Types'!D448="","",'Service Types'!D448)</f>
        <v>6669</v>
      </c>
      <c r="F57" s="5" t="n">
        <f aca="false">IF('Service Types'!F448="","",'Service Types'!F448)</f>
        <v>39</v>
      </c>
      <c r="G57" s="5" t="n">
        <f aca="false">IF('Service Types'!G448="","",'Service Types'!G448)</f>
        <v>19</v>
      </c>
      <c r="H57" s="5" t="n">
        <f aca="false">IF('Service Types'!H448="","",'Service Types'!H448)</f>
        <v>6630</v>
      </c>
      <c r="I57" s="6" t="n">
        <f aca="false">IF('Service Types'!I448="","",'Service Types'!I448)</f>
        <v>4</v>
      </c>
      <c r="J57" s="6" t="n">
        <f aca="false">IF('Service Types'!J448="","",'Service Types'!J448)</f>
        <v>6.3</v>
      </c>
      <c r="K57" s="6" t="n">
        <f aca="false">IF('Service Types'!K448="","",'Service Types'!K448)</f>
        <v>14</v>
      </c>
    </row>
    <row r="58" customFormat="false" ht="15" hidden="false" customHeight="false" outlineLevel="0" collapsed="false">
      <c r="A58" s="16" t="n">
        <v>57</v>
      </c>
      <c r="B58" s="4" t="s">
        <v>179</v>
      </c>
      <c r="C58" s="4" t="str">
        <f aca="false">IF('Service Types'!B136="","",'Service Types'!B136)</f>
        <v>CS - Emergency Management and Community Safety</v>
      </c>
      <c r="D58" s="5" t="n">
        <f aca="false">IF('Service Types'!E136="","",'Service Types'!E136)</f>
        <v>2005</v>
      </c>
      <c r="E58" s="5" t="n">
        <f aca="false">IF('Service Types'!D136="","",'Service Types'!D136)</f>
        <v>7646</v>
      </c>
      <c r="F58" s="5" t="n">
        <f aca="false">IF('Service Types'!F136="","",'Service Types'!F136)</f>
        <v>1279</v>
      </c>
      <c r="G58" s="5" t="n">
        <f aca="false">IF('Service Types'!G136="","",'Service Types'!G136)</f>
        <v>894</v>
      </c>
      <c r="H58" s="5" t="n">
        <f aca="false">IF('Service Types'!H136="","",'Service Types'!H136)</f>
        <v>6367</v>
      </c>
      <c r="I58" s="6" t="n">
        <f aca="false">IF('Service Types'!I136="","",'Service Types'!I136)</f>
        <v>19</v>
      </c>
      <c r="J58" s="6" t="n">
        <f aca="false">IF('Service Types'!J136="","",'Service Types'!J136)</f>
        <v>27.2</v>
      </c>
      <c r="K58" s="6" t="n">
        <f aca="false">IF('Service Types'!K136="","",'Service Types'!K136)</f>
        <v>70</v>
      </c>
    </row>
    <row r="59" customFormat="false" ht="15" hidden="false" customHeight="false" outlineLevel="0" collapsed="false">
      <c r="A59" s="16" t="n">
        <v>58</v>
      </c>
      <c r="B59" s="4" t="s">
        <v>178</v>
      </c>
      <c r="C59" s="4" t="str">
        <f aca="false">IF('Service Types'!B135="","",'Service Types'!B135)</f>
        <v>CS - Emergency Management and Community Safety</v>
      </c>
      <c r="D59" s="5" t="n">
        <f aca="false">IF('Service Types'!E135="","",'Service Types'!E135)</f>
        <v>1876</v>
      </c>
      <c r="E59" s="5" t="n">
        <f aca="false">IF('Service Types'!D135="","",'Service Types'!D135)</f>
        <v>7854</v>
      </c>
      <c r="F59" s="5" t="n">
        <f aca="false">IF('Service Types'!F135="","",'Service Types'!F135)</f>
        <v>103</v>
      </c>
      <c r="G59" s="5" t="n">
        <f aca="false">IF('Service Types'!G135="","",'Service Types'!G135)</f>
        <v>87</v>
      </c>
      <c r="H59" s="5" t="n">
        <f aca="false">IF('Service Types'!H135="","",'Service Types'!H135)</f>
        <v>7751</v>
      </c>
      <c r="I59" s="6" t="n">
        <f aca="false">IF('Service Types'!I135="","",'Service Types'!I135)</f>
        <v>2</v>
      </c>
      <c r="J59" s="6" t="n">
        <f aca="false">IF('Service Types'!J135="","",'Service Types'!J135)</f>
        <v>6.7</v>
      </c>
      <c r="K59" s="6" t="n">
        <f aca="false">IF('Service Types'!K135="","",'Service Types'!K135)</f>
        <v>12</v>
      </c>
    </row>
    <row r="60" customFormat="false" ht="15" hidden="false" customHeight="false" outlineLevel="0" collapsed="false">
      <c r="A60" s="16" t="n">
        <v>59</v>
      </c>
      <c r="B60" s="4" t="s">
        <v>510</v>
      </c>
      <c r="C60" s="4" t="str">
        <f aca="false">IF('Service Types'!B445="","",'Service Types'!B445)</f>
        <v>OS - Parks and Open Spaces</v>
      </c>
      <c r="D60" s="5" t="n">
        <f aca="false">IF('Service Types'!E445="","",'Service Types'!E445)</f>
        <v>1857</v>
      </c>
      <c r="E60" s="5" t="n">
        <f aca="false">IF('Service Types'!D445="","",'Service Types'!D445)</f>
        <v>9522</v>
      </c>
      <c r="F60" s="5" t="n">
        <f aca="false">IF('Service Types'!F445="","",'Service Types'!F445)</f>
        <v>6</v>
      </c>
      <c r="G60" s="5" t="n">
        <f aca="false">IF('Service Types'!G445="","",'Service Types'!G445)</f>
        <v>3</v>
      </c>
      <c r="H60" s="5" t="n">
        <f aca="false">IF('Service Types'!H445="","",'Service Types'!H445)</f>
        <v>9516</v>
      </c>
      <c r="I60" s="6" t="n">
        <f aca="false">IF('Service Types'!I445="","",'Service Types'!I445)</f>
        <v>0</v>
      </c>
      <c r="J60" s="6" t="n">
        <f aca="false">IF('Service Types'!J445="","",'Service Types'!J445)</f>
        <v>1</v>
      </c>
      <c r="K60" s="6" t="n">
        <f aca="false">IF('Service Types'!K445="","",'Service Types'!K445)</f>
        <v>2</v>
      </c>
    </row>
    <row r="61" customFormat="false" ht="15" hidden="false" customHeight="false" outlineLevel="0" collapsed="false">
      <c r="A61" s="16" t="n">
        <v>60</v>
      </c>
      <c r="B61" s="4" t="s">
        <v>527</v>
      </c>
      <c r="C61" s="4" t="str">
        <f aca="false">IF('Service Types'!B462="","",'Service Types'!B462)</f>
        <v>OS - Parks and Open Spaces</v>
      </c>
      <c r="D61" s="5" t="n">
        <f aca="false">IF('Service Types'!E462="","",'Service Types'!E462)</f>
        <v>1836</v>
      </c>
      <c r="E61" s="5" t="n">
        <f aca="false">IF('Service Types'!D462="","",'Service Types'!D462)</f>
        <v>1896</v>
      </c>
      <c r="F61" s="5" t="n">
        <f aca="false">IF('Service Types'!F462="","",'Service Types'!F462)</f>
        <v>136</v>
      </c>
      <c r="G61" s="5" t="n">
        <f aca="false">IF('Service Types'!G462="","",'Service Types'!G462)</f>
        <v>31</v>
      </c>
      <c r="H61" s="5" t="n">
        <f aca="false">IF('Service Types'!H462="","",'Service Types'!H462)</f>
        <v>1760</v>
      </c>
      <c r="I61" s="6" t="n">
        <f aca="false">IF('Service Types'!I462="","",'Service Types'!I462)</f>
        <v>5</v>
      </c>
      <c r="J61" s="6" t="n">
        <f aca="false">IF('Service Types'!J462="","",'Service Types'!J462)</f>
        <v>10.1</v>
      </c>
      <c r="K61" s="6" t="n">
        <f aca="false">IF('Service Types'!K462="","",'Service Types'!K462)</f>
        <v>27</v>
      </c>
    </row>
    <row r="62" customFormat="false" ht="15" hidden="false" customHeight="false" outlineLevel="0" collapsed="false">
      <c r="A62" s="16" t="n">
        <v>61</v>
      </c>
      <c r="B62" s="4" t="s">
        <v>407</v>
      </c>
      <c r="C62" s="4" t="str">
        <f aca="false">IF('Service Types'!B347="","",'Service Types'!B347)</f>
        <v>OS - Calgary Transit</v>
      </c>
      <c r="D62" s="5" t="n">
        <f aca="false">IF('Service Types'!E347="","",'Service Types'!E347)</f>
        <v>1835</v>
      </c>
      <c r="E62" s="5" t="n">
        <f aca="false">IF('Service Types'!D347="","",'Service Types'!D347)</f>
        <v>9052</v>
      </c>
      <c r="F62" s="5" t="n">
        <f aca="false">IF('Service Types'!F347="","",'Service Types'!F347)</f>
        <v>20</v>
      </c>
      <c r="G62" s="5" t="n">
        <f aca="false">IF('Service Types'!G347="","",'Service Types'!G347)</f>
        <v>8</v>
      </c>
      <c r="H62" s="5" t="n">
        <f aca="false">IF('Service Types'!H347="","",'Service Types'!H347)</f>
        <v>9032</v>
      </c>
      <c r="I62" s="6" t="n">
        <f aca="false">IF('Service Types'!I347="","",'Service Types'!I347)</f>
        <v>6</v>
      </c>
      <c r="J62" s="6" t="n">
        <f aca="false">IF('Service Types'!J347="","",'Service Types'!J347)</f>
        <v>9.9</v>
      </c>
      <c r="K62" s="6" t="n">
        <f aca="false">IF('Service Types'!K347="","",'Service Types'!K347)</f>
        <v>27</v>
      </c>
    </row>
    <row r="63" customFormat="false" ht="15" hidden="false" customHeight="false" outlineLevel="0" collapsed="false">
      <c r="A63" s="16" t="n">
        <v>62</v>
      </c>
      <c r="B63" s="4" t="s">
        <v>447</v>
      </c>
      <c r="C63" s="4" t="str">
        <f aca="false">IF('Service Types'!B384="","",'Service Types'!B384)</f>
        <v>OS - Mobility</v>
      </c>
      <c r="D63" s="5" t="n">
        <f aca="false">IF('Service Types'!E384="","",'Service Types'!E384)</f>
        <v>1807</v>
      </c>
      <c r="E63" s="5" t="n">
        <f aca="false">IF('Service Types'!D384="","",'Service Types'!D384)</f>
        <v>6995</v>
      </c>
      <c r="F63" s="5" t="n">
        <f aca="false">IF('Service Types'!F384="","",'Service Types'!F384)</f>
        <v>86</v>
      </c>
      <c r="G63" s="5" t="n">
        <f aca="false">IF('Service Types'!G384="","",'Service Types'!G384)</f>
        <v>61</v>
      </c>
      <c r="H63" s="5" t="n">
        <f aca="false">IF('Service Types'!H384="","",'Service Types'!H384)</f>
        <v>6909</v>
      </c>
      <c r="I63" s="6" t="n">
        <f aca="false">IF('Service Types'!I384="","",'Service Types'!I384)</f>
        <v>2</v>
      </c>
      <c r="J63" s="6" t="n">
        <f aca="false">IF('Service Types'!J384="","",'Service Types'!J384)</f>
        <v>6</v>
      </c>
      <c r="K63" s="6" t="n">
        <f aca="false">IF('Service Types'!K384="","",'Service Types'!K384)</f>
        <v>13</v>
      </c>
    </row>
    <row r="64" customFormat="false" ht="15" hidden="false" customHeight="false" outlineLevel="0" collapsed="false">
      <c r="A64" s="16" t="n">
        <v>63</v>
      </c>
      <c r="B64" s="4" t="s">
        <v>181</v>
      </c>
      <c r="C64" s="4" t="str">
        <f aca="false">IF('Service Types'!B138="","",'Service Types'!B138)</f>
        <v>CS - Emergency Management and Community Safety</v>
      </c>
      <c r="D64" s="5" t="n">
        <f aca="false">IF('Service Types'!E138="","",'Service Types'!E138)</f>
        <v>1756</v>
      </c>
      <c r="E64" s="5" t="n">
        <f aca="false">IF('Service Types'!D138="","",'Service Types'!D138)</f>
        <v>6369</v>
      </c>
      <c r="F64" s="5" t="n">
        <f aca="false">IF('Service Types'!F138="","",'Service Types'!F138)</f>
        <v>109</v>
      </c>
      <c r="G64" s="5" t="n">
        <f aca="false">IF('Service Types'!G138="","",'Service Types'!G138)</f>
        <v>40</v>
      </c>
      <c r="H64" s="5" t="n">
        <f aca="false">IF('Service Types'!H138="","",'Service Types'!H138)</f>
        <v>6260</v>
      </c>
      <c r="I64" s="6" t="n">
        <f aca="false">IF('Service Types'!I138="","",'Service Types'!I138)</f>
        <v>4</v>
      </c>
      <c r="J64" s="6" t="n">
        <f aca="false">IF('Service Types'!J138="","",'Service Types'!J138)</f>
        <v>13.3</v>
      </c>
      <c r="K64" s="6" t="n">
        <f aca="false">IF('Service Types'!K138="","",'Service Types'!K138)</f>
        <v>31</v>
      </c>
    </row>
    <row r="65" customFormat="false" ht="15" hidden="false" customHeight="false" outlineLevel="0" collapsed="false">
      <c r="A65" s="16" t="n">
        <v>64</v>
      </c>
      <c r="B65" s="4" t="s">
        <v>259</v>
      </c>
      <c r="C65" s="4" t="str">
        <f aca="false">IF('Service Types'!B214="","",'Service Types'!B214)</f>
        <v>CS - Recreation and Social Programs</v>
      </c>
      <c r="D65" s="5" t="n">
        <f aca="false">IF('Service Types'!E214="","",'Service Types'!E214)</f>
        <v>1752</v>
      </c>
      <c r="E65" s="5" t="n">
        <f aca="false">IF('Service Types'!D214="","",'Service Types'!D214)</f>
        <v>7596</v>
      </c>
      <c r="F65" s="5" t="n">
        <f aca="false">IF('Service Types'!F214="","",'Service Types'!F214)</f>
        <v>108</v>
      </c>
      <c r="G65" s="5" t="n">
        <f aca="false">IF('Service Types'!G214="","",'Service Types'!G214)</f>
        <v>49</v>
      </c>
      <c r="H65" s="5" t="n">
        <f aca="false">IF('Service Types'!H214="","",'Service Types'!H214)</f>
        <v>7488</v>
      </c>
      <c r="I65" s="6" t="n">
        <f aca="false">IF('Service Types'!I214="","",'Service Types'!I214)</f>
        <v>9</v>
      </c>
      <c r="J65" s="6" t="n">
        <f aca="false">IF('Service Types'!J214="","",'Service Types'!J214)</f>
        <v>21.1</v>
      </c>
      <c r="K65" s="6" t="n">
        <f aca="false">IF('Service Types'!K214="","",'Service Types'!K214)</f>
        <v>49</v>
      </c>
    </row>
    <row r="66" customFormat="false" ht="15" hidden="false" customHeight="false" outlineLevel="0" collapsed="false">
      <c r="A66" s="16" t="n">
        <v>65</v>
      </c>
      <c r="B66" s="4" t="s">
        <v>309</v>
      </c>
      <c r="C66" s="4" t="str">
        <f aca="false">IF('Service Types'!B264="","",'Service Types'!B264)</f>
        <v>Corporate Wide Service Requests</v>
      </c>
      <c r="D66" s="5" t="n">
        <f aca="false">IF('Service Types'!E264="","",'Service Types'!E264)</f>
        <v>1708</v>
      </c>
      <c r="E66" s="5" t="n">
        <f aca="false">IF('Service Types'!D264="","",'Service Types'!D264)</f>
        <v>8984</v>
      </c>
      <c r="F66" s="5" t="n">
        <f aca="false">IF('Service Types'!F264="","",'Service Types'!F264)</f>
        <v>18</v>
      </c>
      <c r="G66" s="5" t="n">
        <f aca="false">IF('Service Types'!G264="","",'Service Types'!G264)</f>
        <v>8</v>
      </c>
      <c r="H66" s="5" t="n">
        <f aca="false">IF('Service Types'!H264="","",'Service Types'!H264)</f>
        <v>8966</v>
      </c>
      <c r="I66" s="6" t="n">
        <f aca="false">IF('Service Types'!I264="","",'Service Types'!I264)</f>
        <v>0</v>
      </c>
      <c r="J66" s="6" t="n">
        <f aca="false">IF('Service Types'!J264="","",'Service Types'!J264)</f>
        <v>4.8</v>
      </c>
      <c r="K66" s="6" t="n">
        <f aca="false">IF('Service Types'!K264="","",'Service Types'!K264)</f>
        <v>2</v>
      </c>
    </row>
    <row r="67" customFormat="false" ht="15" hidden="false" customHeight="false" outlineLevel="0" collapsed="false">
      <c r="A67" s="16" t="n">
        <v>66</v>
      </c>
      <c r="B67" s="4" t="s">
        <v>605</v>
      </c>
      <c r="C67" s="4" t="str">
        <f aca="false">IF('Service Types'!B537="","",'Service Types'!B537)</f>
        <v>OS - Water Services</v>
      </c>
      <c r="D67" s="5" t="n">
        <f aca="false">IF('Service Types'!E537="","",'Service Types'!E537)</f>
        <v>1675</v>
      </c>
      <c r="E67" s="5" t="n">
        <f aca="false">IF('Service Types'!D537="","",'Service Types'!D537)</f>
        <v>8470</v>
      </c>
      <c r="F67" s="5" t="n">
        <f aca="false">IF('Service Types'!F537="","",'Service Types'!F537)</f>
        <v>10</v>
      </c>
      <c r="G67" s="5" t="n">
        <f aca="false">IF('Service Types'!G537="","",'Service Types'!G537)</f>
        <v>8</v>
      </c>
      <c r="H67" s="5" t="n">
        <f aca="false">IF('Service Types'!H537="","",'Service Types'!H537)</f>
        <v>7516</v>
      </c>
      <c r="I67" s="6" t="n">
        <f aca="false">IF('Service Types'!I537="","",'Service Types'!I537)</f>
        <v>0</v>
      </c>
      <c r="J67" s="6" t="n">
        <f aca="false">IF('Service Types'!J537="","",'Service Types'!J537)</f>
        <v>1.2</v>
      </c>
      <c r="K67" s="6" t="n">
        <f aca="false">IF('Service Types'!K537="","",'Service Types'!K537)</f>
        <v>1</v>
      </c>
    </row>
    <row r="68" customFormat="false" ht="15" hidden="false" customHeight="false" outlineLevel="0" collapsed="false">
      <c r="A68" s="16" t="n">
        <v>67</v>
      </c>
      <c r="B68" s="4" t="s">
        <v>452</v>
      </c>
      <c r="C68" s="4" t="str">
        <f aca="false">IF('Service Types'!B389="","",'Service Types'!B389)</f>
        <v>OS - Mobility</v>
      </c>
      <c r="D68" s="5" t="n">
        <f aca="false">IF('Service Types'!E389="","",'Service Types'!E389)</f>
        <v>1634</v>
      </c>
      <c r="E68" s="5" t="n">
        <f aca="false">IF('Service Types'!D389="","",'Service Types'!D389)</f>
        <v>4633</v>
      </c>
      <c r="F68" s="5" t="n">
        <f aca="false">IF('Service Types'!F389="","",'Service Types'!F389)</f>
        <v>0</v>
      </c>
      <c r="G68" s="5" t="n">
        <f aca="false">IF('Service Types'!G389="","",'Service Types'!G389)</f>
        <v>0</v>
      </c>
      <c r="H68" s="5" t="n">
        <f aca="false">IF('Service Types'!H389="","",'Service Types'!H389)</f>
        <v>4633</v>
      </c>
      <c r="I68" s="6" t="n">
        <f aca="false">IF('Service Types'!I389="","",'Service Types'!I389)</f>
        <v>2</v>
      </c>
      <c r="J68" s="6" t="n">
        <f aca="false">IF('Service Types'!J389="","",'Service Types'!J389)</f>
        <v>6.1</v>
      </c>
      <c r="K68" s="6" t="n">
        <f aca="false">IF('Service Types'!K389="","",'Service Types'!K389)</f>
        <v>13</v>
      </c>
    </row>
    <row r="69" customFormat="false" ht="15" hidden="false" customHeight="false" outlineLevel="0" collapsed="false">
      <c r="A69" s="16" t="n">
        <v>68</v>
      </c>
      <c r="B69" s="4" t="s">
        <v>180</v>
      </c>
      <c r="C69" s="4" t="str">
        <f aca="false">IF('Service Types'!B137="","",'Service Types'!B137)</f>
        <v>CS - Emergency Management and Community Safety</v>
      </c>
      <c r="D69" s="5" t="n">
        <f aca="false">IF('Service Types'!E137="","",'Service Types'!E137)</f>
        <v>1568</v>
      </c>
      <c r="E69" s="5" t="n">
        <f aca="false">IF('Service Types'!D137="","",'Service Types'!D137)</f>
        <v>6634</v>
      </c>
      <c r="F69" s="5" t="n">
        <f aca="false">IF('Service Types'!F137="","",'Service Types'!F137)</f>
        <v>144</v>
      </c>
      <c r="G69" s="5" t="n">
        <f aca="false">IF('Service Types'!G137="","",'Service Types'!G137)</f>
        <v>72</v>
      </c>
      <c r="H69" s="5" t="n">
        <f aca="false">IF('Service Types'!H137="","",'Service Types'!H137)</f>
        <v>6315</v>
      </c>
      <c r="I69" s="6" t="n">
        <f aca="false">IF('Service Types'!I137="","",'Service Types'!I137)</f>
        <v>6</v>
      </c>
      <c r="J69" s="6" t="n">
        <f aca="false">IF('Service Types'!J137="","",'Service Types'!J137)</f>
        <v>18.2</v>
      </c>
      <c r="K69" s="6" t="n">
        <f aca="false">IF('Service Types'!K137="","",'Service Types'!K137)</f>
        <v>45</v>
      </c>
    </row>
    <row r="70" customFormat="false" ht="15" hidden="false" customHeight="false" outlineLevel="0" collapsed="false">
      <c r="A70" s="16" t="n">
        <v>69</v>
      </c>
      <c r="B70" s="4" t="s">
        <v>511</v>
      </c>
      <c r="C70" s="4" t="str">
        <f aca="false">IF('Service Types'!B446="","",'Service Types'!B446)</f>
        <v>OS - Parks and Open Spaces</v>
      </c>
      <c r="D70" s="5" t="n">
        <f aca="false">IF('Service Types'!E446="","",'Service Types'!E446)</f>
        <v>1520</v>
      </c>
      <c r="E70" s="5" t="n">
        <f aca="false">IF('Service Types'!D446="","",'Service Types'!D446)</f>
        <v>7682</v>
      </c>
      <c r="F70" s="5" t="n">
        <f aca="false">IF('Service Types'!F446="","",'Service Types'!F446)</f>
        <v>36</v>
      </c>
      <c r="G70" s="5" t="n">
        <f aca="false">IF('Service Types'!G446="","",'Service Types'!G446)</f>
        <v>29</v>
      </c>
      <c r="H70" s="5" t="n">
        <f aca="false">IF('Service Types'!H446="","",'Service Types'!H446)</f>
        <v>7646</v>
      </c>
      <c r="I70" s="6" t="n">
        <f aca="false">IF('Service Types'!I446="","",'Service Types'!I446)</f>
        <v>3</v>
      </c>
      <c r="J70" s="6" t="n">
        <f aca="false">IF('Service Types'!J446="","",'Service Types'!J446)</f>
        <v>5.9</v>
      </c>
      <c r="K70" s="6" t="n">
        <f aca="false">IF('Service Types'!K446="","",'Service Types'!K446)</f>
        <v>14</v>
      </c>
    </row>
    <row r="71" customFormat="false" ht="15" hidden="false" customHeight="false" outlineLevel="0" collapsed="false">
      <c r="A71" s="16" t="n">
        <v>70</v>
      </c>
      <c r="B71" s="4" t="s">
        <v>515</v>
      </c>
      <c r="C71" s="4" t="str">
        <f aca="false">IF('Service Types'!B450="","",'Service Types'!B450)</f>
        <v>OS - Parks and Open Spaces</v>
      </c>
      <c r="D71" s="5" t="n">
        <f aca="false">IF('Service Types'!E450="","",'Service Types'!E450)</f>
        <v>1464</v>
      </c>
      <c r="E71" s="5" t="n">
        <f aca="false">IF('Service Types'!D450="","",'Service Types'!D450)</f>
        <v>5214</v>
      </c>
      <c r="F71" s="5" t="n">
        <f aca="false">IF('Service Types'!F450="","",'Service Types'!F450)</f>
        <v>34</v>
      </c>
      <c r="G71" s="5" t="n">
        <f aca="false">IF('Service Types'!G450="","",'Service Types'!G450)</f>
        <v>0</v>
      </c>
      <c r="H71" s="5" t="n">
        <f aca="false">IF('Service Types'!H450="","",'Service Types'!H450)</f>
        <v>5180</v>
      </c>
      <c r="I71" s="6" t="n">
        <f aca="false">IF('Service Types'!I450="","",'Service Types'!I450)</f>
        <v>2</v>
      </c>
      <c r="J71" s="6" t="n">
        <f aca="false">IF('Service Types'!J450="","",'Service Types'!J450)</f>
        <v>5.3</v>
      </c>
      <c r="K71" s="6" t="n">
        <f aca="false">IF('Service Types'!K450="","",'Service Types'!K450)</f>
        <v>8</v>
      </c>
    </row>
    <row r="72" customFormat="false" ht="15" hidden="false" customHeight="false" outlineLevel="0" collapsed="false">
      <c r="A72" s="16" t="n">
        <v>71</v>
      </c>
      <c r="B72" s="4" t="s">
        <v>460</v>
      </c>
      <c r="C72" s="4" t="str">
        <f aca="false">IF('Service Types'!B397="","",'Service Types'!B397)</f>
        <v>OS - Mobility</v>
      </c>
      <c r="D72" s="5" t="n">
        <f aca="false">IF('Service Types'!E397="","",'Service Types'!E397)</f>
        <v>1456</v>
      </c>
      <c r="E72" s="5" t="n">
        <f aca="false">IF('Service Types'!D397="","",'Service Types'!D397)</f>
        <v>1456</v>
      </c>
      <c r="F72" s="5" t="n">
        <f aca="false">IF('Service Types'!F397="","",'Service Types'!F397)</f>
        <v>970</v>
      </c>
      <c r="G72" s="5" t="n">
        <f aca="false">IF('Service Types'!G397="","",'Service Types'!G397)</f>
        <v>207</v>
      </c>
      <c r="H72" s="5" t="n">
        <f aca="false">IF('Service Types'!H397="","",'Service Types'!H397)</f>
        <v>470</v>
      </c>
      <c r="I72" s="6" t="n">
        <f aca="false">IF('Service Types'!I397="","",'Service Types'!I397)</f>
        <v>13</v>
      </c>
      <c r="J72" s="6" t="n">
        <f aca="false">IF('Service Types'!J397="","",'Service Types'!J397)</f>
        <v>13.9</v>
      </c>
      <c r="K72" s="6" t="n">
        <f aca="false">IF('Service Types'!K397="","",'Service Types'!K397)</f>
        <v>21</v>
      </c>
    </row>
    <row r="73" customFormat="false" ht="15" hidden="false" customHeight="false" outlineLevel="0" collapsed="false">
      <c r="A73" s="16" t="n">
        <v>72</v>
      </c>
      <c r="B73" s="4" t="s">
        <v>413</v>
      </c>
      <c r="C73" s="4" t="str">
        <f aca="false">IF('Service Types'!B353="","",'Service Types'!B353)</f>
        <v>OS - Calgary Transit</v>
      </c>
      <c r="D73" s="5" t="n">
        <f aca="false">IF('Service Types'!E353="","",'Service Types'!E353)</f>
        <v>1430</v>
      </c>
      <c r="E73" s="5" t="n">
        <f aca="false">IF('Service Types'!D353="","",'Service Types'!D353)</f>
        <v>1431</v>
      </c>
      <c r="F73" s="5" t="n">
        <f aca="false">IF('Service Types'!F353="","",'Service Types'!F353)</f>
        <v>16</v>
      </c>
      <c r="G73" s="5" t="n">
        <f aca="false">IF('Service Types'!G353="","",'Service Types'!G353)</f>
        <v>2</v>
      </c>
      <c r="H73" s="5" t="n">
        <f aca="false">IF('Service Types'!H353="","",'Service Types'!H353)</f>
        <v>1415</v>
      </c>
      <c r="I73" s="6" t="n">
        <f aca="false">IF('Service Types'!I353="","",'Service Types'!I353)</f>
        <v>1</v>
      </c>
      <c r="J73" s="6" t="n">
        <f aca="false">IF('Service Types'!J353="","",'Service Types'!J353)</f>
        <v>1.8</v>
      </c>
      <c r="K73" s="6" t="n">
        <f aca="false">IF('Service Types'!K353="","",'Service Types'!K353)</f>
        <v>4</v>
      </c>
    </row>
    <row r="74" customFormat="false" ht="15" hidden="false" customHeight="false" outlineLevel="0" collapsed="false">
      <c r="A74" s="16" t="n">
        <v>73</v>
      </c>
      <c r="B74" s="4" t="s">
        <v>260</v>
      </c>
      <c r="C74" s="4" t="str">
        <f aca="false">IF('Service Types'!B215="","",'Service Types'!B215)</f>
        <v>CS - Recreation and Social Programs</v>
      </c>
      <c r="D74" s="5" t="n">
        <f aca="false">IF('Service Types'!E215="","",'Service Types'!E215)</f>
        <v>1388</v>
      </c>
      <c r="E74" s="5" t="n">
        <f aca="false">IF('Service Types'!D215="","",'Service Types'!D215)</f>
        <v>6657</v>
      </c>
      <c r="F74" s="5" t="n">
        <f aca="false">IF('Service Types'!F215="","",'Service Types'!F215)</f>
        <v>25</v>
      </c>
      <c r="G74" s="5" t="n">
        <f aca="false">IF('Service Types'!G215="","",'Service Types'!G215)</f>
        <v>17</v>
      </c>
      <c r="H74" s="5" t="n">
        <f aca="false">IF('Service Types'!H215="","",'Service Types'!H215)</f>
        <v>6632</v>
      </c>
      <c r="I74" s="6" t="n">
        <f aca="false">IF('Service Types'!I215="","",'Service Types'!I215)</f>
        <v>2</v>
      </c>
      <c r="J74" s="6" t="n">
        <f aca="false">IF('Service Types'!J215="","",'Service Types'!J215)</f>
        <v>12.7</v>
      </c>
      <c r="K74" s="6" t="n">
        <f aca="false">IF('Service Types'!K215="","",'Service Types'!K215)</f>
        <v>23</v>
      </c>
    </row>
    <row r="75" customFormat="false" ht="15" hidden="false" customHeight="false" outlineLevel="0" collapsed="false">
      <c r="A75" s="16" t="n">
        <v>74</v>
      </c>
      <c r="B75" s="4" t="s">
        <v>522</v>
      </c>
      <c r="C75" s="4" t="str">
        <f aca="false">IF('Service Types'!B457="","",'Service Types'!B457)</f>
        <v>OS - Parks and Open Spaces</v>
      </c>
      <c r="D75" s="5" t="n">
        <f aca="false">IF('Service Types'!E457="","",'Service Types'!E457)</f>
        <v>1372</v>
      </c>
      <c r="E75" s="5" t="n">
        <f aca="false">IF('Service Types'!D457="","",'Service Types'!D457)</f>
        <v>2576</v>
      </c>
      <c r="F75" s="5" t="n">
        <f aca="false">IF('Service Types'!F457="","",'Service Types'!F457)</f>
        <v>33</v>
      </c>
      <c r="G75" s="5" t="n">
        <f aca="false">IF('Service Types'!G457="","",'Service Types'!G457)</f>
        <v>13</v>
      </c>
      <c r="H75" s="5" t="n">
        <f aca="false">IF('Service Types'!H457="","",'Service Types'!H457)</f>
        <v>2543</v>
      </c>
      <c r="I75" s="6" t="n">
        <f aca="false">IF('Service Types'!I457="","",'Service Types'!I457)</f>
        <v>4</v>
      </c>
      <c r="J75" s="6" t="n">
        <f aca="false">IF('Service Types'!J457="","",'Service Types'!J457)</f>
        <v>8.7</v>
      </c>
      <c r="K75" s="6" t="n">
        <f aca="false">IF('Service Types'!K457="","",'Service Types'!K457)</f>
        <v>19</v>
      </c>
    </row>
    <row r="76" customFormat="false" ht="15" hidden="false" customHeight="false" outlineLevel="0" collapsed="false">
      <c r="A76" s="16" t="n">
        <v>75</v>
      </c>
      <c r="B76" s="4" t="s">
        <v>449</v>
      </c>
      <c r="C76" s="4" t="str">
        <f aca="false">IF('Service Types'!B386="","",'Service Types'!B386)</f>
        <v>OS - Mobility</v>
      </c>
      <c r="D76" s="5" t="n">
        <f aca="false">IF('Service Types'!E386="","",'Service Types'!E386)</f>
        <v>1353</v>
      </c>
      <c r="E76" s="5" t="n">
        <f aca="false">IF('Service Types'!D386="","",'Service Types'!D386)</f>
        <v>5693</v>
      </c>
      <c r="F76" s="5" t="n">
        <f aca="false">IF('Service Types'!F386="","",'Service Types'!F386)</f>
        <v>34</v>
      </c>
      <c r="G76" s="5" t="n">
        <f aca="false">IF('Service Types'!G386="","",'Service Types'!G386)</f>
        <v>17</v>
      </c>
      <c r="H76" s="5" t="n">
        <f aca="false">IF('Service Types'!H386="","",'Service Types'!H386)</f>
        <v>5659</v>
      </c>
      <c r="I76" s="6" t="n">
        <f aca="false">IF('Service Types'!I386="","",'Service Types'!I386)</f>
        <v>2</v>
      </c>
      <c r="J76" s="6" t="n">
        <f aca="false">IF('Service Types'!J386="","",'Service Types'!J386)</f>
        <v>15.8</v>
      </c>
      <c r="K76" s="6" t="n">
        <f aca="false">IF('Service Types'!K386="","",'Service Types'!K386)</f>
        <v>15</v>
      </c>
    </row>
    <row r="77" customFormat="false" ht="15" hidden="false" customHeight="false" outlineLevel="0" collapsed="false">
      <c r="A77" s="16" t="n">
        <v>76</v>
      </c>
      <c r="B77" s="4" t="s">
        <v>53</v>
      </c>
      <c r="C77" s="4" t="str">
        <f aca="false">IF('Service Types'!B19="","",'Service Types'!B19)</f>
        <v>CPFS - Assessment and Tax</v>
      </c>
      <c r="D77" s="5" t="n">
        <f aca="false">IF('Service Types'!E19="","",'Service Types'!E19)</f>
        <v>1340</v>
      </c>
      <c r="E77" s="5" t="n">
        <f aca="false">IF('Service Types'!D19="","",'Service Types'!D19)</f>
        <v>1340</v>
      </c>
      <c r="F77" s="5" t="n">
        <f aca="false">IF('Service Types'!F19="","",'Service Types'!F19)</f>
        <v>54</v>
      </c>
      <c r="G77" s="5" t="n">
        <f aca="false">IF('Service Types'!G19="","",'Service Types'!G19)</f>
        <v>4</v>
      </c>
      <c r="H77" s="5" t="n">
        <f aca="false">IF('Service Types'!H19="","",'Service Types'!H19)</f>
        <v>1286</v>
      </c>
      <c r="I77" s="6" t="n">
        <f aca="false">IF('Service Types'!I19="","",'Service Types'!I19)</f>
        <v>4</v>
      </c>
      <c r="J77" s="6" t="n">
        <f aca="false">IF('Service Types'!J19="","",'Service Types'!J19)</f>
        <v>6.2</v>
      </c>
      <c r="K77" s="6" t="n">
        <f aca="false">IF('Service Types'!K19="","",'Service Types'!K19)</f>
        <v>11</v>
      </c>
    </row>
    <row r="78" customFormat="false" ht="15" hidden="false" customHeight="false" outlineLevel="0" collapsed="false">
      <c r="A78" s="16" t="n">
        <v>77</v>
      </c>
      <c r="B78" s="4" t="s">
        <v>184</v>
      </c>
      <c r="C78" s="4" t="str">
        <f aca="false">IF('Service Types'!B141="","",'Service Types'!B141)</f>
        <v>CS - Emergency Management and Community Safety</v>
      </c>
      <c r="D78" s="5" t="n">
        <f aca="false">IF('Service Types'!E141="","",'Service Types'!E141)</f>
        <v>1323</v>
      </c>
      <c r="E78" s="5" t="n">
        <f aca="false">IF('Service Types'!D141="","",'Service Types'!D141)</f>
        <v>3450</v>
      </c>
      <c r="F78" s="5" t="n">
        <f aca="false">IF('Service Types'!F141="","",'Service Types'!F141)</f>
        <v>154</v>
      </c>
      <c r="G78" s="5" t="n">
        <f aca="false">IF('Service Types'!G141="","",'Service Types'!G141)</f>
        <v>52</v>
      </c>
      <c r="H78" s="5" t="n">
        <f aca="false">IF('Service Types'!H141="","",'Service Types'!H141)</f>
        <v>3296</v>
      </c>
      <c r="I78" s="6" t="n">
        <f aca="false">IF('Service Types'!I141="","",'Service Types'!I141)</f>
        <v>10</v>
      </c>
      <c r="J78" s="6" t="n">
        <f aca="false">IF('Service Types'!J141="","",'Service Types'!J141)</f>
        <v>24.9</v>
      </c>
      <c r="K78" s="6" t="n">
        <f aca="false">IF('Service Types'!K141="","",'Service Types'!K141)</f>
        <v>62</v>
      </c>
    </row>
    <row r="79" customFormat="false" ht="15" hidden="false" customHeight="false" outlineLevel="0" collapsed="false">
      <c r="A79" s="16" t="n">
        <v>78</v>
      </c>
      <c r="B79" s="4" t="s">
        <v>518</v>
      </c>
      <c r="C79" s="4" t="str">
        <f aca="false">IF('Service Types'!B453="","",'Service Types'!B453)</f>
        <v>OS - Parks and Open Spaces</v>
      </c>
      <c r="D79" s="5" t="n">
        <f aca="false">IF('Service Types'!E453="","",'Service Types'!E453)</f>
        <v>1292</v>
      </c>
      <c r="E79" s="5" t="n">
        <f aca="false">IF('Service Types'!D453="","",'Service Types'!D453)</f>
        <v>4333</v>
      </c>
      <c r="F79" s="5" t="n">
        <f aca="false">IF('Service Types'!F453="","",'Service Types'!F453)</f>
        <v>85</v>
      </c>
      <c r="G79" s="5" t="n">
        <f aca="false">IF('Service Types'!G453="","",'Service Types'!G453)</f>
        <v>35</v>
      </c>
      <c r="H79" s="5" t="n">
        <f aca="false">IF('Service Types'!H453="","",'Service Types'!H453)</f>
        <v>4248</v>
      </c>
      <c r="I79" s="6" t="n">
        <f aca="false">IF('Service Types'!I453="","",'Service Types'!I453)</f>
        <v>3</v>
      </c>
      <c r="J79" s="6" t="n">
        <f aca="false">IF('Service Types'!J453="","",'Service Types'!J453)</f>
        <v>6.6</v>
      </c>
      <c r="K79" s="6" t="n">
        <f aca="false">IF('Service Types'!K453="","",'Service Types'!K453)</f>
        <v>15</v>
      </c>
    </row>
    <row r="80" customFormat="false" ht="15" hidden="false" customHeight="false" outlineLevel="0" collapsed="false">
      <c r="A80" s="16" t="n">
        <v>79</v>
      </c>
      <c r="B80" s="4" t="s">
        <v>451</v>
      </c>
      <c r="C80" s="4" t="str">
        <f aca="false">IF('Service Types'!B388="","",'Service Types'!B388)</f>
        <v>OS - Mobility</v>
      </c>
      <c r="D80" s="5" t="n">
        <f aca="false">IF('Service Types'!E388="","",'Service Types'!E388)</f>
        <v>1285</v>
      </c>
      <c r="E80" s="5" t="n">
        <f aca="false">IF('Service Types'!D388="","",'Service Types'!D388)</f>
        <v>4710</v>
      </c>
      <c r="F80" s="5" t="n">
        <f aca="false">IF('Service Types'!F388="","",'Service Types'!F388)</f>
        <v>2004</v>
      </c>
      <c r="G80" s="5" t="n">
        <f aca="false">IF('Service Types'!G388="","",'Service Types'!G388)</f>
        <v>1778</v>
      </c>
      <c r="H80" s="5" t="n">
        <f aca="false">IF('Service Types'!H388="","",'Service Types'!H388)</f>
        <v>2705</v>
      </c>
      <c r="I80" s="6" t="n">
        <f aca="false">IF('Service Types'!I388="","",'Service Types'!I388)</f>
        <v>28</v>
      </c>
      <c r="J80" s="6" t="n">
        <f aca="false">IF('Service Types'!J388="","",'Service Types'!J388)</f>
        <v>70.1</v>
      </c>
      <c r="K80" s="6" t="n">
        <f aca="false">IF('Service Types'!K388="","",'Service Types'!K388)</f>
        <v>196</v>
      </c>
    </row>
    <row r="81" customFormat="false" ht="15" hidden="false" customHeight="false" outlineLevel="0" collapsed="false">
      <c r="A81" s="16" t="n">
        <v>80</v>
      </c>
      <c r="B81" s="4" t="s">
        <v>261</v>
      </c>
      <c r="C81" s="4" t="str">
        <f aca="false">IF('Service Types'!B216="","",'Service Types'!B216)</f>
        <v>CS - Recreation and Social Programs</v>
      </c>
      <c r="D81" s="5" t="n">
        <f aca="false">IF('Service Types'!E216="","",'Service Types'!E216)</f>
        <v>1248</v>
      </c>
      <c r="E81" s="5" t="n">
        <f aca="false">IF('Service Types'!D216="","",'Service Types'!D216)</f>
        <v>5707</v>
      </c>
      <c r="F81" s="5" t="n">
        <f aca="false">IF('Service Types'!F216="","",'Service Types'!F216)</f>
        <v>89</v>
      </c>
      <c r="G81" s="5" t="n">
        <f aca="false">IF('Service Types'!G216="","",'Service Types'!G216)</f>
        <v>63</v>
      </c>
      <c r="H81" s="5" t="n">
        <f aca="false">IF('Service Types'!H216="","",'Service Types'!H216)</f>
        <v>5618</v>
      </c>
      <c r="I81" s="6" t="n">
        <f aca="false">IF('Service Types'!I216="","",'Service Types'!I216)</f>
        <v>3</v>
      </c>
      <c r="J81" s="6" t="n">
        <f aca="false">IF('Service Types'!J216="","",'Service Types'!J216)</f>
        <v>16.7</v>
      </c>
      <c r="K81" s="6" t="n">
        <f aca="false">IF('Service Types'!K216="","",'Service Types'!K216)</f>
        <v>35</v>
      </c>
    </row>
    <row r="82" customFormat="false" ht="15" hidden="false" customHeight="false" outlineLevel="0" collapsed="false">
      <c r="A82" s="16" t="n">
        <v>81</v>
      </c>
      <c r="B82" s="4" t="s">
        <v>42</v>
      </c>
      <c r="C82" s="4" t="str">
        <f aca="false">IF('Service Types'!B13="","",'Service Types'!B13)</f>
        <v>CPFS - Assessment and Tax</v>
      </c>
      <c r="D82" s="5" t="n">
        <f aca="false">IF('Service Types'!E13="","",'Service Types'!E13)</f>
        <v>1203</v>
      </c>
      <c r="E82" s="5" t="n">
        <f aca="false">IF('Service Types'!D13="","",'Service Types'!D13)</f>
        <v>4282</v>
      </c>
      <c r="F82" s="5" t="n">
        <f aca="false">IF('Service Types'!F13="","",'Service Types'!F13)</f>
        <v>28</v>
      </c>
      <c r="G82" s="5" t="n">
        <f aca="false">IF('Service Types'!G13="","",'Service Types'!G13)</f>
        <v>6</v>
      </c>
      <c r="H82" s="5" t="n">
        <f aca="false">IF('Service Types'!H13="","",'Service Types'!H13)</f>
        <v>4254</v>
      </c>
      <c r="I82" s="6" t="n">
        <f aca="false">IF('Service Types'!I13="","",'Service Types'!I13)</f>
        <v>3</v>
      </c>
      <c r="J82" s="6" t="n">
        <f aca="false">IF('Service Types'!J13="","",'Service Types'!J13)</f>
        <v>10.1</v>
      </c>
      <c r="K82" s="6" t="n">
        <f aca="false">IF('Service Types'!K13="","",'Service Types'!K13)</f>
        <v>8</v>
      </c>
    </row>
    <row r="83" customFormat="false" ht="15" hidden="false" customHeight="false" outlineLevel="0" collapsed="false">
      <c r="A83" s="16" t="n">
        <v>82</v>
      </c>
      <c r="B83" s="4" t="s">
        <v>44</v>
      </c>
      <c r="C83" s="4" t="str">
        <f aca="false">IF('Service Types'!B14="","",'Service Types'!B14)</f>
        <v>CPFS - Assessment and Tax</v>
      </c>
      <c r="D83" s="5" t="n">
        <f aca="false">IF('Service Types'!E14="","",'Service Types'!E14)</f>
        <v>1197</v>
      </c>
      <c r="E83" s="5" t="n">
        <f aca="false">IF('Service Types'!D14="","",'Service Types'!D14)</f>
        <v>2922</v>
      </c>
      <c r="F83" s="5" t="n">
        <f aca="false">IF('Service Types'!F14="","",'Service Types'!F14)</f>
        <v>9</v>
      </c>
      <c r="G83" s="5" t="n">
        <f aca="false">IF('Service Types'!G14="","",'Service Types'!G14)</f>
        <v>0</v>
      </c>
      <c r="H83" s="5" t="n">
        <f aca="false">IF('Service Types'!H14="","",'Service Types'!H14)</f>
        <v>2913</v>
      </c>
      <c r="I83" s="6" t="n">
        <f aca="false">IF('Service Types'!I14="","",'Service Types'!I14)</f>
        <v>3</v>
      </c>
      <c r="J83" s="6" t="n">
        <f aca="false">IF('Service Types'!J14="","",'Service Types'!J14)</f>
        <v>4.2</v>
      </c>
      <c r="K83" s="6" t="n">
        <f aca="false">IF('Service Types'!K14="","",'Service Types'!K14)</f>
        <v>7</v>
      </c>
    </row>
    <row r="84" customFormat="false" ht="15" hidden="false" customHeight="false" outlineLevel="0" collapsed="false">
      <c r="A84" s="16" t="n">
        <v>83</v>
      </c>
      <c r="B84" s="4" t="s">
        <v>263</v>
      </c>
      <c r="C84" s="4" t="str">
        <f aca="false">IF('Service Types'!B218="","",'Service Types'!B218)</f>
        <v>CS - Recreation and Social Programs</v>
      </c>
      <c r="D84" s="5" t="n">
        <f aca="false">IF('Service Types'!E218="","",'Service Types'!E218)</f>
        <v>1150</v>
      </c>
      <c r="E84" s="5" t="n">
        <f aca="false">IF('Service Types'!D218="","",'Service Types'!D218)</f>
        <v>4346</v>
      </c>
      <c r="F84" s="5" t="n">
        <f aca="false">IF('Service Types'!F218="","",'Service Types'!F218)</f>
        <v>7</v>
      </c>
      <c r="G84" s="5" t="n">
        <f aca="false">IF('Service Types'!G218="","",'Service Types'!G218)</f>
        <v>6</v>
      </c>
      <c r="H84" s="5" t="n">
        <f aca="false">IF('Service Types'!H218="","",'Service Types'!H218)</f>
        <v>4339</v>
      </c>
      <c r="I84" s="6" t="n">
        <f aca="false">IF('Service Types'!I218="","",'Service Types'!I218)</f>
        <v>12</v>
      </c>
      <c r="J84" s="6" t="n">
        <f aca="false">IF('Service Types'!J218="","",'Service Types'!J218)</f>
        <v>24</v>
      </c>
      <c r="K84" s="6" t="n">
        <f aca="false">IF('Service Types'!K218="","",'Service Types'!K218)</f>
        <v>51</v>
      </c>
    </row>
    <row r="85" customFormat="false" ht="15" hidden="false" customHeight="false" outlineLevel="0" collapsed="false">
      <c r="A85" s="16" t="n">
        <v>84</v>
      </c>
      <c r="B85" s="4" t="s">
        <v>794</v>
      </c>
      <c r="C85" s="4" t="str">
        <f aca="false">IF('Service Types'!B711="","",'Service Types'!B711)</f>
        <v>PICS - Human Resources</v>
      </c>
      <c r="D85" s="5" t="n">
        <f aca="false">IF('Service Types'!E711="","",'Service Types'!E711)</f>
        <v>1083</v>
      </c>
      <c r="E85" s="5" t="n">
        <f aca="false">IF('Service Types'!D711="","",'Service Types'!D711)</f>
        <v>4611</v>
      </c>
      <c r="F85" s="5" t="n">
        <f aca="false">IF('Service Types'!F711="","",'Service Types'!F711)</f>
        <v>46</v>
      </c>
      <c r="G85" s="5" t="n">
        <f aca="false">IF('Service Types'!G711="","",'Service Types'!G711)</f>
        <v>34</v>
      </c>
      <c r="H85" s="5" t="n">
        <f aca="false">IF('Service Types'!H711="","",'Service Types'!H711)</f>
        <v>4565</v>
      </c>
      <c r="I85" s="6" t="n">
        <f aca="false">IF('Service Types'!I711="","",'Service Types'!I711)</f>
        <v>0</v>
      </c>
      <c r="J85" s="6" t="n">
        <f aca="false">IF('Service Types'!J711="","",'Service Types'!J711)</f>
        <v>1.5</v>
      </c>
      <c r="K85" s="6" t="n">
        <f aca="false">IF('Service Types'!K711="","",'Service Types'!K711)</f>
        <v>4</v>
      </c>
    </row>
    <row r="86" customFormat="false" ht="15" hidden="false" customHeight="false" outlineLevel="0" collapsed="false">
      <c r="A86" s="16" t="n">
        <v>85</v>
      </c>
      <c r="B86" s="4" t="s">
        <v>621</v>
      </c>
      <c r="C86" s="4" t="str">
        <f aca="false">IF('Service Types'!B553="","",'Service Types'!B553)</f>
        <v>OS - Water Services</v>
      </c>
      <c r="D86" s="5" t="n">
        <f aca="false">IF('Service Types'!E553="","",'Service Types'!E553)</f>
        <v>1083</v>
      </c>
      <c r="E86" s="5" t="n">
        <f aca="false">IF('Service Types'!D553="","",'Service Types'!D553)</f>
        <v>2024</v>
      </c>
      <c r="F86" s="5" t="n">
        <f aca="false">IF('Service Types'!F553="","",'Service Types'!F553)</f>
        <v>11</v>
      </c>
      <c r="G86" s="5" t="n">
        <f aca="false">IF('Service Types'!G553="","",'Service Types'!G553)</f>
        <v>4</v>
      </c>
      <c r="H86" s="5" t="n">
        <f aca="false">IF('Service Types'!H553="","",'Service Types'!H553)</f>
        <v>2013</v>
      </c>
      <c r="I86" s="6" t="n">
        <f aca="false">IF('Service Types'!I553="","",'Service Types'!I553)</f>
        <v>1</v>
      </c>
      <c r="J86" s="6" t="n">
        <f aca="false">IF('Service Types'!J553="","",'Service Types'!J553)</f>
        <v>3.8</v>
      </c>
      <c r="K86" s="6" t="n">
        <f aca="false">IF('Service Types'!K553="","",'Service Types'!K553)</f>
        <v>5</v>
      </c>
    </row>
    <row r="87" customFormat="false" ht="15" hidden="false" customHeight="false" outlineLevel="0" collapsed="false">
      <c r="A87" s="16" t="n">
        <v>86</v>
      </c>
      <c r="B87" s="4" t="s">
        <v>48</v>
      </c>
      <c r="C87" s="4" t="str">
        <f aca="false">IF('Service Types'!B16="","",'Service Types'!B16)</f>
        <v>CPFS - Assessment and Tax</v>
      </c>
      <c r="D87" s="5" t="n">
        <f aca="false">IF('Service Types'!E16="","",'Service Types'!E16)</f>
        <v>1071</v>
      </c>
      <c r="E87" s="5" t="n">
        <f aca="false">IF('Service Types'!D16="","",'Service Types'!D16)</f>
        <v>2170</v>
      </c>
      <c r="F87" s="5" t="n">
        <f aca="false">IF('Service Types'!F16="","",'Service Types'!F16)</f>
        <v>13</v>
      </c>
      <c r="G87" s="5" t="n">
        <f aca="false">IF('Service Types'!G16="","",'Service Types'!G16)</f>
        <v>1</v>
      </c>
      <c r="H87" s="5" t="n">
        <f aca="false">IF('Service Types'!H16="","",'Service Types'!H16)</f>
        <v>2157</v>
      </c>
      <c r="I87" s="6" t="n">
        <f aca="false">IF('Service Types'!I16="","",'Service Types'!I16)</f>
        <v>4</v>
      </c>
      <c r="J87" s="6" t="n">
        <f aca="false">IF('Service Types'!J16="","",'Service Types'!J16)</f>
        <v>7.5</v>
      </c>
      <c r="K87" s="6" t="n">
        <f aca="false">IF('Service Types'!K16="","",'Service Types'!K16)</f>
        <v>15</v>
      </c>
    </row>
    <row r="88" customFormat="false" ht="15" hidden="false" customHeight="false" outlineLevel="0" collapsed="false">
      <c r="A88" s="16" t="n">
        <v>87</v>
      </c>
      <c r="B88" s="4" t="s">
        <v>83</v>
      </c>
      <c r="C88" s="4" t="str">
        <f aca="false">IF('Service Types'!B44="","",'Service Types'!B44)</f>
        <v>CS - Calgary Fire</v>
      </c>
      <c r="D88" s="5" t="n">
        <f aca="false">IF('Service Types'!E44="","",'Service Types'!E44)</f>
        <v>1060</v>
      </c>
      <c r="E88" s="5" t="n">
        <f aca="false">IF('Service Types'!D44="","",'Service Types'!D44)</f>
        <v>4895</v>
      </c>
      <c r="F88" s="5" t="n">
        <f aca="false">IF('Service Types'!F44="","",'Service Types'!F44)</f>
        <v>29</v>
      </c>
      <c r="G88" s="5" t="n">
        <f aca="false">IF('Service Types'!G44="","",'Service Types'!G44)</f>
        <v>11</v>
      </c>
      <c r="H88" s="5" t="n">
        <f aca="false">IF('Service Types'!H44="","",'Service Types'!H44)</f>
        <v>4866</v>
      </c>
      <c r="I88" s="6" t="n">
        <f aca="false">IF('Service Types'!I44="","",'Service Types'!I44)</f>
        <v>2</v>
      </c>
      <c r="J88" s="6" t="n">
        <f aca="false">IF('Service Types'!J44="","",'Service Types'!J44)</f>
        <v>8.9</v>
      </c>
      <c r="K88" s="6" t="n">
        <f aca="false">IF('Service Types'!K44="","",'Service Types'!K44)</f>
        <v>10</v>
      </c>
    </row>
    <row r="89" customFormat="false" ht="15" hidden="false" customHeight="false" outlineLevel="0" collapsed="false">
      <c r="A89" s="16" t="n">
        <v>88</v>
      </c>
      <c r="B89" s="4" t="s">
        <v>409</v>
      </c>
      <c r="C89" s="4" t="str">
        <f aca="false">IF('Service Types'!B349="","",'Service Types'!B349)</f>
        <v>OS - Calgary Transit</v>
      </c>
      <c r="D89" s="5" t="n">
        <f aca="false">IF('Service Types'!E349="","",'Service Types'!E349)</f>
        <v>1044</v>
      </c>
      <c r="E89" s="5" t="n">
        <f aca="false">IF('Service Types'!D349="","",'Service Types'!D349)</f>
        <v>4336</v>
      </c>
      <c r="F89" s="5" t="n">
        <f aca="false">IF('Service Types'!F349="","",'Service Types'!F349)</f>
        <v>45</v>
      </c>
      <c r="G89" s="5" t="n">
        <f aca="false">IF('Service Types'!G349="","",'Service Types'!G349)</f>
        <v>3</v>
      </c>
      <c r="H89" s="5" t="n">
        <f aca="false">IF('Service Types'!H349="","",'Service Types'!H349)</f>
        <v>4291</v>
      </c>
      <c r="I89" s="6" t="n">
        <f aca="false">IF('Service Types'!I349="","",'Service Types'!I349)</f>
        <v>1</v>
      </c>
      <c r="J89" s="6" t="n">
        <f aca="false">IF('Service Types'!J349="","",'Service Types'!J349)</f>
        <v>2.3</v>
      </c>
      <c r="K89" s="6" t="n">
        <f aca="false">IF('Service Types'!K349="","",'Service Types'!K349)</f>
        <v>5</v>
      </c>
    </row>
    <row r="90" customFormat="false" ht="15" hidden="false" customHeight="false" outlineLevel="0" collapsed="false">
      <c r="A90" s="16" t="n">
        <v>89</v>
      </c>
      <c r="B90" s="4" t="s">
        <v>606</v>
      </c>
      <c r="C90" s="4" t="str">
        <f aca="false">IF('Service Types'!B538="","",'Service Types'!B538)</f>
        <v>OS - Water Services</v>
      </c>
      <c r="D90" s="5" t="n">
        <f aca="false">IF('Service Types'!E538="","",'Service Types'!E538)</f>
        <v>1043</v>
      </c>
      <c r="E90" s="5" t="n">
        <f aca="false">IF('Service Types'!D538="","",'Service Types'!D538)</f>
        <v>5592</v>
      </c>
      <c r="F90" s="5" t="n">
        <f aca="false">IF('Service Types'!F538="","",'Service Types'!F538)</f>
        <v>34</v>
      </c>
      <c r="G90" s="5" t="n">
        <f aca="false">IF('Service Types'!G538="","",'Service Types'!G538)</f>
        <v>2</v>
      </c>
      <c r="H90" s="5" t="n">
        <f aca="false">IF('Service Types'!H538="","",'Service Types'!H538)</f>
        <v>5557</v>
      </c>
      <c r="I90" s="6" t="n">
        <f aca="false">IF('Service Types'!I538="","",'Service Types'!I538)</f>
        <v>20</v>
      </c>
      <c r="J90" s="6" t="n">
        <f aca="false">IF('Service Types'!J538="","",'Service Types'!J538)</f>
        <v>58</v>
      </c>
      <c r="K90" s="6" t="n">
        <f aca="false">IF('Service Types'!K538="","",'Service Types'!K538)</f>
        <v>149</v>
      </c>
    </row>
    <row r="91" customFormat="false" ht="15" hidden="false" customHeight="false" outlineLevel="0" collapsed="false">
      <c r="A91" s="16" t="n">
        <v>90</v>
      </c>
      <c r="B91" s="4" t="s">
        <v>517</v>
      </c>
      <c r="C91" s="4" t="str">
        <f aca="false">IF('Service Types'!B452="","",'Service Types'!B452)</f>
        <v>OS - Parks and Open Spaces</v>
      </c>
      <c r="D91" s="5" t="n">
        <f aca="false">IF('Service Types'!E452="","",'Service Types'!E452)</f>
        <v>1040</v>
      </c>
      <c r="E91" s="5" t="n">
        <f aca="false">IF('Service Types'!D452="","",'Service Types'!D452)</f>
        <v>4726</v>
      </c>
      <c r="F91" s="5" t="n">
        <f aca="false">IF('Service Types'!F452="","",'Service Types'!F452)</f>
        <v>63</v>
      </c>
      <c r="G91" s="5" t="n">
        <f aca="false">IF('Service Types'!G452="","",'Service Types'!G452)</f>
        <v>27</v>
      </c>
      <c r="H91" s="5" t="n">
        <f aca="false">IF('Service Types'!H452="","",'Service Types'!H452)</f>
        <v>4663</v>
      </c>
      <c r="I91" s="6" t="n">
        <f aca="false">IF('Service Types'!I452="","",'Service Types'!I452)</f>
        <v>40</v>
      </c>
      <c r="J91" s="6" t="n">
        <f aca="false">IF('Service Types'!J452="","",'Service Types'!J452)</f>
        <v>61.4</v>
      </c>
      <c r="K91" s="6" t="n">
        <f aca="false">IF('Service Types'!K452="","",'Service Types'!K452)</f>
        <v>148</v>
      </c>
    </row>
    <row r="92" customFormat="false" ht="15" hidden="false" customHeight="false" outlineLevel="0" collapsed="false">
      <c r="A92" s="16" t="n">
        <v>91</v>
      </c>
      <c r="B92" s="4" t="s">
        <v>521</v>
      </c>
      <c r="C92" s="4" t="str">
        <f aca="false">IF('Service Types'!B456="","",'Service Types'!B456)</f>
        <v>OS - Parks and Open Spaces</v>
      </c>
      <c r="D92" s="5" t="n">
        <f aca="false">IF('Service Types'!E456="","",'Service Types'!E456)</f>
        <v>969</v>
      </c>
      <c r="E92" s="5" t="n">
        <f aca="false">IF('Service Types'!D456="","",'Service Types'!D456)</f>
        <v>2754</v>
      </c>
      <c r="F92" s="5" t="n">
        <f aca="false">IF('Service Types'!F456="","",'Service Types'!F456)</f>
        <v>54</v>
      </c>
      <c r="G92" s="5" t="n">
        <f aca="false">IF('Service Types'!G456="","",'Service Types'!G456)</f>
        <v>36</v>
      </c>
      <c r="H92" s="5" t="n">
        <f aca="false">IF('Service Types'!H456="","",'Service Types'!H456)</f>
        <v>2700</v>
      </c>
      <c r="I92" s="6" t="n">
        <f aca="false">IF('Service Types'!I456="","",'Service Types'!I456)</f>
        <v>2</v>
      </c>
      <c r="J92" s="6" t="n">
        <f aca="false">IF('Service Types'!J456="","",'Service Types'!J456)</f>
        <v>6.9</v>
      </c>
      <c r="K92" s="6" t="n">
        <f aca="false">IF('Service Types'!K456="","",'Service Types'!K456)</f>
        <v>8</v>
      </c>
    </row>
    <row r="93" customFormat="false" ht="15" hidden="false" customHeight="false" outlineLevel="0" collapsed="false">
      <c r="A93" s="16" t="n">
        <v>92</v>
      </c>
      <c r="B93" s="4" t="s">
        <v>84</v>
      </c>
      <c r="C93" s="4" t="str">
        <f aca="false">IF('Service Types'!B45="","",'Service Types'!B45)</f>
        <v>CS - Calgary Fire</v>
      </c>
      <c r="D93" s="5" t="n">
        <f aca="false">IF('Service Types'!E45="","",'Service Types'!E45)</f>
        <v>948</v>
      </c>
      <c r="E93" s="5" t="n">
        <f aca="false">IF('Service Types'!D45="","",'Service Types'!D45)</f>
        <v>4150</v>
      </c>
      <c r="F93" s="5" t="n">
        <f aca="false">IF('Service Types'!F45="","",'Service Types'!F45)</f>
        <v>38</v>
      </c>
      <c r="G93" s="5" t="n">
        <f aca="false">IF('Service Types'!G45="","",'Service Types'!G45)</f>
        <v>11</v>
      </c>
      <c r="H93" s="5" t="n">
        <f aca="false">IF('Service Types'!H45="","",'Service Types'!H45)</f>
        <v>4112</v>
      </c>
      <c r="I93" s="6" t="n">
        <f aca="false">IF('Service Types'!I45="","",'Service Types'!I45)</f>
        <v>8</v>
      </c>
      <c r="J93" s="6" t="n">
        <f aca="false">IF('Service Types'!J45="","",'Service Types'!J45)</f>
        <v>16.8</v>
      </c>
      <c r="K93" s="6" t="n">
        <f aca="false">IF('Service Types'!K45="","",'Service Types'!K45)</f>
        <v>35</v>
      </c>
    </row>
    <row r="94" customFormat="false" ht="15" hidden="false" customHeight="false" outlineLevel="0" collapsed="false">
      <c r="A94" s="16" t="n">
        <v>93</v>
      </c>
      <c r="B94" s="4" t="s">
        <v>652</v>
      </c>
      <c r="C94" s="4" t="str">
        <f aca="false">IF('Service Types'!B584="","",'Service Types'!B584)</f>
        <v>OSC - Calgary Transit</v>
      </c>
      <c r="D94" s="5" t="n">
        <f aca="false">IF('Service Types'!E584="","",'Service Types'!E584)</f>
        <v>939</v>
      </c>
      <c r="E94" s="5" t="n">
        <f aca="false">IF('Service Types'!D584="","",'Service Types'!D584)</f>
        <v>4100</v>
      </c>
      <c r="F94" s="5" t="n">
        <f aca="false">IF('Service Types'!F584="","",'Service Types'!F584)</f>
        <v>2</v>
      </c>
      <c r="G94" s="5" t="n">
        <f aca="false">IF('Service Types'!G584="","",'Service Types'!G584)</f>
        <v>1</v>
      </c>
      <c r="H94" s="5" t="n">
        <f aca="false">IF('Service Types'!H584="","",'Service Types'!H584)</f>
        <v>4098</v>
      </c>
      <c r="I94" s="6" t="n">
        <f aca="false">IF('Service Types'!I584="","",'Service Types'!I584)</f>
        <v>1</v>
      </c>
      <c r="J94" s="6" t="n">
        <f aca="false">IF('Service Types'!J584="","",'Service Types'!J584)</f>
        <v>1.3</v>
      </c>
      <c r="K94" s="6" t="n">
        <f aca="false">IF('Service Types'!K584="","",'Service Types'!K584)</f>
        <v>3</v>
      </c>
    </row>
    <row r="95" customFormat="false" ht="15" hidden="false" customHeight="false" outlineLevel="0" collapsed="false">
      <c r="A95" s="16" t="n">
        <v>94</v>
      </c>
      <c r="B95" s="4" t="s">
        <v>607</v>
      </c>
      <c r="C95" s="4" t="str">
        <f aca="false">IF('Service Types'!B539="","",'Service Types'!B539)</f>
        <v>OS - Water Services</v>
      </c>
      <c r="D95" s="5" t="n">
        <f aca="false">IF('Service Types'!E539="","",'Service Types'!E539)</f>
        <v>937</v>
      </c>
      <c r="E95" s="5" t="n">
        <f aca="false">IF('Service Types'!D539="","",'Service Types'!D539)</f>
        <v>4107</v>
      </c>
      <c r="F95" s="5" t="n">
        <f aca="false">IF('Service Types'!F539="","",'Service Types'!F539)</f>
        <v>15</v>
      </c>
      <c r="G95" s="5" t="n">
        <f aca="false">IF('Service Types'!G539="","",'Service Types'!G539)</f>
        <v>6</v>
      </c>
      <c r="H95" s="5" t="n">
        <f aca="false">IF('Service Types'!H539="","",'Service Types'!H539)</f>
        <v>3390</v>
      </c>
      <c r="I95" s="6" t="n">
        <f aca="false">IF('Service Types'!I539="","",'Service Types'!I539)</f>
        <v>1</v>
      </c>
      <c r="J95" s="6" t="n">
        <f aca="false">IF('Service Types'!J539="","",'Service Types'!J539)</f>
        <v>2.9</v>
      </c>
      <c r="K95" s="6" t="n">
        <f aca="false">IF('Service Types'!K539="","",'Service Types'!K539)</f>
        <v>3</v>
      </c>
    </row>
    <row r="96" customFormat="false" ht="15" hidden="false" customHeight="false" outlineLevel="0" collapsed="false">
      <c r="A96" s="16" t="n">
        <v>95</v>
      </c>
      <c r="B96" s="4" t="s">
        <v>269</v>
      </c>
      <c r="C96" s="4" t="str">
        <f aca="false">IF('Service Types'!B224="","",'Service Types'!B224)</f>
        <v>CS - Recreation and Social Programs</v>
      </c>
      <c r="D96" s="5" t="n">
        <f aca="false">IF('Service Types'!E224="","",'Service Types'!E224)</f>
        <v>931</v>
      </c>
      <c r="E96" s="5" t="n">
        <f aca="false">IF('Service Types'!D224="","",'Service Types'!D224)</f>
        <v>1229</v>
      </c>
      <c r="F96" s="5" t="n">
        <f aca="false">IF('Service Types'!F224="","",'Service Types'!F224)</f>
        <v>0</v>
      </c>
      <c r="G96" s="5" t="n">
        <f aca="false">IF('Service Types'!G224="","",'Service Types'!G224)</f>
        <v>0</v>
      </c>
      <c r="H96" s="5" t="n">
        <f aca="false">IF('Service Types'!H224="","",'Service Types'!H224)</f>
        <v>1229</v>
      </c>
      <c r="I96" s="6" t="n">
        <f aca="false">IF('Service Types'!I224="","",'Service Types'!I224)</f>
        <v>2</v>
      </c>
      <c r="J96" s="6" t="n">
        <f aca="false">IF('Service Types'!J224="","",'Service Types'!J224)</f>
        <v>3.3</v>
      </c>
      <c r="K96" s="6" t="n">
        <f aca="false">IF('Service Types'!K224="","",'Service Types'!K224)</f>
        <v>6</v>
      </c>
    </row>
    <row r="97" customFormat="false" ht="15" hidden="false" customHeight="false" outlineLevel="0" collapsed="false">
      <c r="A97" s="16" t="n">
        <v>96</v>
      </c>
      <c r="B97" s="4" t="s">
        <v>450</v>
      </c>
      <c r="C97" s="4" t="str">
        <f aca="false">IF('Service Types'!B387="","",'Service Types'!B387)</f>
        <v>OS - Mobility</v>
      </c>
      <c r="D97" s="5" t="n">
        <f aca="false">IF('Service Types'!E387="","",'Service Types'!E387)</f>
        <v>930</v>
      </c>
      <c r="E97" s="5" t="n">
        <f aca="false">IF('Service Types'!D387="","",'Service Types'!D387)</f>
        <v>4893</v>
      </c>
      <c r="F97" s="5" t="n">
        <f aca="false">IF('Service Types'!F387="","",'Service Types'!F387)</f>
        <v>351</v>
      </c>
      <c r="G97" s="5" t="n">
        <f aca="false">IF('Service Types'!G387="","",'Service Types'!G387)</f>
        <v>351</v>
      </c>
      <c r="H97" s="5" t="n">
        <f aca="false">IF('Service Types'!H387="","",'Service Types'!H387)</f>
        <v>4218</v>
      </c>
      <c r="I97" s="6" t="n">
        <f aca="false">IF('Service Types'!I387="","",'Service Types'!I387)</f>
        <v>2</v>
      </c>
      <c r="J97" s="6" t="n">
        <f aca="false">IF('Service Types'!J387="","",'Service Types'!J387)</f>
        <v>23.2</v>
      </c>
      <c r="K97" s="6" t="n">
        <f aca="false">IF('Service Types'!K387="","",'Service Types'!K387)</f>
        <v>53</v>
      </c>
    </row>
    <row r="98" customFormat="false" ht="15" hidden="false" customHeight="false" outlineLevel="0" collapsed="false">
      <c r="A98" s="16" t="n">
        <v>97</v>
      </c>
      <c r="B98" s="4" t="s">
        <v>453</v>
      </c>
      <c r="C98" s="4" t="str">
        <f aca="false">IF('Service Types'!B390="","",'Service Types'!B390)</f>
        <v>OS - Mobility</v>
      </c>
      <c r="D98" s="5" t="n">
        <f aca="false">IF('Service Types'!E390="","",'Service Types'!E390)</f>
        <v>911</v>
      </c>
      <c r="E98" s="5" t="n">
        <f aca="false">IF('Service Types'!D390="","",'Service Types'!D390)</f>
        <v>4548</v>
      </c>
      <c r="F98" s="5" t="n">
        <f aca="false">IF('Service Types'!F390="","",'Service Types'!F390)</f>
        <v>453</v>
      </c>
      <c r="G98" s="5" t="n">
        <f aca="false">IF('Service Types'!G390="","",'Service Types'!G390)</f>
        <v>402</v>
      </c>
      <c r="H98" s="5" t="n">
        <f aca="false">IF('Service Types'!H390="","",'Service Types'!H390)</f>
        <v>3784</v>
      </c>
      <c r="I98" s="6" t="n">
        <f aca="false">IF('Service Types'!I390="","",'Service Types'!I390)</f>
        <v>3</v>
      </c>
      <c r="J98" s="6" t="n">
        <f aca="false">IF('Service Types'!J390="","",'Service Types'!J390)</f>
        <v>50.8</v>
      </c>
      <c r="K98" s="6" t="n">
        <f aca="false">IF('Service Types'!K390="","",'Service Types'!K390)</f>
        <v>157</v>
      </c>
    </row>
    <row r="99" customFormat="false" ht="15" hidden="false" customHeight="false" outlineLevel="0" collapsed="false">
      <c r="A99" s="16" t="n">
        <v>98</v>
      </c>
      <c r="B99" s="4" t="s">
        <v>66</v>
      </c>
      <c r="C99" s="4" t="str">
        <f aca="false">IF('Service Types'!B32="","",'Service Types'!B32)</f>
        <v>CPFS - Finance</v>
      </c>
      <c r="D99" s="5" t="n">
        <f aca="false">IF('Service Types'!E32="","",'Service Types'!E32)</f>
        <v>910</v>
      </c>
      <c r="E99" s="5" t="n">
        <f aca="false">IF('Service Types'!D32="","",'Service Types'!D32)</f>
        <v>3430</v>
      </c>
      <c r="F99" s="5" t="n">
        <f aca="false">IF('Service Types'!F32="","",'Service Types'!F32)</f>
        <v>2</v>
      </c>
      <c r="G99" s="5" t="n">
        <f aca="false">IF('Service Types'!G32="","",'Service Types'!G32)</f>
        <v>0</v>
      </c>
      <c r="H99" s="5" t="n">
        <f aca="false">IF('Service Types'!H32="","",'Service Types'!H32)</f>
        <v>3428</v>
      </c>
      <c r="I99" s="6" t="n">
        <f aca="false">IF('Service Types'!I32="","",'Service Types'!I32)</f>
        <v>1</v>
      </c>
      <c r="J99" s="6" t="n">
        <f aca="false">IF('Service Types'!J32="","",'Service Types'!J32)</f>
        <v>2.3</v>
      </c>
      <c r="K99" s="6" t="n">
        <f aca="false">IF('Service Types'!K32="","",'Service Types'!K32)</f>
        <v>4</v>
      </c>
    </row>
    <row r="100" customFormat="false" ht="15" hidden="false" customHeight="false" outlineLevel="0" collapsed="false">
      <c r="A100" s="16" t="n">
        <v>99</v>
      </c>
      <c r="B100" s="4" t="s">
        <v>609</v>
      </c>
      <c r="C100" s="4" t="str">
        <f aca="false">IF('Service Types'!B541="","",'Service Types'!B541)</f>
        <v>OS - Water Services</v>
      </c>
      <c r="D100" s="5" t="n">
        <f aca="false">IF('Service Types'!E541="","",'Service Types'!E541)</f>
        <v>908</v>
      </c>
      <c r="E100" s="5" t="n">
        <f aca="false">IF('Service Types'!D541="","",'Service Types'!D541)</f>
        <v>3720</v>
      </c>
      <c r="F100" s="5" t="n">
        <f aca="false">IF('Service Types'!F541="","",'Service Types'!F541)</f>
        <v>21</v>
      </c>
      <c r="G100" s="5" t="n">
        <f aca="false">IF('Service Types'!G541="","",'Service Types'!G541)</f>
        <v>11</v>
      </c>
      <c r="H100" s="5" t="n">
        <f aca="false">IF('Service Types'!H541="","",'Service Types'!H541)</f>
        <v>3699</v>
      </c>
      <c r="I100" s="6" t="n">
        <f aca="false">IF('Service Types'!I541="","",'Service Types'!I541)</f>
        <v>3</v>
      </c>
      <c r="J100" s="6" t="n">
        <f aca="false">IF('Service Types'!J541="","",'Service Types'!J541)</f>
        <v>13.7</v>
      </c>
      <c r="K100" s="6" t="n">
        <f aca="false">IF('Service Types'!K541="","",'Service Types'!K541)</f>
        <v>29</v>
      </c>
    </row>
    <row r="101" customFormat="false" ht="15" hidden="false" customHeight="false" outlineLevel="0" collapsed="false">
      <c r="A101" s="16" t="n">
        <v>100</v>
      </c>
      <c r="B101" s="4" t="s">
        <v>608</v>
      </c>
      <c r="C101" s="4" t="str">
        <f aca="false">IF('Service Types'!B540="","",'Service Types'!B540)</f>
        <v>OS - Water Services</v>
      </c>
      <c r="D101" s="5" t="n">
        <f aca="false">IF('Service Types'!E540="","",'Service Types'!E540)</f>
        <v>900</v>
      </c>
      <c r="E101" s="5" t="n">
        <f aca="false">IF('Service Types'!D540="","",'Service Types'!D540)</f>
        <v>3870</v>
      </c>
      <c r="F101" s="5" t="n">
        <f aca="false">IF('Service Types'!F540="","",'Service Types'!F540)</f>
        <v>35</v>
      </c>
      <c r="G101" s="5" t="n">
        <f aca="false">IF('Service Types'!G540="","",'Service Types'!G540)</f>
        <v>5</v>
      </c>
      <c r="H101" s="5" t="n">
        <f aca="false">IF('Service Types'!H540="","",'Service Types'!H540)</f>
        <v>3831</v>
      </c>
      <c r="I101" s="6" t="n">
        <f aca="false">IF('Service Types'!I540="","",'Service Types'!I540)</f>
        <v>9</v>
      </c>
      <c r="J101" s="6" t="n">
        <f aca="false">IF('Service Types'!J540="","",'Service Types'!J540)</f>
        <v>56.4</v>
      </c>
      <c r="K101" s="6" t="n">
        <f aca="false">IF('Service Types'!K540="","",'Service Types'!K540)</f>
        <v>170</v>
      </c>
    </row>
    <row r="102" customFormat="false" ht="15" hidden="false" customHeight="false" outlineLevel="0" collapsed="false">
      <c r="A102" s="16" t="n">
        <v>101</v>
      </c>
      <c r="B102" s="4" t="s">
        <v>182</v>
      </c>
      <c r="C102" s="4" t="str">
        <f aca="false">IF('Service Types'!B139="","",'Service Types'!B139)</f>
        <v>CS - Emergency Management and Community Safety</v>
      </c>
      <c r="D102" s="5" t="n">
        <f aca="false">IF('Service Types'!E139="","",'Service Types'!E139)</f>
        <v>867</v>
      </c>
      <c r="E102" s="5" t="n">
        <f aca="false">IF('Service Types'!D139="","",'Service Types'!D139)</f>
        <v>3513</v>
      </c>
      <c r="F102" s="5" t="n">
        <f aca="false">IF('Service Types'!F139="","",'Service Types'!F139)</f>
        <v>15</v>
      </c>
      <c r="G102" s="5" t="n">
        <f aca="false">IF('Service Types'!G139="","",'Service Types'!G139)</f>
        <v>9</v>
      </c>
      <c r="H102" s="5" t="n">
        <f aca="false">IF('Service Types'!H139="","",'Service Types'!H139)</f>
        <v>3498</v>
      </c>
      <c r="I102" s="6" t="n">
        <f aca="false">IF('Service Types'!I139="","",'Service Types'!I139)</f>
        <v>0</v>
      </c>
      <c r="J102" s="6" t="n">
        <f aca="false">IF('Service Types'!J139="","",'Service Types'!J139)</f>
        <v>0.9</v>
      </c>
      <c r="K102" s="6" t="n">
        <f aca="false">IF('Service Types'!K139="","",'Service Types'!K139)</f>
        <v>2</v>
      </c>
    </row>
    <row r="103" customFormat="false" ht="15" hidden="false" customHeight="false" outlineLevel="0" collapsed="false">
      <c r="A103" s="16" t="n">
        <v>102</v>
      </c>
      <c r="B103" s="4" t="s">
        <v>455</v>
      </c>
      <c r="C103" s="4" t="str">
        <f aca="false">IF('Service Types'!B392="","",'Service Types'!B392)</f>
        <v>OS - Mobility</v>
      </c>
      <c r="D103" s="5" t="n">
        <f aca="false">IF('Service Types'!E392="","",'Service Types'!E392)</f>
        <v>856</v>
      </c>
      <c r="E103" s="5" t="n">
        <f aca="false">IF('Service Types'!D392="","",'Service Types'!D392)</f>
        <v>3438</v>
      </c>
      <c r="F103" s="5" t="n">
        <f aca="false">IF('Service Types'!F392="","",'Service Types'!F392)</f>
        <v>46</v>
      </c>
      <c r="G103" s="5" t="n">
        <f aca="false">IF('Service Types'!G392="","",'Service Types'!G392)</f>
        <v>42</v>
      </c>
      <c r="H103" s="5" t="n">
        <f aca="false">IF('Service Types'!H392="","",'Service Types'!H392)</f>
        <v>3392</v>
      </c>
      <c r="I103" s="6" t="n">
        <f aca="false">IF('Service Types'!I392="","",'Service Types'!I392)</f>
        <v>2</v>
      </c>
      <c r="J103" s="6" t="n">
        <f aca="false">IF('Service Types'!J392="","",'Service Types'!J392)</f>
        <v>4.2</v>
      </c>
      <c r="K103" s="6" t="n">
        <f aca="false">IF('Service Types'!K392="","",'Service Types'!K392)</f>
        <v>9</v>
      </c>
    </row>
    <row r="104" customFormat="false" ht="15" hidden="false" customHeight="false" outlineLevel="0" collapsed="false">
      <c r="A104" s="16" t="n">
        <v>103</v>
      </c>
      <c r="B104" s="4" t="s">
        <v>715</v>
      </c>
      <c r="C104" s="4" t="str">
        <f aca="false">IF('Service Types'!B637="","",'Service Types'!B637)</f>
        <v>PDS - Development, Business and Building Services</v>
      </c>
      <c r="D104" s="5" t="n">
        <f aca="false">IF('Service Types'!E637="","",'Service Types'!E637)</f>
        <v>832</v>
      </c>
      <c r="E104" s="5" t="n">
        <f aca="false">IF('Service Types'!D637="","",'Service Types'!D637)</f>
        <v>3703</v>
      </c>
      <c r="F104" s="5" t="n">
        <f aca="false">IF('Service Types'!F637="","",'Service Types'!F637)</f>
        <v>16</v>
      </c>
      <c r="G104" s="5" t="n">
        <f aca="false">IF('Service Types'!G637="","",'Service Types'!G637)</f>
        <v>1</v>
      </c>
      <c r="H104" s="5" t="n">
        <f aca="false">IF('Service Types'!H637="","",'Service Types'!H637)</f>
        <v>3679</v>
      </c>
      <c r="I104" s="6" t="n">
        <f aca="false">IF('Service Types'!I637="","",'Service Types'!I637)</f>
        <v>2</v>
      </c>
      <c r="J104" s="6" t="n">
        <f aca="false">IF('Service Types'!J637="","",'Service Types'!J637)</f>
        <v>22.6</v>
      </c>
      <c r="K104" s="6" t="n">
        <f aca="false">IF('Service Types'!K637="","",'Service Types'!K637)</f>
        <v>41</v>
      </c>
    </row>
    <row r="105" customFormat="false" ht="15" hidden="false" customHeight="false" outlineLevel="0" collapsed="false">
      <c r="A105" s="16" t="n">
        <v>104</v>
      </c>
      <c r="B105" s="4" t="s">
        <v>183</v>
      </c>
      <c r="C105" s="4" t="str">
        <f aca="false">IF('Service Types'!B140="","",'Service Types'!B140)</f>
        <v>CS - Emergency Management and Community Safety</v>
      </c>
      <c r="D105" s="5" t="n">
        <f aca="false">IF('Service Types'!E140="","",'Service Types'!E140)</f>
        <v>811</v>
      </c>
      <c r="E105" s="5" t="n">
        <f aca="false">IF('Service Types'!D140="","",'Service Types'!D140)</f>
        <v>3450</v>
      </c>
      <c r="F105" s="5" t="n">
        <f aca="false">IF('Service Types'!F140="","",'Service Types'!F140)</f>
        <v>28</v>
      </c>
      <c r="G105" s="5" t="n">
        <f aca="false">IF('Service Types'!G140="","",'Service Types'!G140)</f>
        <v>22</v>
      </c>
      <c r="H105" s="5" t="n">
        <f aca="false">IF('Service Types'!H140="","",'Service Types'!H140)</f>
        <v>3422</v>
      </c>
      <c r="I105" s="6" t="n">
        <f aca="false">IF('Service Types'!I140="","",'Service Types'!I140)</f>
        <v>1</v>
      </c>
      <c r="J105" s="6" t="n">
        <f aca="false">IF('Service Types'!J140="","",'Service Types'!J140)</f>
        <v>1.4</v>
      </c>
      <c r="K105" s="6" t="n">
        <f aca="false">IF('Service Types'!K140="","",'Service Types'!K140)</f>
        <v>2</v>
      </c>
    </row>
    <row r="106" customFormat="false" ht="15" hidden="false" customHeight="false" outlineLevel="0" collapsed="false">
      <c r="A106" s="16" t="n">
        <v>105</v>
      </c>
      <c r="B106" s="4" t="s">
        <v>408</v>
      </c>
      <c r="C106" s="4" t="str">
        <f aca="false">IF('Service Types'!B348="","",'Service Types'!B348)</f>
        <v>OS - Calgary Transit</v>
      </c>
      <c r="D106" s="5" t="n">
        <f aca="false">IF('Service Types'!E348="","",'Service Types'!E348)</f>
        <v>798</v>
      </c>
      <c r="E106" s="5" t="n">
        <f aca="false">IF('Service Types'!D348="","",'Service Types'!D348)</f>
        <v>4404</v>
      </c>
      <c r="F106" s="5" t="n">
        <f aca="false">IF('Service Types'!F348="","",'Service Types'!F348)</f>
        <v>46</v>
      </c>
      <c r="G106" s="5" t="n">
        <f aca="false">IF('Service Types'!G348="","",'Service Types'!G348)</f>
        <v>7</v>
      </c>
      <c r="H106" s="5" t="n">
        <f aca="false">IF('Service Types'!H348="","",'Service Types'!H348)</f>
        <v>4358</v>
      </c>
      <c r="I106" s="6" t="n">
        <f aca="false">IF('Service Types'!I348="","",'Service Types'!I348)</f>
        <v>5</v>
      </c>
      <c r="J106" s="6" t="n">
        <f aca="false">IF('Service Types'!J348="","",'Service Types'!J348)</f>
        <v>8.6</v>
      </c>
      <c r="K106" s="6" t="n">
        <f aca="false">IF('Service Types'!K348="","",'Service Types'!K348)</f>
        <v>21</v>
      </c>
    </row>
    <row r="107" customFormat="false" ht="15" hidden="false" customHeight="false" outlineLevel="0" collapsed="false">
      <c r="A107" s="16" t="n">
        <v>106</v>
      </c>
      <c r="B107" s="4" t="s">
        <v>719</v>
      </c>
      <c r="C107" s="4" t="str">
        <f aca="false">IF('Service Types'!B641="","",'Service Types'!B641)</f>
        <v>PDS - Development, Business and Building Services</v>
      </c>
      <c r="D107" s="5" t="n">
        <f aca="false">IF('Service Types'!E641="","",'Service Types'!E641)</f>
        <v>797</v>
      </c>
      <c r="E107" s="5" t="n">
        <f aca="false">IF('Service Types'!D641="","",'Service Types'!D641)</f>
        <v>3510</v>
      </c>
      <c r="F107" s="5" t="n">
        <f aca="false">IF('Service Types'!F641="","",'Service Types'!F641)</f>
        <v>4</v>
      </c>
      <c r="G107" s="5" t="n">
        <f aca="false">IF('Service Types'!G641="","",'Service Types'!G641)</f>
        <v>0</v>
      </c>
      <c r="H107" s="5" t="n">
        <f aca="false">IF('Service Types'!H641="","",'Service Types'!H641)</f>
        <v>3506</v>
      </c>
      <c r="I107" s="6" t="n">
        <f aca="false">IF('Service Types'!I641="","",'Service Types'!I641)</f>
        <v>0</v>
      </c>
      <c r="J107" s="6" t="n">
        <f aca="false">IF('Service Types'!J641="","",'Service Types'!J641)</f>
        <v>7.3</v>
      </c>
      <c r="K107" s="6" t="n">
        <f aca="false">IF('Service Types'!K641="","",'Service Types'!K641)</f>
        <v>3</v>
      </c>
    </row>
    <row r="108" customFormat="false" ht="15" hidden="false" customHeight="false" outlineLevel="0" collapsed="false">
      <c r="A108" s="16" t="n">
        <v>107</v>
      </c>
      <c r="B108" s="4" t="s">
        <v>410</v>
      </c>
      <c r="C108" s="4" t="str">
        <f aca="false">IF('Service Types'!B350="","",'Service Types'!B350)</f>
        <v>OS - Calgary Transit</v>
      </c>
      <c r="D108" s="5" t="n">
        <f aca="false">IF('Service Types'!E350="","",'Service Types'!E350)</f>
        <v>794</v>
      </c>
      <c r="E108" s="5" t="n">
        <f aca="false">IF('Service Types'!D350="","",'Service Types'!D350)</f>
        <v>4005</v>
      </c>
      <c r="F108" s="5" t="n">
        <f aca="false">IF('Service Types'!F350="","",'Service Types'!F350)</f>
        <v>118</v>
      </c>
      <c r="G108" s="5" t="n">
        <f aca="false">IF('Service Types'!G350="","",'Service Types'!G350)</f>
        <v>19</v>
      </c>
      <c r="H108" s="5" t="n">
        <f aca="false">IF('Service Types'!H350="","",'Service Types'!H350)</f>
        <v>3887</v>
      </c>
      <c r="I108" s="6" t="n">
        <f aca="false">IF('Service Types'!I350="","",'Service Types'!I350)</f>
        <v>7</v>
      </c>
      <c r="J108" s="6" t="n">
        <f aca="false">IF('Service Types'!J350="","",'Service Types'!J350)</f>
        <v>16.5</v>
      </c>
      <c r="K108" s="6" t="n">
        <f aca="false">IF('Service Types'!K350="","",'Service Types'!K350)</f>
        <v>42</v>
      </c>
    </row>
    <row r="109" customFormat="false" ht="15" hidden="false" customHeight="false" outlineLevel="0" collapsed="false">
      <c r="A109" s="16" t="n">
        <v>108</v>
      </c>
      <c r="B109" s="4" t="s">
        <v>614</v>
      </c>
      <c r="C109" s="4" t="str">
        <f aca="false">IF('Service Types'!B546="","",'Service Types'!B546)</f>
        <v>OS - Water Services</v>
      </c>
      <c r="D109" s="5" t="n">
        <f aca="false">IF('Service Types'!E546="","",'Service Types'!E546)</f>
        <v>791</v>
      </c>
      <c r="E109" s="5" t="n">
        <f aca="false">IF('Service Types'!D546="","",'Service Types'!D546)</f>
        <v>3091</v>
      </c>
      <c r="F109" s="5" t="n">
        <f aca="false">IF('Service Types'!F546="","",'Service Types'!F546)</f>
        <v>12</v>
      </c>
      <c r="G109" s="5" t="n">
        <f aca="false">IF('Service Types'!G546="","",'Service Types'!G546)</f>
        <v>9</v>
      </c>
      <c r="H109" s="5" t="n">
        <f aca="false">IF('Service Types'!H546="","",'Service Types'!H546)</f>
        <v>3079</v>
      </c>
      <c r="I109" s="6" t="n">
        <f aca="false">IF('Service Types'!I546="","",'Service Types'!I546)</f>
        <v>1</v>
      </c>
      <c r="J109" s="6" t="n">
        <f aca="false">IF('Service Types'!J546="","",'Service Types'!J546)</f>
        <v>4.6</v>
      </c>
      <c r="K109" s="6" t="n">
        <f aca="false">IF('Service Types'!K546="","",'Service Types'!K546)</f>
        <v>3</v>
      </c>
    </row>
    <row r="110" customFormat="false" ht="15" hidden="false" customHeight="false" outlineLevel="0" collapsed="false">
      <c r="A110" s="16" t="n">
        <v>109</v>
      </c>
      <c r="B110" s="4" t="s">
        <v>454</v>
      </c>
      <c r="C110" s="4" t="str">
        <f aca="false">IF('Service Types'!B391="","",'Service Types'!B391)</f>
        <v>OS - Mobility</v>
      </c>
      <c r="D110" s="5" t="n">
        <f aca="false">IF('Service Types'!E391="","",'Service Types'!E391)</f>
        <v>780</v>
      </c>
      <c r="E110" s="5" t="n">
        <f aca="false">IF('Service Types'!D391="","",'Service Types'!D391)</f>
        <v>4346</v>
      </c>
      <c r="F110" s="5" t="n">
        <f aca="false">IF('Service Types'!F391="","",'Service Types'!F391)</f>
        <v>2071</v>
      </c>
      <c r="G110" s="5" t="n">
        <f aca="false">IF('Service Types'!G391="","",'Service Types'!G391)</f>
        <v>2071</v>
      </c>
      <c r="H110" s="5" t="n">
        <f aca="false">IF('Service Types'!H391="","",'Service Types'!H391)</f>
        <v>2265</v>
      </c>
      <c r="I110" s="6" t="n">
        <f aca="false">IF('Service Types'!I391="","",'Service Types'!I391)</f>
        <v>325</v>
      </c>
      <c r="J110" s="6" t="n">
        <f aca="false">IF('Service Types'!J391="","",'Service Types'!J391)</f>
        <v>309.6</v>
      </c>
      <c r="K110" s="6" t="n">
        <f aca="false">IF('Service Types'!K391="","",'Service Types'!K391)</f>
        <v>586</v>
      </c>
    </row>
    <row r="111" customFormat="false" ht="15" hidden="false" customHeight="false" outlineLevel="0" collapsed="false">
      <c r="A111" s="16" t="n">
        <v>110</v>
      </c>
      <c r="B111" s="4" t="s">
        <v>726</v>
      </c>
      <c r="C111" s="4" t="str">
        <f aca="false">IF('Service Types'!B648="","",'Service Types'!B648)</f>
        <v>PDS - Development, Business and Building Services</v>
      </c>
      <c r="D111" s="5" t="n">
        <f aca="false">IF('Service Types'!E648="","",'Service Types'!E648)</f>
        <v>763</v>
      </c>
      <c r="E111" s="5" t="n">
        <f aca="false">IF('Service Types'!D648="","",'Service Types'!D648)</f>
        <v>2966</v>
      </c>
      <c r="F111" s="5" t="n">
        <f aca="false">IF('Service Types'!F648="","",'Service Types'!F648)</f>
        <v>6</v>
      </c>
      <c r="G111" s="5" t="n">
        <f aca="false">IF('Service Types'!G648="","",'Service Types'!G648)</f>
        <v>0</v>
      </c>
      <c r="H111" s="5" t="n">
        <f aca="false">IF('Service Types'!H648="","",'Service Types'!H648)</f>
        <v>2960</v>
      </c>
      <c r="I111" s="6" t="n">
        <f aca="false">IF('Service Types'!I648="","",'Service Types'!I648)</f>
        <v>1</v>
      </c>
      <c r="J111" s="6" t="n">
        <f aca="false">IF('Service Types'!J648="","",'Service Types'!J648)</f>
        <v>6.6</v>
      </c>
      <c r="K111" s="6" t="n">
        <f aca="false">IF('Service Types'!K648="","",'Service Types'!K648)</f>
        <v>7</v>
      </c>
    </row>
    <row r="112" customFormat="false" ht="15" hidden="false" customHeight="false" outlineLevel="0" collapsed="false">
      <c r="A112" s="16" t="n">
        <v>111</v>
      </c>
      <c r="B112" s="4" t="s">
        <v>611</v>
      </c>
      <c r="C112" s="4" t="str">
        <f aca="false">IF('Service Types'!B543="","",'Service Types'!B543)</f>
        <v>OS - Water Services</v>
      </c>
      <c r="D112" s="5" t="n">
        <f aca="false">IF('Service Types'!E543="","",'Service Types'!E543)</f>
        <v>759</v>
      </c>
      <c r="E112" s="5" t="n">
        <f aca="false">IF('Service Types'!D543="","",'Service Types'!D543)</f>
        <v>3618</v>
      </c>
      <c r="F112" s="5" t="n">
        <f aca="false">IF('Service Types'!F543="","",'Service Types'!F543)</f>
        <v>6</v>
      </c>
      <c r="G112" s="5" t="n">
        <f aca="false">IF('Service Types'!G543="","",'Service Types'!G543)</f>
        <v>6</v>
      </c>
      <c r="H112" s="5" t="n">
        <f aca="false">IF('Service Types'!H543="","",'Service Types'!H543)</f>
        <v>3612</v>
      </c>
      <c r="I112" s="6" t="n">
        <f aca="false">IF('Service Types'!I543="","",'Service Types'!I543)</f>
        <v>0</v>
      </c>
      <c r="J112" s="6" t="n">
        <f aca="false">IF('Service Types'!J543="","",'Service Types'!J543)</f>
        <v>0.7</v>
      </c>
      <c r="K112" s="6" t="n">
        <f aca="false">IF('Service Types'!K543="","",'Service Types'!K543)</f>
        <v>0</v>
      </c>
    </row>
    <row r="113" customFormat="false" ht="15" hidden="false" customHeight="false" outlineLevel="0" collapsed="false">
      <c r="A113" s="16" t="n">
        <v>112</v>
      </c>
      <c r="B113" s="4" t="s">
        <v>722</v>
      </c>
      <c r="C113" s="4" t="str">
        <f aca="false">IF('Service Types'!B644="","",'Service Types'!B644)</f>
        <v>PDS - Development, Business and Building Services</v>
      </c>
      <c r="D113" s="5" t="n">
        <f aca="false">IF('Service Types'!E644="","",'Service Types'!E644)</f>
        <v>741</v>
      </c>
      <c r="E113" s="5" t="n">
        <f aca="false">IF('Service Types'!D644="","",'Service Types'!D644)</f>
        <v>3132</v>
      </c>
      <c r="F113" s="5" t="n">
        <f aca="false">IF('Service Types'!F644="","",'Service Types'!F644)</f>
        <v>7</v>
      </c>
      <c r="G113" s="5" t="n">
        <f aca="false">IF('Service Types'!G644="","",'Service Types'!G644)</f>
        <v>0</v>
      </c>
      <c r="H113" s="5" t="n">
        <f aca="false">IF('Service Types'!H644="","",'Service Types'!H644)</f>
        <v>3125</v>
      </c>
      <c r="I113" s="6" t="n">
        <f aca="false">IF('Service Types'!I644="","",'Service Types'!I644)</f>
        <v>4</v>
      </c>
      <c r="J113" s="6" t="n">
        <f aca="false">IF('Service Types'!J644="","",'Service Types'!J644)</f>
        <v>8.8</v>
      </c>
      <c r="K113" s="6" t="n">
        <f aca="false">IF('Service Types'!K644="","",'Service Types'!K644)</f>
        <v>12</v>
      </c>
    </row>
    <row r="114" customFormat="false" ht="15" hidden="false" customHeight="false" outlineLevel="0" collapsed="false">
      <c r="A114" s="16" t="n">
        <v>113</v>
      </c>
      <c r="B114" s="4" t="s">
        <v>90</v>
      </c>
      <c r="C114" s="4" t="str">
        <f aca="false">IF('Service Types'!B51="","",'Service Types'!B51)</f>
        <v>CS - Calgary Fire</v>
      </c>
      <c r="D114" s="5" t="n">
        <f aca="false">IF('Service Types'!E51="","",'Service Types'!E51)</f>
        <v>729</v>
      </c>
      <c r="E114" s="5" t="n">
        <f aca="false">IF('Service Types'!D51="","",'Service Types'!D51)</f>
        <v>1461</v>
      </c>
      <c r="F114" s="5" t="n">
        <f aca="false">IF('Service Types'!F51="","",'Service Types'!F51)</f>
        <v>36</v>
      </c>
      <c r="G114" s="5" t="n">
        <f aca="false">IF('Service Types'!G51="","",'Service Types'!G51)</f>
        <v>7</v>
      </c>
      <c r="H114" s="5" t="n">
        <f aca="false">IF('Service Types'!H51="","",'Service Types'!H51)</f>
        <v>1425</v>
      </c>
      <c r="I114" s="6" t="n">
        <f aca="false">IF('Service Types'!I51="","",'Service Types'!I51)</f>
        <v>5</v>
      </c>
      <c r="J114" s="6" t="n">
        <f aca="false">IF('Service Types'!J51="","",'Service Types'!J51)</f>
        <v>18</v>
      </c>
      <c r="K114" s="6" t="n">
        <f aca="false">IF('Service Types'!K51="","",'Service Types'!K51)</f>
        <v>47</v>
      </c>
    </row>
    <row r="115" customFormat="false" ht="15" hidden="false" customHeight="false" outlineLevel="0" collapsed="false">
      <c r="A115" s="16" t="n">
        <v>114</v>
      </c>
      <c r="B115" s="4" t="s">
        <v>619</v>
      </c>
      <c r="C115" s="4" t="str">
        <f aca="false">IF('Service Types'!B551="","",'Service Types'!B551)</f>
        <v>OS - Water Services</v>
      </c>
      <c r="D115" s="5" t="n">
        <f aca="false">IF('Service Types'!E551="","",'Service Types'!E551)</f>
        <v>726</v>
      </c>
      <c r="E115" s="5" t="n">
        <f aca="false">IF('Service Types'!D551="","",'Service Types'!D551)</f>
        <v>2805</v>
      </c>
      <c r="F115" s="5" t="n">
        <f aca="false">IF('Service Types'!F551="","",'Service Types'!F551)</f>
        <v>265</v>
      </c>
      <c r="G115" s="5" t="n">
        <f aca="false">IF('Service Types'!G551="","",'Service Types'!G551)</f>
        <v>200</v>
      </c>
      <c r="H115" s="5" t="n">
        <f aca="false">IF('Service Types'!H551="","",'Service Types'!H551)</f>
        <v>2540</v>
      </c>
      <c r="I115" s="6" t="n">
        <f aca="false">IF('Service Types'!I551="","",'Service Types'!I551)</f>
        <v>29.5</v>
      </c>
      <c r="J115" s="6" t="n">
        <f aca="false">IF('Service Types'!J551="","",'Service Types'!J551)</f>
        <v>84.7</v>
      </c>
      <c r="K115" s="6" t="n">
        <f aca="false">IF('Service Types'!K551="","",'Service Types'!K551)</f>
        <v>237</v>
      </c>
    </row>
    <row r="116" customFormat="false" ht="15" hidden="false" customHeight="false" outlineLevel="0" collapsed="false">
      <c r="A116" s="16" t="n">
        <v>115</v>
      </c>
      <c r="B116" s="4" t="s">
        <v>523</v>
      </c>
      <c r="C116" s="4" t="str">
        <f aca="false">IF('Service Types'!B458="","",'Service Types'!B458)</f>
        <v>OS - Parks and Open Spaces</v>
      </c>
      <c r="D116" s="5" t="n">
        <f aca="false">IF('Service Types'!E458="","",'Service Types'!E458)</f>
        <v>726</v>
      </c>
      <c r="E116" s="5" t="n">
        <f aca="false">IF('Service Types'!D458="","",'Service Types'!D458)</f>
        <v>2420</v>
      </c>
      <c r="F116" s="5" t="n">
        <f aca="false">IF('Service Types'!F458="","",'Service Types'!F458)</f>
        <v>4</v>
      </c>
      <c r="G116" s="5" t="n">
        <f aca="false">IF('Service Types'!G458="","",'Service Types'!G458)</f>
        <v>2</v>
      </c>
      <c r="H116" s="5" t="n">
        <f aca="false">IF('Service Types'!H458="","",'Service Types'!H458)</f>
        <v>2416</v>
      </c>
      <c r="I116" s="6" t="n">
        <f aca="false">IF('Service Types'!I458="","",'Service Types'!I458)</f>
        <v>6</v>
      </c>
      <c r="J116" s="6" t="n">
        <f aca="false">IF('Service Types'!J458="","",'Service Types'!J458)</f>
        <v>9.7</v>
      </c>
      <c r="K116" s="6" t="n">
        <f aca="false">IF('Service Types'!K458="","",'Service Types'!K458)</f>
        <v>22</v>
      </c>
    </row>
    <row r="117" customFormat="false" ht="15" hidden="false" customHeight="false" outlineLevel="0" collapsed="false">
      <c r="A117" s="16" t="n">
        <v>116</v>
      </c>
      <c r="B117" s="4" t="s">
        <v>618</v>
      </c>
      <c r="C117" s="4" t="str">
        <f aca="false">IF('Service Types'!B550="","",'Service Types'!B550)</f>
        <v>OS - Water Services</v>
      </c>
      <c r="D117" s="5" t="n">
        <f aca="false">IF('Service Types'!E550="","",'Service Types'!E550)</f>
        <v>721</v>
      </c>
      <c r="E117" s="5" t="n">
        <f aca="false">IF('Service Types'!D550="","",'Service Types'!D550)</f>
        <v>2836</v>
      </c>
      <c r="F117" s="5" t="n">
        <f aca="false">IF('Service Types'!F550="","",'Service Types'!F550)</f>
        <v>27</v>
      </c>
      <c r="G117" s="5" t="n">
        <f aca="false">IF('Service Types'!G550="","",'Service Types'!G550)</f>
        <v>0</v>
      </c>
      <c r="H117" s="5" t="n">
        <f aca="false">IF('Service Types'!H550="","",'Service Types'!H550)</f>
        <v>2804</v>
      </c>
      <c r="I117" s="6" t="n">
        <f aca="false">IF('Service Types'!I550="","",'Service Types'!I550)</f>
        <v>6</v>
      </c>
      <c r="J117" s="6" t="n">
        <f aca="false">IF('Service Types'!J550="","",'Service Types'!J550)</f>
        <v>8.9</v>
      </c>
      <c r="K117" s="6" t="n">
        <f aca="false">IF('Service Types'!K550="","",'Service Types'!K550)</f>
        <v>19</v>
      </c>
    </row>
    <row r="118" customFormat="false" ht="15" hidden="false" customHeight="false" outlineLevel="0" collapsed="false">
      <c r="A118" s="16" t="n">
        <v>117</v>
      </c>
      <c r="B118" s="4" t="s">
        <v>85</v>
      </c>
      <c r="C118" s="4" t="str">
        <f aca="false">IF('Service Types'!B46="","",'Service Types'!B46)</f>
        <v>CS - Calgary Fire</v>
      </c>
      <c r="D118" s="5" t="n">
        <f aca="false">IF('Service Types'!E46="","",'Service Types'!E46)</f>
        <v>715</v>
      </c>
      <c r="E118" s="5" t="n">
        <f aca="false">IF('Service Types'!D46="","",'Service Types'!D46)</f>
        <v>3123</v>
      </c>
      <c r="F118" s="5" t="n">
        <f aca="false">IF('Service Types'!F46="","",'Service Types'!F46)</f>
        <v>10</v>
      </c>
      <c r="G118" s="5" t="n">
        <f aca="false">IF('Service Types'!G46="","",'Service Types'!G46)</f>
        <v>3</v>
      </c>
      <c r="H118" s="5" t="n">
        <f aca="false">IF('Service Types'!H46="","",'Service Types'!H46)</f>
        <v>3113</v>
      </c>
      <c r="I118" s="6" t="n">
        <f aca="false">IF('Service Types'!I46="","",'Service Types'!I46)</f>
        <v>1</v>
      </c>
      <c r="J118" s="6" t="n">
        <f aca="false">IF('Service Types'!J46="","",'Service Types'!J46)</f>
        <v>4.6</v>
      </c>
      <c r="K118" s="6" t="n">
        <f aca="false">IF('Service Types'!K46="","",'Service Types'!K46)</f>
        <v>6</v>
      </c>
    </row>
    <row r="119" customFormat="false" ht="15" hidden="false" customHeight="false" outlineLevel="0" collapsed="false">
      <c r="A119" s="16" t="n">
        <v>118</v>
      </c>
      <c r="B119" s="4" t="s">
        <v>612</v>
      </c>
      <c r="C119" s="4" t="str">
        <f aca="false">IF('Service Types'!B544="","",'Service Types'!B544)</f>
        <v>OS - Water Services</v>
      </c>
      <c r="D119" s="5" t="n">
        <f aca="false">IF('Service Types'!E544="","",'Service Types'!E544)</f>
        <v>693</v>
      </c>
      <c r="E119" s="5" t="n">
        <f aca="false">IF('Service Types'!D544="","",'Service Types'!D544)</f>
        <v>3544</v>
      </c>
      <c r="F119" s="5" t="n">
        <f aca="false">IF('Service Types'!F544="","",'Service Types'!F544)</f>
        <v>28</v>
      </c>
      <c r="G119" s="5" t="n">
        <f aca="false">IF('Service Types'!G544="","",'Service Types'!G544)</f>
        <v>6</v>
      </c>
      <c r="H119" s="5" t="n">
        <f aca="false">IF('Service Types'!H544="","",'Service Types'!H544)</f>
        <v>3479</v>
      </c>
      <c r="I119" s="6" t="n">
        <f aca="false">IF('Service Types'!I544="","",'Service Types'!I544)</f>
        <v>3</v>
      </c>
      <c r="J119" s="6" t="n">
        <f aca="false">IF('Service Types'!J544="","",'Service Types'!J544)</f>
        <v>9.4</v>
      </c>
      <c r="K119" s="6" t="n">
        <f aca="false">IF('Service Types'!K544="","",'Service Types'!K544)</f>
        <v>20</v>
      </c>
    </row>
    <row r="120" customFormat="false" ht="15" hidden="false" customHeight="false" outlineLevel="0" collapsed="false">
      <c r="A120" s="16" t="n">
        <v>119</v>
      </c>
      <c r="B120" s="4" t="s">
        <v>186</v>
      </c>
      <c r="C120" s="4" t="str">
        <f aca="false">IF('Service Types'!B143="","",'Service Types'!B143)</f>
        <v>CS - Emergency Management and Community Safety</v>
      </c>
      <c r="D120" s="5" t="n">
        <f aca="false">IF('Service Types'!E143="","",'Service Types'!E143)</f>
        <v>687</v>
      </c>
      <c r="E120" s="5" t="n">
        <f aca="false">IF('Service Types'!D143="","",'Service Types'!D143)</f>
        <v>2677</v>
      </c>
      <c r="F120" s="5" t="n">
        <f aca="false">IF('Service Types'!F143="","",'Service Types'!F143)</f>
        <v>10</v>
      </c>
      <c r="G120" s="5" t="n">
        <f aca="false">IF('Service Types'!G143="","",'Service Types'!G143)</f>
        <v>0</v>
      </c>
      <c r="H120" s="5" t="n">
        <f aca="false">IF('Service Types'!H143="","",'Service Types'!H143)</f>
        <v>2664</v>
      </c>
      <c r="I120" s="6" t="n">
        <f aca="false">IF('Service Types'!I143="","",'Service Types'!I143)</f>
        <v>5</v>
      </c>
      <c r="J120" s="6" t="n">
        <f aca="false">IF('Service Types'!J143="","",'Service Types'!J143)</f>
        <v>10.6</v>
      </c>
      <c r="K120" s="6" t="n">
        <f aca="false">IF('Service Types'!K143="","",'Service Types'!K143)</f>
        <v>20</v>
      </c>
    </row>
    <row r="121" customFormat="false" ht="15" hidden="false" customHeight="false" outlineLevel="0" collapsed="false">
      <c r="A121" s="16" t="n">
        <v>120</v>
      </c>
      <c r="B121" s="4" t="s">
        <v>617</v>
      </c>
      <c r="C121" s="4" t="str">
        <f aca="false">IF('Service Types'!B549="","",'Service Types'!B549)</f>
        <v>OS - Water Services</v>
      </c>
      <c r="D121" s="5" t="n">
        <f aca="false">IF('Service Types'!E549="","",'Service Types'!E549)</f>
        <v>675</v>
      </c>
      <c r="E121" s="5" t="n">
        <f aca="false">IF('Service Types'!D549="","",'Service Types'!D549)</f>
        <v>2923</v>
      </c>
      <c r="F121" s="5" t="n">
        <f aca="false">IF('Service Types'!F549="","",'Service Types'!F549)</f>
        <v>7</v>
      </c>
      <c r="G121" s="5" t="n">
        <f aca="false">IF('Service Types'!G549="","",'Service Types'!G549)</f>
        <v>0</v>
      </c>
      <c r="H121" s="5" t="n">
        <f aca="false">IF('Service Types'!H549="","",'Service Types'!H549)</f>
        <v>2916</v>
      </c>
      <c r="I121" s="6" t="n">
        <f aca="false">IF('Service Types'!I549="","",'Service Types'!I549)</f>
        <v>3</v>
      </c>
      <c r="J121" s="6" t="n">
        <f aca="false">IF('Service Types'!J549="","",'Service Types'!J549)</f>
        <v>6</v>
      </c>
      <c r="K121" s="6" t="n">
        <f aca="false">IF('Service Types'!K549="","",'Service Types'!K549)</f>
        <v>16</v>
      </c>
    </row>
    <row r="122" customFormat="false" ht="15" hidden="false" customHeight="false" outlineLevel="0" collapsed="false">
      <c r="A122" s="16" t="n">
        <v>121</v>
      </c>
      <c r="B122" s="4" t="s">
        <v>616</v>
      </c>
      <c r="C122" s="4" t="str">
        <f aca="false">IF('Service Types'!B548="","",'Service Types'!B548)</f>
        <v>OS - Water Services</v>
      </c>
      <c r="D122" s="5" t="n">
        <f aca="false">IF('Service Types'!E548="","",'Service Types'!E548)</f>
        <v>660</v>
      </c>
      <c r="E122" s="5" t="n">
        <f aca="false">IF('Service Types'!D548="","",'Service Types'!D548)</f>
        <v>2939</v>
      </c>
      <c r="F122" s="5" t="n">
        <f aca="false">IF('Service Types'!F548="","",'Service Types'!F548)</f>
        <v>0</v>
      </c>
      <c r="G122" s="5" t="n">
        <f aca="false">IF('Service Types'!G548="","",'Service Types'!G548)</f>
        <v>0</v>
      </c>
      <c r="H122" s="5" t="n">
        <f aca="false">IF('Service Types'!H548="","",'Service Types'!H548)</f>
        <v>2934</v>
      </c>
      <c r="I122" s="6" t="n">
        <f aca="false">IF('Service Types'!I548="","",'Service Types'!I548)</f>
        <v>2</v>
      </c>
      <c r="J122" s="6" t="n">
        <f aca="false">IF('Service Types'!J548="","",'Service Types'!J548)</f>
        <v>9.5</v>
      </c>
      <c r="K122" s="6" t="n">
        <f aca="false">IF('Service Types'!K548="","",'Service Types'!K548)</f>
        <v>18</v>
      </c>
    </row>
    <row r="123" customFormat="false" ht="15" hidden="false" customHeight="false" outlineLevel="0" collapsed="false">
      <c r="A123" s="16" t="n">
        <v>122</v>
      </c>
      <c r="B123" s="4" t="s">
        <v>613</v>
      </c>
      <c r="C123" s="4" t="str">
        <f aca="false">IF('Service Types'!B545="","",'Service Types'!B545)</f>
        <v>OS - Water Services</v>
      </c>
      <c r="D123" s="5" t="n">
        <f aca="false">IF('Service Types'!E545="","",'Service Types'!E545)</f>
        <v>652</v>
      </c>
      <c r="E123" s="5" t="n">
        <f aca="false">IF('Service Types'!D545="","",'Service Types'!D545)</f>
        <v>3286</v>
      </c>
      <c r="F123" s="5" t="n">
        <f aca="false">IF('Service Types'!F545="","",'Service Types'!F545)</f>
        <v>8</v>
      </c>
      <c r="G123" s="5" t="n">
        <f aca="false">IF('Service Types'!G545="","",'Service Types'!G545)</f>
        <v>1</v>
      </c>
      <c r="H123" s="5" t="n">
        <f aca="false">IF('Service Types'!H545="","",'Service Types'!H545)</f>
        <v>3278</v>
      </c>
      <c r="I123" s="6" t="n">
        <f aca="false">IF('Service Types'!I545="","",'Service Types'!I545)</f>
        <v>2</v>
      </c>
      <c r="J123" s="6" t="n">
        <f aca="false">IF('Service Types'!J545="","",'Service Types'!J545)</f>
        <v>6.6</v>
      </c>
      <c r="K123" s="6" t="n">
        <f aca="false">IF('Service Types'!K545="","",'Service Types'!K545)</f>
        <v>11</v>
      </c>
    </row>
    <row r="124" customFormat="false" ht="15" hidden="false" customHeight="false" outlineLevel="0" collapsed="false">
      <c r="A124" s="16" t="n">
        <v>123</v>
      </c>
      <c r="B124" s="4" t="s">
        <v>615</v>
      </c>
      <c r="C124" s="4" t="str">
        <f aca="false">IF('Service Types'!B547="","",'Service Types'!B547)</f>
        <v>OS - Water Services</v>
      </c>
      <c r="D124" s="5" t="n">
        <f aca="false">IF('Service Types'!E547="","",'Service Types'!E547)</f>
        <v>631</v>
      </c>
      <c r="E124" s="5" t="n">
        <f aca="false">IF('Service Types'!D547="","",'Service Types'!D547)</f>
        <v>3064</v>
      </c>
      <c r="F124" s="5" t="n">
        <f aca="false">IF('Service Types'!F547="","",'Service Types'!F547)</f>
        <v>6</v>
      </c>
      <c r="G124" s="5" t="n">
        <f aca="false">IF('Service Types'!G547="","",'Service Types'!G547)</f>
        <v>0</v>
      </c>
      <c r="H124" s="5" t="n">
        <f aca="false">IF('Service Types'!H547="","",'Service Types'!H547)</f>
        <v>3058</v>
      </c>
      <c r="I124" s="6" t="n">
        <f aca="false">IF('Service Types'!I547="","",'Service Types'!I547)</f>
        <v>4</v>
      </c>
      <c r="J124" s="6" t="n">
        <f aca="false">IF('Service Types'!J547="","",'Service Types'!J547)</f>
        <v>7.2</v>
      </c>
      <c r="K124" s="6" t="n">
        <f aca="false">IF('Service Types'!K547="","",'Service Types'!K547)</f>
        <v>20</v>
      </c>
    </row>
    <row r="125" customFormat="false" ht="15" hidden="false" customHeight="false" outlineLevel="0" collapsed="false">
      <c r="A125" s="16" t="n">
        <v>124</v>
      </c>
      <c r="B125" s="4" t="s">
        <v>456</v>
      </c>
      <c r="C125" s="4" t="str">
        <f aca="false">IF('Service Types'!B393="","",'Service Types'!B393)</f>
        <v>OS - Mobility</v>
      </c>
      <c r="D125" s="5" t="n">
        <f aca="false">IF('Service Types'!E393="","",'Service Types'!E393)</f>
        <v>622</v>
      </c>
      <c r="E125" s="5" t="n">
        <f aca="false">IF('Service Types'!D393="","",'Service Types'!D393)</f>
        <v>2418</v>
      </c>
      <c r="F125" s="5" t="n">
        <f aca="false">IF('Service Types'!F393="","",'Service Types'!F393)</f>
        <v>0</v>
      </c>
      <c r="G125" s="5" t="n">
        <f aca="false">IF('Service Types'!G393="","",'Service Types'!G393)</f>
        <v>0</v>
      </c>
      <c r="H125" s="5" t="n">
        <f aca="false">IF('Service Types'!H393="","",'Service Types'!H393)</f>
        <v>2391</v>
      </c>
      <c r="I125" s="6" t="n">
        <f aca="false">IF('Service Types'!I393="","",'Service Types'!I393)</f>
        <v>0</v>
      </c>
      <c r="J125" s="6" t="n">
        <f aca="false">IF('Service Types'!J393="","",'Service Types'!J393)</f>
        <v>18.1</v>
      </c>
      <c r="K125" s="6" t="n">
        <f aca="false">IF('Service Types'!K393="","",'Service Types'!K393)</f>
        <v>58</v>
      </c>
    </row>
    <row r="126" customFormat="false" ht="15" hidden="false" customHeight="false" outlineLevel="0" collapsed="false">
      <c r="A126" s="16" t="n">
        <v>125</v>
      </c>
      <c r="B126" s="4" t="s">
        <v>399</v>
      </c>
      <c r="C126" s="4" t="str">
        <f aca="false">IF('Service Types'!B341="","",'Service Types'!B341)</f>
        <v>LLSS - Law</v>
      </c>
      <c r="D126" s="5" t="n">
        <f aca="false">IF('Service Types'!E341="","",'Service Types'!E341)</f>
        <v>607</v>
      </c>
      <c r="E126" s="5" t="n">
        <f aca="false">IF('Service Types'!D341="","",'Service Types'!D341)</f>
        <v>4416</v>
      </c>
      <c r="F126" s="5" t="n">
        <f aca="false">IF('Service Types'!F341="","",'Service Types'!F341)</f>
        <v>1</v>
      </c>
      <c r="G126" s="5" t="n">
        <f aca="false">IF('Service Types'!G341="","",'Service Types'!G341)</f>
        <v>1</v>
      </c>
      <c r="H126" s="5" t="n">
        <f aca="false">IF('Service Types'!H341="","",'Service Types'!H341)</f>
        <v>4415</v>
      </c>
      <c r="I126" s="6" t="n">
        <f aca="false">IF('Service Types'!I341="","",'Service Types'!I341)</f>
        <v>0</v>
      </c>
      <c r="J126" s="6" t="n">
        <f aca="false">IF('Service Types'!J341="","",'Service Types'!J341)</f>
        <v>4.6</v>
      </c>
      <c r="K126" s="6" t="n">
        <f aca="false">IF('Service Types'!K341="","",'Service Types'!K341)</f>
        <v>3</v>
      </c>
    </row>
    <row r="127" customFormat="false" ht="15" hidden="false" customHeight="false" outlineLevel="0" collapsed="false">
      <c r="A127" s="16" t="n">
        <v>126</v>
      </c>
      <c r="B127" s="4" t="s">
        <v>265</v>
      </c>
      <c r="C127" s="4" t="str">
        <f aca="false">IF('Service Types'!B220="","",'Service Types'!B220)</f>
        <v>CS - Recreation and Social Programs</v>
      </c>
      <c r="D127" s="5" t="n">
        <f aca="false">IF('Service Types'!E220="","",'Service Types'!E220)</f>
        <v>593</v>
      </c>
      <c r="E127" s="5" t="n">
        <f aca="false">IF('Service Types'!D220="","",'Service Types'!D220)</f>
        <v>2469</v>
      </c>
      <c r="F127" s="5" t="n">
        <f aca="false">IF('Service Types'!F220="","",'Service Types'!F220)</f>
        <v>48</v>
      </c>
      <c r="G127" s="5" t="n">
        <f aca="false">IF('Service Types'!G220="","",'Service Types'!G220)</f>
        <v>13</v>
      </c>
      <c r="H127" s="5" t="n">
        <f aca="false">IF('Service Types'!H220="","",'Service Types'!H220)</f>
        <v>2421</v>
      </c>
      <c r="I127" s="6" t="n">
        <f aca="false">IF('Service Types'!I220="","",'Service Types'!I220)</f>
        <v>8</v>
      </c>
      <c r="J127" s="6" t="n">
        <f aca="false">IF('Service Types'!J220="","",'Service Types'!J220)</f>
        <v>15.4</v>
      </c>
      <c r="K127" s="6" t="n">
        <f aca="false">IF('Service Types'!K220="","",'Service Types'!K220)</f>
        <v>35</v>
      </c>
    </row>
    <row r="128" customFormat="false" ht="15" hidden="false" customHeight="false" outlineLevel="0" collapsed="false">
      <c r="A128" s="16" t="n">
        <v>127</v>
      </c>
      <c r="B128" s="4" t="s">
        <v>533</v>
      </c>
      <c r="C128" s="4" t="str">
        <f aca="false">IF('Service Types'!B468="","",'Service Types'!B468)</f>
        <v>OS - Parks and Open Spaces</v>
      </c>
      <c r="D128" s="5" t="n">
        <f aca="false">IF('Service Types'!E468="","",'Service Types'!E468)</f>
        <v>587</v>
      </c>
      <c r="E128" s="5" t="n">
        <f aca="false">IF('Service Types'!D468="","",'Service Types'!D468)</f>
        <v>1012</v>
      </c>
      <c r="F128" s="5" t="n">
        <f aca="false">IF('Service Types'!F468="","",'Service Types'!F468)</f>
        <v>17</v>
      </c>
      <c r="G128" s="5" t="n">
        <f aca="false">IF('Service Types'!G468="","",'Service Types'!G468)</f>
        <v>0</v>
      </c>
      <c r="H128" s="5" t="n">
        <f aca="false">IF('Service Types'!H468="","",'Service Types'!H468)</f>
        <v>995</v>
      </c>
      <c r="I128" s="6" t="n">
        <f aca="false">IF('Service Types'!I468="","",'Service Types'!I468)</f>
        <v>2</v>
      </c>
      <c r="J128" s="6" t="n">
        <f aca="false">IF('Service Types'!J468="","",'Service Types'!J468)</f>
        <v>3.2</v>
      </c>
      <c r="K128" s="6" t="n">
        <f aca="false">IF('Service Types'!K468="","",'Service Types'!K468)</f>
        <v>7</v>
      </c>
    </row>
    <row r="129" customFormat="false" ht="15" hidden="false" customHeight="false" outlineLevel="0" collapsed="false">
      <c r="A129" s="16" t="n">
        <v>128</v>
      </c>
      <c r="B129" s="4" t="s">
        <v>576</v>
      </c>
      <c r="C129" s="4" t="str">
        <f aca="false">IF('Service Types'!B510="","",'Service Types'!B510)</f>
        <v>OS - Waste and Recycling Services</v>
      </c>
      <c r="D129" s="5" t="n">
        <f aca="false">IF('Service Types'!E510="","",'Service Types'!E510)</f>
        <v>584</v>
      </c>
      <c r="E129" s="5" t="n">
        <f aca="false">IF('Service Types'!D510="","",'Service Types'!D510)</f>
        <v>2565</v>
      </c>
      <c r="F129" s="5" t="n">
        <f aca="false">IF('Service Types'!F510="","",'Service Types'!F510)</f>
        <v>1</v>
      </c>
      <c r="G129" s="5" t="n">
        <f aca="false">IF('Service Types'!G510="","",'Service Types'!G510)</f>
        <v>0</v>
      </c>
      <c r="H129" s="5" t="n">
        <f aca="false">IF('Service Types'!H510="","",'Service Types'!H510)</f>
        <v>2564</v>
      </c>
      <c r="I129" s="6" t="n">
        <f aca="false">IF('Service Types'!I510="","",'Service Types'!I510)</f>
        <v>1</v>
      </c>
      <c r="J129" s="6" t="n">
        <f aca="false">IF('Service Types'!J510="","",'Service Types'!J510)</f>
        <v>1.9</v>
      </c>
      <c r="K129" s="6" t="n">
        <f aca="false">IF('Service Types'!K510="","",'Service Types'!K510)</f>
        <v>5</v>
      </c>
    </row>
    <row r="130" customFormat="false" ht="15" hidden="false" customHeight="false" outlineLevel="0" collapsed="false">
      <c r="A130" s="16" t="n">
        <v>129</v>
      </c>
      <c r="B130" s="4" t="s">
        <v>620</v>
      </c>
      <c r="C130" s="4" t="str">
        <f aca="false">IF('Service Types'!B552="","",'Service Types'!B552)</f>
        <v>OS - Water Services</v>
      </c>
      <c r="D130" s="5" t="n">
        <f aca="false">IF('Service Types'!E552="","",'Service Types'!E552)</f>
        <v>553</v>
      </c>
      <c r="E130" s="5" t="n">
        <f aca="false">IF('Service Types'!D552="","",'Service Types'!D552)</f>
        <v>2455</v>
      </c>
      <c r="F130" s="5" t="n">
        <f aca="false">IF('Service Types'!F552="","",'Service Types'!F552)</f>
        <v>13</v>
      </c>
      <c r="G130" s="5" t="n">
        <f aca="false">IF('Service Types'!G552="","",'Service Types'!G552)</f>
        <v>0</v>
      </c>
      <c r="H130" s="5" t="n">
        <f aca="false">IF('Service Types'!H552="","",'Service Types'!H552)</f>
        <v>2442</v>
      </c>
      <c r="I130" s="6" t="n">
        <f aca="false">IF('Service Types'!I552="","",'Service Types'!I552)</f>
        <v>1</v>
      </c>
      <c r="J130" s="6" t="n">
        <f aca="false">IF('Service Types'!J552="","",'Service Types'!J552)</f>
        <v>7.9</v>
      </c>
      <c r="K130" s="6" t="n">
        <f aca="false">IF('Service Types'!K552="","",'Service Types'!K552)</f>
        <v>14</v>
      </c>
    </row>
    <row r="131" customFormat="false" ht="15" hidden="false" customHeight="false" outlineLevel="0" collapsed="false">
      <c r="A131" s="16" t="n">
        <v>130</v>
      </c>
      <c r="B131" s="4" t="s">
        <v>732</v>
      </c>
      <c r="C131" s="4" t="str">
        <f aca="false">IF('Service Types'!B654="","",'Service Types'!B654)</f>
        <v>PDS - Development, Business and Building Services</v>
      </c>
      <c r="D131" s="5" t="n">
        <f aca="false">IF('Service Types'!E654="","",'Service Types'!E654)</f>
        <v>544</v>
      </c>
      <c r="E131" s="5" t="n">
        <f aca="false">IF('Service Types'!D654="","",'Service Types'!D654)</f>
        <v>1209</v>
      </c>
      <c r="F131" s="5" t="n">
        <f aca="false">IF('Service Types'!F654="","",'Service Types'!F654)</f>
        <v>74</v>
      </c>
      <c r="G131" s="5" t="n">
        <f aca="false">IF('Service Types'!G654="","",'Service Types'!G654)</f>
        <v>26</v>
      </c>
      <c r="H131" s="5" t="n">
        <f aca="false">IF('Service Types'!H654="","",'Service Types'!H654)</f>
        <v>1135</v>
      </c>
      <c r="I131" s="6" t="n">
        <f aca="false">IF('Service Types'!I654="","",'Service Types'!I654)</f>
        <v>7</v>
      </c>
      <c r="J131" s="6" t="n">
        <f aca="false">IF('Service Types'!J654="","",'Service Types'!J654)</f>
        <v>15.8</v>
      </c>
      <c r="K131" s="6" t="n">
        <f aca="false">IF('Service Types'!K654="","",'Service Types'!K654)</f>
        <v>39</v>
      </c>
    </row>
    <row r="132" customFormat="false" ht="15" hidden="false" customHeight="false" outlineLevel="0" collapsed="false">
      <c r="A132" s="16" t="n">
        <v>131</v>
      </c>
      <c r="B132" s="4" t="s">
        <v>529</v>
      </c>
      <c r="C132" s="4" t="str">
        <f aca="false">IF('Service Types'!B464="","",'Service Types'!B464)</f>
        <v>OS - Parks and Open Spaces</v>
      </c>
      <c r="D132" s="5" t="n">
        <f aca="false">IF('Service Types'!E464="","",'Service Types'!E464)</f>
        <v>535</v>
      </c>
      <c r="E132" s="5" t="n">
        <f aca="false">IF('Service Types'!D464="","",'Service Types'!D464)</f>
        <v>1543</v>
      </c>
      <c r="F132" s="5" t="n">
        <f aca="false">IF('Service Types'!F464="","",'Service Types'!F464)</f>
        <v>7</v>
      </c>
      <c r="G132" s="5" t="n">
        <f aca="false">IF('Service Types'!G464="","",'Service Types'!G464)</f>
        <v>0</v>
      </c>
      <c r="H132" s="5" t="n">
        <f aca="false">IF('Service Types'!H464="","",'Service Types'!H464)</f>
        <v>1536</v>
      </c>
      <c r="I132" s="6" t="n">
        <f aca="false">IF('Service Types'!I464="","",'Service Types'!I464)</f>
        <v>6</v>
      </c>
      <c r="J132" s="6" t="n">
        <f aca="false">IF('Service Types'!J464="","",'Service Types'!J464)</f>
        <v>9.5</v>
      </c>
      <c r="K132" s="6" t="n">
        <f aca="false">IF('Service Types'!K464="","",'Service Types'!K464)</f>
        <v>18</v>
      </c>
    </row>
    <row r="133" customFormat="false" ht="15" hidden="false" customHeight="false" outlineLevel="0" collapsed="false">
      <c r="A133" s="16" t="n">
        <v>132</v>
      </c>
      <c r="B133" s="4" t="s">
        <v>536</v>
      </c>
      <c r="C133" s="4" t="str">
        <f aca="false">IF('Service Types'!B471="","",'Service Types'!B471)</f>
        <v>OS - Parks and Open Spaces</v>
      </c>
      <c r="D133" s="5" t="n">
        <f aca="false">IF('Service Types'!E471="","",'Service Types'!E471)</f>
        <v>519</v>
      </c>
      <c r="E133" s="5" t="n">
        <f aca="false">IF('Service Types'!D471="","",'Service Types'!D471)</f>
        <v>719</v>
      </c>
      <c r="F133" s="5" t="n">
        <f aca="false">IF('Service Types'!F471="","",'Service Types'!F471)</f>
        <v>38</v>
      </c>
      <c r="G133" s="5" t="n">
        <f aca="false">IF('Service Types'!G471="","",'Service Types'!G471)</f>
        <v>2</v>
      </c>
      <c r="H133" s="5" t="n">
        <f aca="false">IF('Service Types'!H471="","",'Service Types'!H471)</f>
        <v>681</v>
      </c>
      <c r="I133" s="6" t="n">
        <f aca="false">IF('Service Types'!I471="","",'Service Types'!I471)</f>
        <v>8</v>
      </c>
      <c r="J133" s="6" t="n">
        <f aca="false">IF('Service Types'!J471="","",'Service Types'!J471)</f>
        <v>13.3</v>
      </c>
      <c r="K133" s="6" t="n">
        <f aca="false">IF('Service Types'!K471="","",'Service Types'!K471)</f>
        <v>28</v>
      </c>
    </row>
    <row r="134" customFormat="false" ht="15" hidden="false" customHeight="false" outlineLevel="0" collapsed="false">
      <c r="A134" s="16" t="n">
        <v>133</v>
      </c>
      <c r="B134" s="4" t="s">
        <v>87</v>
      </c>
      <c r="C134" s="4" t="str">
        <f aca="false">IF('Service Types'!B48="","",'Service Types'!B48)</f>
        <v>CS - Calgary Fire</v>
      </c>
      <c r="D134" s="5" t="n">
        <f aca="false">IF('Service Types'!E48="","",'Service Types'!E48)</f>
        <v>503</v>
      </c>
      <c r="E134" s="5" t="n">
        <f aca="false">IF('Service Types'!D48="","",'Service Types'!D48)</f>
        <v>1692</v>
      </c>
      <c r="F134" s="5" t="n">
        <f aca="false">IF('Service Types'!F48="","",'Service Types'!F48)</f>
        <v>18</v>
      </c>
      <c r="G134" s="5" t="n">
        <f aca="false">IF('Service Types'!G48="","",'Service Types'!G48)</f>
        <v>9</v>
      </c>
      <c r="H134" s="5" t="n">
        <f aca="false">IF('Service Types'!H48="","",'Service Types'!H48)</f>
        <v>1674</v>
      </c>
      <c r="I134" s="6" t="n">
        <f aca="false">IF('Service Types'!I48="","",'Service Types'!I48)</f>
        <v>3</v>
      </c>
      <c r="J134" s="6" t="n">
        <f aca="false">IF('Service Types'!J48="","",'Service Types'!J48)</f>
        <v>13.6</v>
      </c>
      <c r="K134" s="6" t="n">
        <f aca="false">IF('Service Types'!K48="","",'Service Types'!K48)</f>
        <v>33</v>
      </c>
    </row>
    <row r="135" customFormat="false" ht="15" hidden="false" customHeight="false" outlineLevel="0" collapsed="false">
      <c r="A135" s="16" t="n">
        <v>134</v>
      </c>
      <c r="B135" s="4" t="s">
        <v>531</v>
      </c>
      <c r="C135" s="4" t="str">
        <f aca="false">IF('Service Types'!B466="","",'Service Types'!B466)</f>
        <v>OS - Parks and Open Spaces</v>
      </c>
      <c r="D135" s="5" t="n">
        <f aca="false">IF('Service Types'!E466="","",'Service Types'!E466)</f>
        <v>497</v>
      </c>
      <c r="E135" s="5" t="n">
        <f aca="false">IF('Service Types'!D466="","",'Service Types'!D466)</f>
        <v>1316</v>
      </c>
      <c r="F135" s="5" t="n">
        <f aca="false">IF('Service Types'!F466="","",'Service Types'!F466)</f>
        <v>41</v>
      </c>
      <c r="G135" s="5" t="n">
        <f aca="false">IF('Service Types'!G466="","",'Service Types'!G466)</f>
        <v>13</v>
      </c>
      <c r="H135" s="5" t="n">
        <f aca="false">IF('Service Types'!H466="","",'Service Types'!H466)</f>
        <v>1275</v>
      </c>
      <c r="I135" s="6" t="n">
        <f aca="false">IF('Service Types'!I466="","",'Service Types'!I466)</f>
        <v>10</v>
      </c>
      <c r="J135" s="6" t="n">
        <f aca="false">IF('Service Types'!J466="","",'Service Types'!J466)</f>
        <v>16.5</v>
      </c>
      <c r="K135" s="6" t="n">
        <f aca="false">IF('Service Types'!K466="","",'Service Types'!K466)</f>
        <v>34</v>
      </c>
    </row>
    <row r="136" customFormat="false" ht="15" hidden="false" customHeight="false" outlineLevel="0" collapsed="false">
      <c r="A136" s="16" t="n">
        <v>135</v>
      </c>
      <c r="B136" s="4" t="s">
        <v>177</v>
      </c>
      <c r="C136" s="4" t="str">
        <f aca="false">IF('Service Types'!B134="","",'Service Types'!B134)</f>
        <v>CS - Emergency Management and Community Safety</v>
      </c>
      <c r="D136" s="5" t="n">
        <f aca="false">IF('Service Types'!E134="","",'Service Types'!E134)</f>
        <v>490</v>
      </c>
      <c r="E136" s="5" t="n">
        <f aca="false">IF('Service Types'!D134="","",'Service Types'!D134)</f>
        <v>8010</v>
      </c>
      <c r="F136" s="5" t="n">
        <f aca="false">IF('Service Types'!F134="","",'Service Types'!F134)</f>
        <v>34</v>
      </c>
      <c r="G136" s="5" t="n">
        <f aca="false">IF('Service Types'!G134="","",'Service Types'!G134)</f>
        <v>20</v>
      </c>
      <c r="H136" s="5" t="n">
        <f aca="false">IF('Service Types'!H134="","",'Service Types'!H134)</f>
        <v>7976</v>
      </c>
      <c r="I136" s="6" t="n">
        <f aca="false">IF('Service Types'!I134="","",'Service Types'!I134)</f>
        <v>1</v>
      </c>
      <c r="J136" s="6" t="n">
        <f aca="false">IF('Service Types'!J134="","",'Service Types'!J134)</f>
        <v>7.1</v>
      </c>
      <c r="K136" s="6" t="n">
        <f aca="false">IF('Service Types'!K134="","",'Service Types'!K134)</f>
        <v>13</v>
      </c>
    </row>
    <row r="137" customFormat="false" ht="15" hidden="false" customHeight="false" outlineLevel="0" collapsed="false">
      <c r="A137" s="16" t="n">
        <v>136</v>
      </c>
      <c r="B137" s="4" t="s">
        <v>382</v>
      </c>
      <c r="C137" s="4" t="str">
        <f aca="false">IF('Service Types'!B328="","",'Service Types'!B328)</f>
        <v>IS - Utilities Delivery</v>
      </c>
      <c r="D137" s="5" t="n">
        <f aca="false">IF('Service Types'!E328="","",'Service Types'!E328)</f>
        <v>480</v>
      </c>
      <c r="E137" s="5" t="n">
        <f aca="false">IF('Service Types'!D328="","",'Service Types'!D328)</f>
        <v>1304</v>
      </c>
      <c r="F137" s="5" t="n">
        <f aca="false">IF('Service Types'!F328="","",'Service Types'!F328)</f>
        <v>15</v>
      </c>
      <c r="G137" s="5" t="n">
        <f aca="false">IF('Service Types'!G328="","",'Service Types'!G328)</f>
        <v>2</v>
      </c>
      <c r="H137" s="5" t="n">
        <f aca="false">IF('Service Types'!H328="","",'Service Types'!H328)</f>
        <v>1289</v>
      </c>
      <c r="I137" s="6" t="n">
        <f aca="false">IF('Service Types'!I328="","",'Service Types'!I328)</f>
        <v>2</v>
      </c>
      <c r="J137" s="6" t="n">
        <f aca="false">IF('Service Types'!J328="","",'Service Types'!J328)</f>
        <v>7</v>
      </c>
      <c r="K137" s="6" t="n">
        <f aca="false">IF('Service Types'!K328="","",'Service Types'!K328)</f>
        <v>19</v>
      </c>
    </row>
    <row r="138" customFormat="false" ht="15" hidden="false" customHeight="false" outlineLevel="0" collapsed="false">
      <c r="A138" s="16" t="n">
        <v>137</v>
      </c>
      <c r="B138" s="4" t="s">
        <v>52</v>
      </c>
      <c r="C138" s="4" t="str">
        <f aca="false">IF('Service Types'!B18="","",'Service Types'!B18)</f>
        <v>CPFS - Assessment and Tax</v>
      </c>
      <c r="D138" s="5" t="n">
        <f aca="false">IF('Service Types'!E18="","",'Service Types'!E18)</f>
        <v>457</v>
      </c>
      <c r="E138" s="5" t="n">
        <f aca="false">IF('Service Types'!D18="","",'Service Types'!D18)</f>
        <v>1344</v>
      </c>
      <c r="F138" s="5" t="n">
        <f aca="false">IF('Service Types'!F18="","",'Service Types'!F18)</f>
        <v>10</v>
      </c>
      <c r="G138" s="5" t="n">
        <f aca="false">IF('Service Types'!G18="","",'Service Types'!G18)</f>
        <v>1</v>
      </c>
      <c r="H138" s="5" t="n">
        <f aca="false">IF('Service Types'!H18="","",'Service Types'!H18)</f>
        <v>1334</v>
      </c>
      <c r="I138" s="6" t="n">
        <f aca="false">IF('Service Types'!I18="","",'Service Types'!I18)</f>
        <v>3</v>
      </c>
      <c r="J138" s="6" t="n">
        <f aca="false">IF('Service Types'!J18="","",'Service Types'!J18)</f>
        <v>4.7</v>
      </c>
      <c r="K138" s="6" t="n">
        <f aca="false">IF('Service Types'!K18="","",'Service Types'!K18)</f>
        <v>8</v>
      </c>
    </row>
    <row r="139" customFormat="false" ht="15" hidden="false" customHeight="false" outlineLevel="0" collapsed="false">
      <c r="A139" s="16" t="n">
        <v>138</v>
      </c>
      <c r="B139" s="4" t="s">
        <v>738</v>
      </c>
      <c r="C139" s="4" t="str">
        <f aca="false">IF('Service Types'!B660="","",'Service Types'!B660)</f>
        <v>PDS - Development, Business and Building Services</v>
      </c>
      <c r="D139" s="5" t="n">
        <f aca="false">IF('Service Types'!E660="","",'Service Types'!E660)</f>
        <v>457</v>
      </c>
      <c r="E139" s="5" t="n">
        <f aca="false">IF('Service Types'!D660="","",'Service Types'!D660)</f>
        <v>460</v>
      </c>
      <c r="F139" s="5" t="n">
        <f aca="false">IF('Service Types'!F660="","",'Service Types'!F660)</f>
        <v>1</v>
      </c>
      <c r="G139" s="5" t="n">
        <f aca="false">IF('Service Types'!G660="","",'Service Types'!G660)</f>
        <v>0</v>
      </c>
      <c r="H139" s="5" t="n">
        <f aca="false">IF('Service Types'!H660="","",'Service Types'!H660)</f>
        <v>459</v>
      </c>
      <c r="I139" s="6" t="n">
        <f aca="false">IF('Service Types'!I660="","",'Service Types'!I660)</f>
        <v>1</v>
      </c>
      <c r="J139" s="6" t="n">
        <f aca="false">IF('Service Types'!J660="","",'Service Types'!J660)</f>
        <v>5.4</v>
      </c>
      <c r="K139" s="6" t="n">
        <f aca="false">IF('Service Types'!K660="","",'Service Types'!K660)</f>
        <v>4</v>
      </c>
    </row>
    <row r="140" customFormat="false" ht="15" hidden="false" customHeight="false" outlineLevel="0" collapsed="false">
      <c r="A140" s="16" t="n">
        <v>139</v>
      </c>
      <c r="B140" s="4" t="s">
        <v>458</v>
      </c>
      <c r="C140" s="4" t="str">
        <f aca="false">IF('Service Types'!B395="","",'Service Types'!B395)</f>
        <v>OS - Mobility</v>
      </c>
      <c r="D140" s="5" t="n">
        <f aca="false">IF('Service Types'!E395="","",'Service Types'!E395)</f>
        <v>455</v>
      </c>
      <c r="E140" s="5" t="n">
        <f aca="false">IF('Service Types'!D395="","",'Service Types'!D395)</f>
        <v>1719</v>
      </c>
      <c r="F140" s="5" t="n">
        <f aca="false">IF('Service Types'!F395="","",'Service Types'!F395)</f>
        <v>46</v>
      </c>
      <c r="G140" s="5" t="n">
        <f aca="false">IF('Service Types'!G395="","",'Service Types'!G395)</f>
        <v>45</v>
      </c>
      <c r="H140" s="5" t="n">
        <f aca="false">IF('Service Types'!H395="","",'Service Types'!H395)</f>
        <v>1673</v>
      </c>
      <c r="I140" s="6" t="n">
        <f aca="false">IF('Service Types'!I395="","",'Service Types'!I395)</f>
        <v>0</v>
      </c>
      <c r="J140" s="6" t="n">
        <f aca="false">IF('Service Types'!J395="","",'Service Types'!J395)</f>
        <v>9.2</v>
      </c>
      <c r="K140" s="6" t="n">
        <f aca="false">IF('Service Types'!K395="","",'Service Types'!K395)</f>
        <v>7</v>
      </c>
    </row>
    <row r="141" customFormat="false" ht="15" hidden="false" customHeight="false" outlineLevel="0" collapsed="false">
      <c r="A141" s="16" t="n">
        <v>140</v>
      </c>
      <c r="B141" s="4" t="s">
        <v>412</v>
      </c>
      <c r="C141" s="4" t="str">
        <f aca="false">IF('Service Types'!B352="","",'Service Types'!B352)</f>
        <v>OS - Calgary Transit</v>
      </c>
      <c r="D141" s="5" t="n">
        <f aca="false">IF('Service Types'!E352="","",'Service Types'!E352)</f>
        <v>450</v>
      </c>
      <c r="E141" s="5" t="n">
        <f aca="false">IF('Service Types'!D352="","",'Service Types'!D352)</f>
        <v>1976</v>
      </c>
      <c r="F141" s="5" t="n">
        <f aca="false">IF('Service Types'!F352="","",'Service Types'!F352)</f>
        <v>158</v>
      </c>
      <c r="G141" s="5" t="n">
        <f aca="false">IF('Service Types'!G352="","",'Service Types'!G352)</f>
        <v>87</v>
      </c>
      <c r="H141" s="5" t="n">
        <f aca="false">IF('Service Types'!H352="","",'Service Types'!H352)</f>
        <v>1818</v>
      </c>
      <c r="I141" s="6" t="n">
        <f aca="false">IF('Service Types'!I352="","",'Service Types'!I352)</f>
        <v>9</v>
      </c>
      <c r="J141" s="6" t="n">
        <f aca="false">IF('Service Types'!J352="","",'Service Types'!J352)</f>
        <v>25.6</v>
      </c>
      <c r="K141" s="6" t="n">
        <f aca="false">IF('Service Types'!K352="","",'Service Types'!K352)</f>
        <v>63</v>
      </c>
    </row>
    <row r="142" customFormat="false" ht="15" hidden="false" customHeight="false" outlineLevel="0" collapsed="false">
      <c r="A142" s="16" t="n">
        <v>141</v>
      </c>
      <c r="B142" s="4" t="s">
        <v>411</v>
      </c>
      <c r="C142" s="4" t="str">
        <f aca="false">IF('Service Types'!B351="","",'Service Types'!B351)</f>
        <v>OS - Calgary Transit</v>
      </c>
      <c r="D142" s="5" t="n">
        <f aca="false">IF('Service Types'!E351="","",'Service Types'!E351)</f>
        <v>449</v>
      </c>
      <c r="E142" s="5" t="n">
        <f aca="false">IF('Service Types'!D351="","",'Service Types'!D351)</f>
        <v>2086</v>
      </c>
      <c r="F142" s="5" t="n">
        <f aca="false">IF('Service Types'!F351="","",'Service Types'!F351)</f>
        <v>125</v>
      </c>
      <c r="G142" s="5" t="n">
        <f aca="false">IF('Service Types'!G351="","",'Service Types'!G351)</f>
        <v>34</v>
      </c>
      <c r="H142" s="5" t="n">
        <f aca="false">IF('Service Types'!H351="","",'Service Types'!H351)</f>
        <v>1961</v>
      </c>
      <c r="I142" s="6" t="n">
        <f aca="false">IF('Service Types'!I351="","",'Service Types'!I351)</f>
        <v>8</v>
      </c>
      <c r="J142" s="6" t="n">
        <f aca="false">IF('Service Types'!J351="","",'Service Types'!J351)</f>
        <v>16.3</v>
      </c>
      <c r="K142" s="6" t="n">
        <f aca="false">IF('Service Types'!K351="","",'Service Types'!K351)</f>
        <v>41</v>
      </c>
    </row>
    <row r="143" customFormat="false" ht="15" hidden="false" customHeight="false" outlineLevel="0" collapsed="false">
      <c r="A143" s="16" t="n">
        <v>142</v>
      </c>
      <c r="B143" s="4" t="s">
        <v>376</v>
      </c>
      <c r="C143" s="4" t="str">
        <f aca="false">IF('Service Types'!B323="","",'Service Types'!B323)</f>
        <v>IS - Real Estate and Development Services</v>
      </c>
      <c r="D143" s="5" t="n">
        <f aca="false">IF('Service Types'!E323="","",'Service Types'!E323)</f>
        <v>442</v>
      </c>
      <c r="E143" s="5" t="n">
        <f aca="false">IF('Service Types'!D323="","",'Service Types'!D323)</f>
        <v>2006</v>
      </c>
      <c r="F143" s="5" t="n">
        <f aca="false">IF('Service Types'!F323="","",'Service Types'!F323)</f>
        <v>29</v>
      </c>
      <c r="G143" s="5" t="n">
        <f aca="false">IF('Service Types'!G323="","",'Service Types'!G323)</f>
        <v>15</v>
      </c>
      <c r="H143" s="5" t="n">
        <f aca="false">IF('Service Types'!H323="","",'Service Types'!H323)</f>
        <v>1977</v>
      </c>
      <c r="I143" s="6" t="n">
        <f aca="false">IF('Service Types'!I323="","",'Service Types'!I323)</f>
        <v>3</v>
      </c>
      <c r="J143" s="6" t="n">
        <f aca="false">IF('Service Types'!J323="","",'Service Types'!J323)</f>
        <v>18.2</v>
      </c>
      <c r="K143" s="6" t="n">
        <f aca="false">IF('Service Types'!K323="","",'Service Types'!K323)</f>
        <v>24</v>
      </c>
    </row>
    <row r="144" customFormat="false" ht="15" hidden="false" customHeight="false" outlineLevel="0" collapsed="false">
      <c r="A144" s="16" t="n">
        <v>143</v>
      </c>
      <c r="B144" s="4" t="s">
        <v>192</v>
      </c>
      <c r="C144" s="4" t="str">
        <f aca="false">IF('Service Types'!B149="","",'Service Types'!B149)</f>
        <v>CS - Emergency Management and Community Safety</v>
      </c>
      <c r="D144" s="5" t="n">
        <f aca="false">IF('Service Types'!E149="","",'Service Types'!E149)</f>
        <v>429</v>
      </c>
      <c r="E144" s="5" t="n">
        <f aca="false">IF('Service Types'!D149="","",'Service Types'!D149)</f>
        <v>1493</v>
      </c>
      <c r="F144" s="5" t="n">
        <f aca="false">IF('Service Types'!F149="","",'Service Types'!F149)</f>
        <v>9</v>
      </c>
      <c r="G144" s="5" t="n">
        <f aca="false">IF('Service Types'!G149="","",'Service Types'!G149)</f>
        <v>5</v>
      </c>
      <c r="H144" s="5" t="n">
        <f aca="false">IF('Service Types'!H149="","",'Service Types'!H149)</f>
        <v>1484</v>
      </c>
      <c r="I144" s="6" t="n">
        <f aca="false">IF('Service Types'!I149="","",'Service Types'!I149)</f>
        <v>3</v>
      </c>
      <c r="J144" s="6" t="n">
        <f aca="false">IF('Service Types'!J149="","",'Service Types'!J149)</f>
        <v>6.1</v>
      </c>
      <c r="K144" s="6" t="n">
        <f aca="false">IF('Service Types'!K149="","",'Service Types'!K149)</f>
        <v>14</v>
      </c>
    </row>
    <row r="145" customFormat="false" ht="15" hidden="false" customHeight="false" outlineLevel="0" collapsed="false">
      <c r="A145" s="16" t="n">
        <v>144</v>
      </c>
      <c r="B145" s="4" t="s">
        <v>40</v>
      </c>
      <c r="C145" s="4" t="str">
        <f aca="false">IF('Service Types'!B12="","",'Service Types'!B12)</f>
        <v>CPFS - Assessment and Tax</v>
      </c>
      <c r="D145" s="5" t="n">
        <f aca="false">IF('Service Types'!E12="","",'Service Types'!E12)</f>
        <v>426</v>
      </c>
      <c r="E145" s="5" t="n">
        <f aca="false">IF('Service Types'!D12="","",'Service Types'!D12)</f>
        <v>4360</v>
      </c>
      <c r="F145" s="5" t="n">
        <f aca="false">IF('Service Types'!F12="","",'Service Types'!F12)</f>
        <v>0</v>
      </c>
      <c r="G145" s="5" t="n">
        <f aca="false">IF('Service Types'!G12="","",'Service Types'!G12)</f>
        <v>0</v>
      </c>
      <c r="H145" s="5" t="n">
        <f aca="false">IF('Service Types'!H12="","",'Service Types'!H12)</f>
        <v>4360</v>
      </c>
      <c r="I145" s="6" t="n">
        <f aca="false">IF('Service Types'!I12="","",'Service Types'!I12)</f>
        <v>2</v>
      </c>
      <c r="J145" s="6" t="n">
        <f aca="false">IF('Service Types'!J12="","",'Service Types'!J12)</f>
        <v>2.4</v>
      </c>
      <c r="K145" s="6" t="n">
        <f aca="false">IF('Service Types'!K12="","",'Service Types'!K12)</f>
        <v>4</v>
      </c>
    </row>
    <row r="146" customFormat="false" ht="15" hidden="false" customHeight="false" outlineLevel="0" collapsed="false">
      <c r="A146" s="16" t="n">
        <v>145</v>
      </c>
      <c r="B146" s="4" t="s">
        <v>654</v>
      </c>
      <c r="C146" s="4" t="str">
        <f aca="false">IF('Service Types'!B585="","",'Service Types'!B585)</f>
        <v>OSC - Calgary Transit</v>
      </c>
      <c r="D146" s="5" t="n">
        <f aca="false">IF('Service Types'!E585="","",'Service Types'!E585)</f>
        <v>421</v>
      </c>
      <c r="E146" s="5" t="n">
        <f aca="false">IF('Service Types'!D585="","",'Service Types'!D585)</f>
        <v>2206</v>
      </c>
      <c r="F146" s="5" t="n">
        <f aca="false">IF('Service Types'!F585="","",'Service Types'!F585)</f>
        <v>3</v>
      </c>
      <c r="G146" s="5" t="n">
        <f aca="false">IF('Service Types'!G585="","",'Service Types'!G585)</f>
        <v>0</v>
      </c>
      <c r="H146" s="5" t="n">
        <f aca="false">IF('Service Types'!H585="","",'Service Types'!H585)</f>
        <v>2203</v>
      </c>
      <c r="I146" s="6" t="n">
        <f aca="false">IF('Service Types'!I585="","",'Service Types'!I585)</f>
        <v>2</v>
      </c>
      <c r="J146" s="6" t="n">
        <f aca="false">IF('Service Types'!J585="","",'Service Types'!J585)</f>
        <v>3</v>
      </c>
      <c r="K146" s="6" t="n">
        <f aca="false">IF('Service Types'!K585="","",'Service Types'!K585)</f>
        <v>6</v>
      </c>
    </row>
    <row r="147" customFormat="false" ht="15" hidden="false" customHeight="false" outlineLevel="0" collapsed="false">
      <c r="A147" s="16" t="n">
        <v>146</v>
      </c>
      <c r="B147" s="4" t="s">
        <v>457</v>
      </c>
      <c r="C147" s="4" t="str">
        <f aca="false">IF('Service Types'!B394="","",'Service Types'!B394)</f>
        <v>OS - Mobility</v>
      </c>
      <c r="D147" s="5" t="n">
        <f aca="false">IF('Service Types'!E394="","",'Service Types'!E394)</f>
        <v>419</v>
      </c>
      <c r="E147" s="5" t="n">
        <f aca="false">IF('Service Types'!D394="","",'Service Types'!D394)</f>
        <v>2033</v>
      </c>
      <c r="F147" s="5" t="n">
        <f aca="false">IF('Service Types'!F394="","",'Service Types'!F394)</f>
        <v>50</v>
      </c>
      <c r="G147" s="5" t="n">
        <f aca="false">IF('Service Types'!G394="","",'Service Types'!G394)</f>
        <v>7</v>
      </c>
      <c r="H147" s="5" t="n">
        <f aca="false">IF('Service Types'!H394="","",'Service Types'!H394)</f>
        <v>1983</v>
      </c>
      <c r="I147" s="6" t="n">
        <f aca="false">IF('Service Types'!I394="","",'Service Types'!I394)</f>
        <v>26</v>
      </c>
      <c r="J147" s="6" t="n">
        <f aca="false">IF('Service Types'!J394="","",'Service Types'!J394)</f>
        <v>36.5</v>
      </c>
      <c r="K147" s="6" t="n">
        <f aca="false">IF('Service Types'!K394="","",'Service Types'!K394)</f>
        <v>76</v>
      </c>
    </row>
    <row r="148" customFormat="false" ht="15" hidden="false" customHeight="false" outlineLevel="0" collapsed="false">
      <c r="A148" s="16" t="n">
        <v>147</v>
      </c>
      <c r="B148" s="4" t="s">
        <v>466</v>
      </c>
      <c r="C148" s="4" t="str">
        <f aca="false">IF('Service Types'!B403="","",'Service Types'!B403)</f>
        <v>OS - Mobility</v>
      </c>
      <c r="D148" s="5" t="n">
        <f aca="false">IF('Service Types'!E403="","",'Service Types'!E403)</f>
        <v>412</v>
      </c>
      <c r="E148" s="5" t="n">
        <f aca="false">IF('Service Types'!D403="","",'Service Types'!D403)</f>
        <v>770</v>
      </c>
      <c r="F148" s="5" t="n">
        <f aca="false">IF('Service Types'!F403="","",'Service Types'!F403)</f>
        <v>490</v>
      </c>
      <c r="G148" s="5" t="n">
        <f aca="false">IF('Service Types'!G403="","",'Service Types'!G403)</f>
        <v>224</v>
      </c>
      <c r="H148" s="5" t="n">
        <f aca="false">IF('Service Types'!H403="","",'Service Types'!H403)</f>
        <v>280</v>
      </c>
      <c r="I148" s="6" t="n">
        <f aca="false">IF('Service Types'!I403="","",'Service Types'!I403)</f>
        <v>303</v>
      </c>
      <c r="J148" s="6" t="n">
        <f aca="false">IF('Service Types'!J403="","",'Service Types'!J403)</f>
        <v>293.7</v>
      </c>
      <c r="K148" s="6" t="n">
        <f aca="false">IF('Service Types'!K403="","",'Service Types'!K403)</f>
        <v>470</v>
      </c>
    </row>
    <row r="149" customFormat="false" ht="15" hidden="false" customHeight="false" outlineLevel="0" collapsed="false">
      <c r="A149" s="16" t="n">
        <v>148</v>
      </c>
      <c r="B149" s="4" t="s">
        <v>88</v>
      </c>
      <c r="C149" s="4" t="str">
        <f aca="false">IF('Service Types'!B49="","",'Service Types'!B49)</f>
        <v>CS - Calgary Fire</v>
      </c>
      <c r="D149" s="5" t="n">
        <f aca="false">IF('Service Types'!E49="","",'Service Types'!E49)</f>
        <v>408</v>
      </c>
      <c r="E149" s="5" t="n">
        <f aca="false">IF('Service Types'!D49="","",'Service Types'!D49)</f>
        <v>1553</v>
      </c>
      <c r="F149" s="5" t="n">
        <f aca="false">IF('Service Types'!F49="","",'Service Types'!F49)</f>
        <v>320</v>
      </c>
      <c r="G149" s="5" t="n">
        <f aca="false">IF('Service Types'!G49="","",'Service Types'!G49)</f>
        <v>243</v>
      </c>
      <c r="H149" s="5" t="n">
        <f aca="false">IF('Service Types'!H49="","",'Service Types'!H49)</f>
        <v>1233</v>
      </c>
      <c r="I149" s="6" t="n">
        <f aca="false">IF('Service Types'!I49="","",'Service Types'!I49)</f>
        <v>50</v>
      </c>
      <c r="J149" s="6" t="n">
        <f aca="false">IF('Service Types'!J49="","",'Service Types'!J49)</f>
        <v>57.8</v>
      </c>
      <c r="K149" s="6" t="n">
        <f aca="false">IF('Service Types'!K49="","",'Service Types'!K49)</f>
        <v>112</v>
      </c>
    </row>
    <row r="150" customFormat="false" ht="15" hidden="false" customHeight="false" outlineLevel="0" collapsed="false">
      <c r="A150" s="16" t="n">
        <v>149</v>
      </c>
      <c r="B150" s="4" t="s">
        <v>194</v>
      </c>
      <c r="C150" s="4" t="str">
        <f aca="false">IF('Service Types'!B151="","",'Service Types'!B151)</f>
        <v>CS - Emergency Management and Community Safety</v>
      </c>
      <c r="D150" s="5" t="n">
        <f aca="false">IF('Service Types'!E151="","",'Service Types'!E151)</f>
        <v>407</v>
      </c>
      <c r="E150" s="5" t="n">
        <f aca="false">IF('Service Types'!D151="","",'Service Types'!D151)</f>
        <v>1292</v>
      </c>
      <c r="F150" s="5" t="n">
        <f aca="false">IF('Service Types'!F151="","",'Service Types'!F151)</f>
        <v>8</v>
      </c>
      <c r="G150" s="5" t="n">
        <f aca="false">IF('Service Types'!G151="","",'Service Types'!G151)</f>
        <v>1</v>
      </c>
      <c r="H150" s="5" t="n">
        <f aca="false">IF('Service Types'!H151="","",'Service Types'!H151)</f>
        <v>1284</v>
      </c>
      <c r="I150" s="6" t="n">
        <f aca="false">IF('Service Types'!I151="","",'Service Types'!I151)</f>
        <v>4</v>
      </c>
      <c r="J150" s="6" t="n">
        <f aca="false">IF('Service Types'!J151="","",'Service Types'!J151)</f>
        <v>6.3</v>
      </c>
      <c r="K150" s="6" t="n">
        <f aca="false">IF('Service Types'!K151="","",'Service Types'!K151)</f>
        <v>15</v>
      </c>
    </row>
    <row r="151" customFormat="false" ht="15" hidden="false" customHeight="false" outlineLevel="0" collapsed="false">
      <c r="A151" s="16" t="n">
        <v>150</v>
      </c>
      <c r="B151" s="4" t="s">
        <v>626</v>
      </c>
      <c r="C151" s="4" t="str">
        <f aca="false">IF('Service Types'!B558="","",'Service Types'!B558)</f>
        <v>OS - Water Services</v>
      </c>
      <c r="D151" s="5" t="n">
        <f aca="false">IF('Service Types'!E558="","",'Service Types'!E558)</f>
        <v>399</v>
      </c>
      <c r="E151" s="5" t="n">
        <f aca="false">IF('Service Types'!D558="","",'Service Types'!D558)</f>
        <v>1350</v>
      </c>
      <c r="F151" s="5" t="n">
        <f aca="false">IF('Service Types'!F558="","",'Service Types'!F558)</f>
        <v>103</v>
      </c>
      <c r="G151" s="5" t="n">
        <f aca="false">IF('Service Types'!G558="","",'Service Types'!G558)</f>
        <v>63</v>
      </c>
      <c r="H151" s="5" t="n">
        <f aca="false">IF('Service Types'!H558="","",'Service Types'!H558)</f>
        <v>1247</v>
      </c>
      <c r="I151" s="6" t="n">
        <f aca="false">IF('Service Types'!I558="","",'Service Types'!I558)</f>
        <v>26</v>
      </c>
      <c r="J151" s="6" t="n">
        <f aca="false">IF('Service Types'!J558="","",'Service Types'!J558)</f>
        <v>65.7</v>
      </c>
      <c r="K151" s="6" t="n">
        <f aca="false">IF('Service Types'!K558="","",'Service Types'!K558)</f>
        <v>190</v>
      </c>
    </row>
    <row r="152" customFormat="false" ht="15" hidden="false" customHeight="false" outlineLevel="0" collapsed="false">
      <c r="A152" s="16" t="n">
        <v>151</v>
      </c>
      <c r="B152" s="4" t="s">
        <v>459</v>
      </c>
      <c r="C152" s="4" t="str">
        <f aca="false">IF('Service Types'!B396="","",'Service Types'!B396)</f>
        <v>OS - Mobility</v>
      </c>
      <c r="D152" s="5" t="n">
        <f aca="false">IF('Service Types'!E396="","",'Service Types'!E396)</f>
        <v>398</v>
      </c>
      <c r="E152" s="5" t="n">
        <f aca="false">IF('Service Types'!D396="","",'Service Types'!D396)</f>
        <v>1554</v>
      </c>
      <c r="F152" s="5" t="n">
        <f aca="false">IF('Service Types'!F396="","",'Service Types'!F396)</f>
        <v>205</v>
      </c>
      <c r="G152" s="5" t="n">
        <f aca="false">IF('Service Types'!G396="","",'Service Types'!G396)</f>
        <v>93</v>
      </c>
      <c r="H152" s="5" t="n">
        <f aca="false">IF('Service Types'!H396="","",'Service Types'!H396)</f>
        <v>1349</v>
      </c>
      <c r="I152" s="6" t="n">
        <f aca="false">IF('Service Types'!I396="","",'Service Types'!I396)</f>
        <v>5</v>
      </c>
      <c r="J152" s="6" t="n">
        <f aca="false">IF('Service Types'!J396="","",'Service Types'!J396)</f>
        <v>13.9</v>
      </c>
      <c r="K152" s="6" t="n">
        <f aca="false">IF('Service Types'!K396="","",'Service Types'!K396)</f>
        <v>28</v>
      </c>
    </row>
    <row r="153" customFormat="false" ht="15" hidden="false" customHeight="false" outlineLevel="0" collapsed="false">
      <c r="A153" s="16" t="n">
        <v>152</v>
      </c>
      <c r="B153" s="4" t="s">
        <v>624</v>
      </c>
      <c r="C153" s="4" t="str">
        <f aca="false">IF('Service Types'!B556="","",'Service Types'!B556)</f>
        <v>OS - Water Services</v>
      </c>
      <c r="D153" s="5" t="n">
        <f aca="false">IF('Service Types'!E556="","",'Service Types'!E556)</f>
        <v>395</v>
      </c>
      <c r="E153" s="5" t="n">
        <f aca="false">IF('Service Types'!D556="","",'Service Types'!D556)</f>
        <v>1420</v>
      </c>
      <c r="F153" s="5" t="n">
        <f aca="false">IF('Service Types'!F556="","",'Service Types'!F556)</f>
        <v>3</v>
      </c>
      <c r="G153" s="5" t="n">
        <f aca="false">IF('Service Types'!G556="","",'Service Types'!G556)</f>
        <v>0</v>
      </c>
      <c r="H153" s="5" t="n">
        <f aca="false">IF('Service Types'!H556="","",'Service Types'!H556)</f>
        <v>1417</v>
      </c>
      <c r="I153" s="6" t="n">
        <f aca="false">IF('Service Types'!I556="","",'Service Types'!I556)</f>
        <v>1</v>
      </c>
      <c r="J153" s="6" t="n">
        <f aca="false">IF('Service Types'!J556="","",'Service Types'!J556)</f>
        <v>2.8</v>
      </c>
      <c r="K153" s="6" t="n">
        <f aca="false">IF('Service Types'!K556="","",'Service Types'!K556)</f>
        <v>6</v>
      </c>
    </row>
    <row r="154" customFormat="false" ht="15" hidden="false" customHeight="false" outlineLevel="0" collapsed="false">
      <c r="A154" s="16" t="n">
        <v>153</v>
      </c>
      <c r="B154" s="4" t="s">
        <v>267</v>
      </c>
      <c r="C154" s="4" t="str">
        <f aca="false">IF('Service Types'!B222="","",'Service Types'!B222)</f>
        <v>CS - Recreation and Social Programs</v>
      </c>
      <c r="D154" s="5" t="n">
        <f aca="false">IF('Service Types'!E222="","",'Service Types'!E222)</f>
        <v>388</v>
      </c>
      <c r="E154" s="5" t="n">
        <f aca="false">IF('Service Types'!D222="","",'Service Types'!D222)</f>
        <v>1726</v>
      </c>
      <c r="F154" s="5" t="n">
        <f aca="false">IF('Service Types'!F222="","",'Service Types'!F222)</f>
        <v>4</v>
      </c>
      <c r="G154" s="5" t="n">
        <f aca="false">IF('Service Types'!G222="","",'Service Types'!G222)</f>
        <v>3</v>
      </c>
      <c r="H154" s="5" t="n">
        <f aca="false">IF('Service Types'!H222="","",'Service Types'!H222)</f>
        <v>1722</v>
      </c>
      <c r="I154" s="6" t="n">
        <f aca="false">IF('Service Types'!I222="","",'Service Types'!I222)</f>
        <v>3</v>
      </c>
      <c r="J154" s="6" t="n">
        <f aca="false">IF('Service Types'!J222="","",'Service Types'!J222)</f>
        <v>6.2</v>
      </c>
      <c r="K154" s="6" t="n">
        <f aca="false">IF('Service Types'!K222="","",'Service Types'!K222)</f>
        <v>9</v>
      </c>
    </row>
    <row r="155" customFormat="false" ht="15" hidden="false" customHeight="false" outlineLevel="0" collapsed="false">
      <c r="A155" s="16" t="n">
        <v>154</v>
      </c>
      <c r="B155" s="4" t="s">
        <v>89</v>
      </c>
      <c r="C155" s="4" t="str">
        <f aca="false">IF('Service Types'!B50="","",'Service Types'!B50)</f>
        <v>CS - Calgary Fire</v>
      </c>
      <c r="D155" s="5" t="n">
        <f aca="false">IF('Service Types'!E50="","",'Service Types'!E50)</f>
        <v>385</v>
      </c>
      <c r="E155" s="5" t="n">
        <f aca="false">IF('Service Types'!D50="","",'Service Types'!D50)</f>
        <v>1462</v>
      </c>
      <c r="F155" s="5" t="n">
        <f aca="false">IF('Service Types'!F50="","",'Service Types'!F50)</f>
        <v>15</v>
      </c>
      <c r="G155" s="5" t="n">
        <f aca="false">IF('Service Types'!G50="","",'Service Types'!G50)</f>
        <v>4</v>
      </c>
      <c r="H155" s="5" t="n">
        <f aca="false">IF('Service Types'!H50="","",'Service Types'!H50)</f>
        <v>1447</v>
      </c>
      <c r="I155" s="6" t="n">
        <f aca="false">IF('Service Types'!I50="","",'Service Types'!I50)</f>
        <v>10</v>
      </c>
      <c r="J155" s="6" t="n">
        <f aca="false">IF('Service Types'!J50="","",'Service Types'!J50)</f>
        <v>14.5</v>
      </c>
      <c r="K155" s="6" t="n">
        <f aca="false">IF('Service Types'!K50="","",'Service Types'!K50)</f>
        <v>32</v>
      </c>
    </row>
    <row r="156" customFormat="false" ht="15" hidden="false" customHeight="false" outlineLevel="0" collapsed="false">
      <c r="A156" s="16" t="n">
        <v>155</v>
      </c>
      <c r="B156" s="4" t="s">
        <v>55</v>
      </c>
      <c r="C156" s="4" t="str">
        <f aca="false">IF('Service Types'!B21="","",'Service Types'!B21)</f>
        <v>CPFS - Assessment and Tax</v>
      </c>
      <c r="D156" s="5" t="n">
        <f aca="false">IF('Service Types'!E21="","",'Service Types'!E21)</f>
        <v>380</v>
      </c>
      <c r="E156" s="5" t="n">
        <f aca="false">IF('Service Types'!D21="","",'Service Types'!D21)</f>
        <v>1001</v>
      </c>
      <c r="F156" s="5" t="n">
        <f aca="false">IF('Service Types'!F21="","",'Service Types'!F21)</f>
        <v>3</v>
      </c>
      <c r="G156" s="5" t="n">
        <f aca="false">IF('Service Types'!G21="","",'Service Types'!G21)</f>
        <v>0</v>
      </c>
      <c r="H156" s="5" t="n">
        <f aca="false">IF('Service Types'!H21="","",'Service Types'!H21)</f>
        <v>998</v>
      </c>
      <c r="I156" s="6" t="n">
        <f aca="false">IF('Service Types'!I21="","",'Service Types'!I21)</f>
        <v>3</v>
      </c>
      <c r="J156" s="6" t="n">
        <f aca="false">IF('Service Types'!J21="","",'Service Types'!J21)</f>
        <v>4.7</v>
      </c>
      <c r="K156" s="6" t="n">
        <f aca="false">IF('Service Types'!K21="","",'Service Types'!K21)</f>
        <v>10</v>
      </c>
    </row>
    <row r="157" customFormat="false" ht="15" hidden="false" customHeight="false" outlineLevel="0" collapsed="false">
      <c r="A157" s="16" t="n">
        <v>156</v>
      </c>
      <c r="B157" s="4" t="s">
        <v>86</v>
      </c>
      <c r="C157" s="4" t="str">
        <f aca="false">IF('Service Types'!B47="","",'Service Types'!B47)</f>
        <v>CS - Calgary Fire</v>
      </c>
      <c r="D157" s="5" t="n">
        <f aca="false">IF('Service Types'!E47="","",'Service Types'!E47)</f>
        <v>378</v>
      </c>
      <c r="E157" s="5" t="n">
        <f aca="false">IF('Service Types'!D47="","",'Service Types'!D47)</f>
        <v>2106</v>
      </c>
      <c r="F157" s="5" t="n">
        <f aca="false">IF('Service Types'!F47="","",'Service Types'!F47)</f>
        <v>132</v>
      </c>
      <c r="G157" s="5" t="n">
        <f aca="false">IF('Service Types'!G47="","",'Service Types'!G47)</f>
        <v>77</v>
      </c>
      <c r="H157" s="5" t="n">
        <f aca="false">IF('Service Types'!H47="","",'Service Types'!H47)</f>
        <v>1974</v>
      </c>
      <c r="I157" s="6" t="n">
        <f aca="false">IF('Service Types'!I47="","",'Service Types'!I47)</f>
        <v>43</v>
      </c>
      <c r="J157" s="6" t="n">
        <f aca="false">IF('Service Types'!J47="","",'Service Types'!J47)</f>
        <v>73.6</v>
      </c>
      <c r="K157" s="6" t="n">
        <f aca="false">IF('Service Types'!K47="","",'Service Types'!K47)</f>
        <v>169</v>
      </c>
    </row>
    <row r="158" customFormat="false" ht="15" hidden="false" customHeight="false" outlineLevel="0" collapsed="false">
      <c r="A158" s="16" t="n">
        <v>157</v>
      </c>
      <c r="B158" s="4" t="s">
        <v>655</v>
      </c>
      <c r="C158" s="4" t="str">
        <f aca="false">IF('Service Types'!B586="","",'Service Types'!B586)</f>
        <v>OSC - Calgary Transit</v>
      </c>
      <c r="D158" s="5" t="n">
        <f aca="false">IF('Service Types'!E586="","",'Service Types'!E586)</f>
        <v>376</v>
      </c>
      <c r="E158" s="5" t="n">
        <f aca="false">IF('Service Types'!D586="","",'Service Types'!D586)</f>
        <v>1603</v>
      </c>
      <c r="F158" s="5" t="n">
        <f aca="false">IF('Service Types'!F586="","",'Service Types'!F586)</f>
        <v>0</v>
      </c>
      <c r="G158" s="5" t="n">
        <f aca="false">IF('Service Types'!G586="","",'Service Types'!G586)</f>
        <v>0</v>
      </c>
      <c r="H158" s="5" t="n">
        <f aca="false">IF('Service Types'!H586="","",'Service Types'!H586)</f>
        <v>1603</v>
      </c>
      <c r="I158" s="6" t="n">
        <f aca="false">IF('Service Types'!I586="","",'Service Types'!I586)</f>
        <v>1</v>
      </c>
      <c r="J158" s="6" t="n">
        <f aca="false">IF('Service Types'!J586="","",'Service Types'!J586)</f>
        <v>3.5</v>
      </c>
      <c r="K158" s="6" t="n">
        <f aca="false">IF('Service Types'!K586="","",'Service Types'!K586)</f>
        <v>7</v>
      </c>
    </row>
    <row r="159" customFormat="false" ht="15" hidden="false" customHeight="false" outlineLevel="0" collapsed="false">
      <c r="A159" s="16" t="n">
        <v>158</v>
      </c>
      <c r="B159" s="4" t="s">
        <v>190</v>
      </c>
      <c r="C159" s="4" t="str">
        <f aca="false">IF('Service Types'!B147="","",'Service Types'!B147)</f>
        <v>CS - Emergency Management and Community Safety</v>
      </c>
      <c r="D159" s="5" t="n">
        <f aca="false">IF('Service Types'!E147="","",'Service Types'!E147)</f>
        <v>369</v>
      </c>
      <c r="E159" s="5" t="n">
        <f aca="false">IF('Service Types'!D147="","",'Service Types'!D147)</f>
        <v>1834</v>
      </c>
      <c r="F159" s="5" t="n">
        <f aca="false">IF('Service Types'!F147="","",'Service Types'!F147)</f>
        <v>13</v>
      </c>
      <c r="G159" s="5" t="n">
        <f aca="false">IF('Service Types'!G147="","",'Service Types'!G147)</f>
        <v>10</v>
      </c>
      <c r="H159" s="5" t="n">
        <f aca="false">IF('Service Types'!H147="","",'Service Types'!H147)</f>
        <v>1821</v>
      </c>
      <c r="I159" s="6" t="n">
        <f aca="false">IF('Service Types'!I147="","",'Service Types'!I147)</f>
        <v>2</v>
      </c>
      <c r="J159" s="6" t="n">
        <f aca="false">IF('Service Types'!J147="","",'Service Types'!J147)</f>
        <v>5.4</v>
      </c>
      <c r="K159" s="6" t="n">
        <f aca="false">IF('Service Types'!K147="","",'Service Types'!K147)</f>
        <v>9</v>
      </c>
    </row>
    <row r="160" customFormat="false" ht="15" hidden="false" customHeight="false" outlineLevel="0" collapsed="false">
      <c r="A160" s="16" t="n">
        <v>159</v>
      </c>
      <c r="B160" s="4" t="s">
        <v>526</v>
      </c>
      <c r="C160" s="4" t="str">
        <f aca="false">IF('Service Types'!B461="","",'Service Types'!B461)</f>
        <v>OS - Parks and Open Spaces</v>
      </c>
      <c r="D160" s="5" t="n">
        <f aca="false">IF('Service Types'!E461="","",'Service Types'!E461)</f>
        <v>363</v>
      </c>
      <c r="E160" s="5" t="n">
        <f aca="false">IF('Service Types'!D461="","",'Service Types'!D461)</f>
        <v>1979</v>
      </c>
      <c r="F160" s="5" t="n">
        <f aca="false">IF('Service Types'!F461="","",'Service Types'!F461)</f>
        <v>23</v>
      </c>
      <c r="G160" s="5" t="n">
        <f aca="false">IF('Service Types'!G461="","",'Service Types'!G461)</f>
        <v>7</v>
      </c>
      <c r="H160" s="5" t="n">
        <f aca="false">IF('Service Types'!H461="","",'Service Types'!H461)</f>
        <v>1956</v>
      </c>
      <c r="I160" s="6" t="n">
        <f aca="false">IF('Service Types'!I461="","",'Service Types'!I461)</f>
        <v>4</v>
      </c>
      <c r="J160" s="6" t="n">
        <f aca="false">IF('Service Types'!J461="","",'Service Types'!J461)</f>
        <v>12.3</v>
      </c>
      <c r="K160" s="6" t="n">
        <f aca="false">IF('Service Types'!K461="","",'Service Types'!K461)</f>
        <v>40</v>
      </c>
    </row>
    <row r="161" customFormat="false" ht="15" hidden="false" customHeight="false" outlineLevel="0" collapsed="false">
      <c r="A161" s="16" t="n">
        <v>160</v>
      </c>
      <c r="B161" s="4" t="s">
        <v>91</v>
      </c>
      <c r="C161" s="4" t="str">
        <f aca="false">IF('Service Types'!B52="","",'Service Types'!B52)</f>
        <v>CS - Calgary Fire</v>
      </c>
      <c r="D161" s="5" t="n">
        <f aca="false">IF('Service Types'!E52="","",'Service Types'!E52)</f>
        <v>359</v>
      </c>
      <c r="E161" s="5" t="n">
        <f aca="false">IF('Service Types'!D52="","",'Service Types'!D52)</f>
        <v>1270</v>
      </c>
      <c r="F161" s="5" t="n">
        <f aca="false">IF('Service Types'!F52="","",'Service Types'!F52)</f>
        <v>167</v>
      </c>
      <c r="G161" s="5" t="n">
        <f aca="false">IF('Service Types'!G52="","",'Service Types'!G52)</f>
        <v>103</v>
      </c>
      <c r="H161" s="5" t="n">
        <f aca="false">IF('Service Types'!H52="","",'Service Types'!H52)</f>
        <v>1103</v>
      </c>
      <c r="I161" s="6" t="n">
        <f aca="false">IF('Service Types'!I52="","",'Service Types'!I52)</f>
        <v>21</v>
      </c>
      <c r="J161" s="6" t="n">
        <f aca="false">IF('Service Types'!J52="","",'Service Types'!J52)</f>
        <v>33.7</v>
      </c>
      <c r="K161" s="6" t="n">
        <f aca="false">IF('Service Types'!K52="","",'Service Types'!K52)</f>
        <v>65</v>
      </c>
    </row>
    <row r="162" customFormat="false" ht="15" hidden="false" customHeight="false" outlineLevel="0" collapsed="false">
      <c r="A162" s="16" t="n">
        <v>161</v>
      </c>
      <c r="B162" s="4" t="s">
        <v>272</v>
      </c>
      <c r="C162" s="4" t="str">
        <f aca="false">IF('Service Types'!B227="","",'Service Types'!B227)</f>
        <v>CS - Recreation and Social Programs</v>
      </c>
      <c r="D162" s="5" t="n">
        <f aca="false">IF('Service Types'!E227="","",'Service Types'!E227)</f>
        <v>357</v>
      </c>
      <c r="E162" s="5" t="n">
        <f aca="false">IF('Service Types'!D227="","",'Service Types'!D227)</f>
        <v>1033</v>
      </c>
      <c r="F162" s="5" t="n">
        <f aca="false">IF('Service Types'!F227="","",'Service Types'!F227)</f>
        <v>0</v>
      </c>
      <c r="G162" s="5" t="n">
        <f aca="false">IF('Service Types'!G227="","",'Service Types'!G227)</f>
        <v>0</v>
      </c>
      <c r="H162" s="5" t="n">
        <f aca="false">IF('Service Types'!H227="","",'Service Types'!H227)</f>
        <v>1033</v>
      </c>
      <c r="I162" s="6" t="n">
        <f aca="false">IF('Service Types'!I227="","",'Service Types'!I227)</f>
        <v>5</v>
      </c>
      <c r="J162" s="6" t="n">
        <f aca="false">IF('Service Types'!J227="","",'Service Types'!J227)</f>
        <v>9</v>
      </c>
      <c r="K162" s="6" t="n">
        <f aca="false">IF('Service Types'!K227="","",'Service Types'!K227)</f>
        <v>14</v>
      </c>
    </row>
    <row r="163" customFormat="false" ht="15" hidden="false" customHeight="false" outlineLevel="0" collapsed="false">
      <c r="A163" s="16" t="n">
        <v>162</v>
      </c>
      <c r="B163" s="4" t="s">
        <v>401</v>
      </c>
      <c r="C163" s="4" t="str">
        <f aca="false">IF('Service Types'!B342="","",'Service Types'!B342)</f>
        <v>LLSS - Law</v>
      </c>
      <c r="D163" s="5" t="n">
        <f aca="false">IF('Service Types'!E342="","",'Service Types'!E342)</f>
        <v>357</v>
      </c>
      <c r="E163" s="5" t="n">
        <f aca="false">IF('Service Types'!D342="","",'Service Types'!D342)</f>
        <v>359</v>
      </c>
      <c r="F163" s="5" t="n">
        <f aca="false">IF('Service Types'!F342="","",'Service Types'!F342)</f>
        <v>3</v>
      </c>
      <c r="G163" s="5" t="n">
        <f aca="false">IF('Service Types'!G342="","",'Service Types'!G342)</f>
        <v>0</v>
      </c>
      <c r="H163" s="5" t="n">
        <f aca="false">IF('Service Types'!H342="","",'Service Types'!H342)</f>
        <v>356</v>
      </c>
      <c r="I163" s="6" t="n">
        <f aca="false">IF('Service Types'!I342="","",'Service Types'!I342)</f>
        <v>1</v>
      </c>
      <c r="J163" s="6" t="n">
        <f aca="false">IF('Service Types'!J342="","",'Service Types'!J342)</f>
        <v>6.6</v>
      </c>
      <c r="K163" s="6" t="n">
        <f aca="false">IF('Service Types'!K342="","",'Service Types'!K342)</f>
        <v>4</v>
      </c>
    </row>
    <row r="164" customFormat="false" ht="15" hidden="false" customHeight="false" outlineLevel="0" collapsed="false">
      <c r="A164" s="16" t="n">
        <v>163</v>
      </c>
      <c r="B164" s="4" t="s">
        <v>623</v>
      </c>
      <c r="C164" s="4" t="str">
        <f aca="false">IF('Service Types'!B555="","",'Service Types'!B555)</f>
        <v>OS - Water Services</v>
      </c>
      <c r="D164" s="5" t="n">
        <f aca="false">IF('Service Types'!E555="","",'Service Types'!E555)</f>
        <v>352</v>
      </c>
      <c r="E164" s="5" t="n">
        <f aca="false">IF('Service Types'!D555="","",'Service Types'!D555)</f>
        <v>1616</v>
      </c>
      <c r="F164" s="5" t="n">
        <f aca="false">IF('Service Types'!F555="","",'Service Types'!F555)</f>
        <v>211</v>
      </c>
      <c r="G164" s="5" t="n">
        <f aca="false">IF('Service Types'!G555="","",'Service Types'!G555)</f>
        <v>134</v>
      </c>
      <c r="H164" s="5" t="n">
        <f aca="false">IF('Service Types'!H555="","",'Service Types'!H555)</f>
        <v>1405</v>
      </c>
      <c r="I164" s="6" t="n">
        <f aca="false">IF('Service Types'!I555="","",'Service Types'!I555)</f>
        <v>33</v>
      </c>
      <c r="J164" s="6" t="n">
        <f aca="false">IF('Service Types'!J555="","",'Service Types'!J555)</f>
        <v>50.9</v>
      </c>
      <c r="K164" s="6" t="n">
        <f aca="false">IF('Service Types'!K555="","",'Service Types'!K555)</f>
        <v>120</v>
      </c>
    </row>
    <row r="165" customFormat="false" ht="15" hidden="false" customHeight="false" outlineLevel="0" collapsed="false">
      <c r="A165" s="16" t="n">
        <v>164</v>
      </c>
      <c r="B165" s="4" t="s">
        <v>262</v>
      </c>
      <c r="C165" s="4" t="str">
        <f aca="false">IF('Service Types'!B217="","",'Service Types'!B217)</f>
        <v>CS - Recreation and Social Programs</v>
      </c>
      <c r="D165" s="5" t="n">
        <f aca="false">IF('Service Types'!E217="","",'Service Types'!E217)</f>
        <v>342</v>
      </c>
      <c r="E165" s="5" t="n">
        <f aca="false">IF('Service Types'!D217="","",'Service Types'!D217)</f>
        <v>5606</v>
      </c>
      <c r="F165" s="5" t="n">
        <f aca="false">IF('Service Types'!F217="","",'Service Types'!F217)</f>
        <v>8</v>
      </c>
      <c r="G165" s="5" t="n">
        <f aca="false">IF('Service Types'!G217="","",'Service Types'!G217)</f>
        <v>0</v>
      </c>
      <c r="H165" s="5" t="n">
        <f aca="false">IF('Service Types'!H217="","",'Service Types'!H217)</f>
        <v>5598</v>
      </c>
      <c r="I165" s="6" t="n">
        <f aca="false">IF('Service Types'!I217="","",'Service Types'!I217)</f>
        <v>13</v>
      </c>
      <c r="J165" s="6" t="n">
        <f aca="false">IF('Service Types'!J217="","",'Service Types'!J217)</f>
        <v>12.6</v>
      </c>
      <c r="K165" s="6" t="n">
        <f aca="false">IF('Service Types'!K217="","",'Service Types'!K217)</f>
        <v>19</v>
      </c>
    </row>
    <row r="166" customFormat="false" ht="15" hidden="false" customHeight="false" outlineLevel="0" collapsed="false">
      <c r="A166" s="16" t="n">
        <v>165</v>
      </c>
      <c r="B166" s="4" t="s">
        <v>578</v>
      </c>
      <c r="C166" s="4" t="str">
        <f aca="false">IF('Service Types'!B512="","",'Service Types'!B512)</f>
        <v>OS - Waste and Recycling Services</v>
      </c>
      <c r="D166" s="5" t="n">
        <f aca="false">IF('Service Types'!E512="","",'Service Types'!E512)</f>
        <v>341</v>
      </c>
      <c r="E166" s="5" t="n">
        <f aca="false">IF('Service Types'!D512="","",'Service Types'!D512)</f>
        <v>1532</v>
      </c>
      <c r="F166" s="5" t="n">
        <f aca="false">IF('Service Types'!F512="","",'Service Types'!F512)</f>
        <v>5</v>
      </c>
      <c r="G166" s="5" t="n">
        <f aca="false">IF('Service Types'!G512="","",'Service Types'!G512)</f>
        <v>0</v>
      </c>
      <c r="H166" s="5" t="n">
        <f aca="false">IF('Service Types'!H512="","",'Service Types'!H512)</f>
        <v>1527</v>
      </c>
      <c r="I166" s="6" t="n">
        <f aca="false">IF('Service Types'!I512="","",'Service Types'!I512)</f>
        <v>1</v>
      </c>
      <c r="J166" s="6" t="n">
        <f aca="false">IF('Service Types'!J512="","",'Service Types'!J512)</f>
        <v>1.8</v>
      </c>
      <c r="K166" s="6" t="n">
        <f aca="false">IF('Service Types'!K512="","",'Service Types'!K512)</f>
        <v>4</v>
      </c>
    </row>
    <row r="167" customFormat="false" ht="15" hidden="false" customHeight="false" outlineLevel="0" collapsed="false">
      <c r="A167" s="16" t="n">
        <v>166</v>
      </c>
      <c r="B167" s="4" t="s">
        <v>348</v>
      </c>
      <c r="C167" s="4" t="str">
        <f aca="false">IF('Service Types'!B296="","",'Service Types'!B296)</f>
        <v>IS - Public Spaces Delivery</v>
      </c>
      <c r="D167" s="5" t="n">
        <f aca="false">IF('Service Types'!E296="","",'Service Types'!E296)</f>
        <v>331</v>
      </c>
      <c r="E167" s="5" t="n">
        <f aca="false">IF('Service Types'!D296="","",'Service Types'!D296)</f>
        <v>1450</v>
      </c>
      <c r="F167" s="5" t="n">
        <f aca="false">IF('Service Types'!F296="","",'Service Types'!F296)</f>
        <v>7</v>
      </c>
      <c r="G167" s="5" t="n">
        <f aca="false">IF('Service Types'!G296="","",'Service Types'!G296)</f>
        <v>1</v>
      </c>
      <c r="H167" s="5" t="n">
        <f aca="false">IF('Service Types'!H296="","",'Service Types'!H296)</f>
        <v>1443</v>
      </c>
      <c r="I167" s="6" t="n">
        <f aca="false">IF('Service Types'!I296="","",'Service Types'!I296)</f>
        <v>6</v>
      </c>
      <c r="J167" s="6" t="n">
        <f aca="false">IF('Service Types'!J296="","",'Service Types'!J296)</f>
        <v>11.2</v>
      </c>
      <c r="K167" s="6" t="n">
        <f aca="false">IF('Service Types'!K296="","",'Service Types'!K296)</f>
        <v>23</v>
      </c>
    </row>
    <row r="168" customFormat="false" ht="15" hidden="false" customHeight="false" outlineLevel="0" collapsed="false">
      <c r="A168" s="16" t="n">
        <v>167</v>
      </c>
      <c r="B168" s="4" t="s">
        <v>425</v>
      </c>
      <c r="C168" s="4" t="str">
        <f aca="false">IF('Service Types'!B365="","",'Service Types'!B365)</f>
        <v>OS - Facility Management</v>
      </c>
      <c r="D168" s="5" t="n">
        <f aca="false">IF('Service Types'!E365="","",'Service Types'!E365)</f>
        <v>329</v>
      </c>
      <c r="E168" s="5" t="n">
        <f aca="false">IF('Service Types'!D365="","",'Service Types'!D365)</f>
        <v>1434</v>
      </c>
      <c r="F168" s="5" t="n">
        <f aca="false">IF('Service Types'!F365="","",'Service Types'!F365)</f>
        <v>12</v>
      </c>
      <c r="G168" s="5" t="n">
        <f aca="false">IF('Service Types'!G365="","",'Service Types'!G365)</f>
        <v>9</v>
      </c>
      <c r="H168" s="5" t="n">
        <f aca="false">IF('Service Types'!H365="","",'Service Types'!H365)</f>
        <v>1422</v>
      </c>
      <c r="I168" s="6" t="n">
        <f aca="false">IF('Service Types'!I365="","",'Service Types'!I365)</f>
        <v>1</v>
      </c>
      <c r="J168" s="6" t="n">
        <f aca="false">IF('Service Types'!J365="","",'Service Types'!J365)</f>
        <v>10.3</v>
      </c>
      <c r="K168" s="6" t="n">
        <f aca="false">IF('Service Types'!K365="","",'Service Types'!K365)</f>
        <v>11</v>
      </c>
    </row>
    <row r="169" customFormat="false" ht="15" hidden="false" customHeight="false" outlineLevel="0" collapsed="false">
      <c r="A169" s="16" t="n">
        <v>168</v>
      </c>
      <c r="B169" s="4" t="s">
        <v>416</v>
      </c>
      <c r="C169" s="4" t="str">
        <f aca="false">IF('Service Types'!B356="","",'Service Types'!B356)</f>
        <v>OS - Calgary Transit</v>
      </c>
      <c r="D169" s="5" t="n">
        <f aca="false">IF('Service Types'!E356="","",'Service Types'!E356)</f>
        <v>324</v>
      </c>
      <c r="E169" s="5" t="n">
        <f aca="false">IF('Service Types'!D356="","",'Service Types'!D356)</f>
        <v>1232</v>
      </c>
      <c r="F169" s="5" t="n">
        <f aca="false">IF('Service Types'!F356="","",'Service Types'!F356)</f>
        <v>22</v>
      </c>
      <c r="G169" s="5" t="n">
        <f aca="false">IF('Service Types'!G356="","",'Service Types'!G356)</f>
        <v>9</v>
      </c>
      <c r="H169" s="5" t="n">
        <f aca="false">IF('Service Types'!H356="","",'Service Types'!H356)</f>
        <v>1210</v>
      </c>
      <c r="I169" s="6" t="n">
        <f aca="false">IF('Service Types'!I356="","",'Service Types'!I356)</f>
        <v>6</v>
      </c>
      <c r="J169" s="6" t="n">
        <f aca="false">IF('Service Types'!J356="","",'Service Types'!J356)</f>
        <v>12.6</v>
      </c>
      <c r="K169" s="6" t="n">
        <f aca="false">IF('Service Types'!K356="","",'Service Types'!K356)</f>
        <v>33</v>
      </c>
    </row>
    <row r="170" customFormat="false" ht="15" hidden="false" customHeight="false" outlineLevel="0" collapsed="false">
      <c r="A170" s="16" t="n">
        <v>169</v>
      </c>
      <c r="B170" s="4" t="s">
        <v>191</v>
      </c>
      <c r="C170" s="4" t="str">
        <f aca="false">IF('Service Types'!B148="","",'Service Types'!B148)</f>
        <v>CS - Emergency Management and Community Safety</v>
      </c>
      <c r="D170" s="5" t="n">
        <f aca="false">IF('Service Types'!E148="","",'Service Types'!E148)</f>
        <v>315</v>
      </c>
      <c r="E170" s="5" t="n">
        <f aca="false">IF('Service Types'!D148="","",'Service Types'!D148)</f>
        <v>1588</v>
      </c>
      <c r="F170" s="5" t="n">
        <f aca="false">IF('Service Types'!F148="","",'Service Types'!F148)</f>
        <v>6</v>
      </c>
      <c r="G170" s="5" t="n">
        <f aca="false">IF('Service Types'!G148="","",'Service Types'!G148)</f>
        <v>3</v>
      </c>
      <c r="H170" s="5" t="n">
        <f aca="false">IF('Service Types'!H148="","",'Service Types'!H148)</f>
        <v>1582</v>
      </c>
      <c r="I170" s="6" t="n">
        <f aca="false">IF('Service Types'!I148="","",'Service Types'!I148)</f>
        <v>1</v>
      </c>
      <c r="J170" s="6" t="n">
        <f aca="false">IF('Service Types'!J148="","",'Service Types'!J148)</f>
        <v>4.7</v>
      </c>
      <c r="K170" s="6" t="n">
        <f aca="false">IF('Service Types'!K148="","",'Service Types'!K148)</f>
        <v>9</v>
      </c>
    </row>
    <row r="171" customFormat="false" ht="15" hidden="false" customHeight="false" outlineLevel="0" collapsed="false">
      <c r="A171" s="16" t="n">
        <v>170</v>
      </c>
      <c r="B171" s="4" t="s">
        <v>462</v>
      </c>
      <c r="C171" s="4" t="str">
        <f aca="false">IF('Service Types'!B399="","",'Service Types'!B399)</f>
        <v>OS - Mobility</v>
      </c>
      <c r="D171" s="5" t="n">
        <f aca="false">IF('Service Types'!E399="","",'Service Types'!E399)</f>
        <v>313</v>
      </c>
      <c r="E171" s="5" t="n">
        <f aca="false">IF('Service Types'!D399="","",'Service Types'!D399)</f>
        <v>1357</v>
      </c>
      <c r="F171" s="5" t="n">
        <f aca="false">IF('Service Types'!F399="","",'Service Types'!F399)</f>
        <v>34</v>
      </c>
      <c r="G171" s="5" t="n">
        <f aca="false">IF('Service Types'!G399="","",'Service Types'!G399)</f>
        <v>16</v>
      </c>
      <c r="H171" s="5" t="n">
        <f aca="false">IF('Service Types'!H399="","",'Service Types'!H399)</f>
        <v>1323</v>
      </c>
      <c r="I171" s="6" t="n">
        <f aca="false">IF('Service Types'!I399="","",'Service Types'!I399)</f>
        <v>82</v>
      </c>
      <c r="J171" s="6" t="n">
        <f aca="false">IF('Service Types'!J399="","",'Service Types'!J399)</f>
        <v>126.2</v>
      </c>
      <c r="K171" s="6" t="n">
        <f aca="false">IF('Service Types'!K399="","",'Service Types'!K399)</f>
        <v>410</v>
      </c>
    </row>
    <row r="172" customFormat="false" ht="15" hidden="false" customHeight="false" outlineLevel="0" collapsed="false">
      <c r="A172" s="16" t="n">
        <v>171</v>
      </c>
      <c r="B172" s="4" t="s">
        <v>268</v>
      </c>
      <c r="C172" s="4" t="str">
        <f aca="false">IF('Service Types'!B223="","",'Service Types'!B223)</f>
        <v>CS - Recreation and Social Programs</v>
      </c>
      <c r="D172" s="5" t="n">
        <f aca="false">IF('Service Types'!E223="","",'Service Types'!E223)</f>
        <v>311</v>
      </c>
      <c r="E172" s="5" t="n">
        <f aca="false">IF('Service Types'!D223="","",'Service Types'!D223)</f>
        <v>1586</v>
      </c>
      <c r="F172" s="5" t="n">
        <f aca="false">IF('Service Types'!F223="","",'Service Types'!F223)</f>
        <v>8</v>
      </c>
      <c r="G172" s="5" t="n">
        <f aca="false">IF('Service Types'!G223="","",'Service Types'!G223)</f>
        <v>8</v>
      </c>
      <c r="H172" s="5" t="n">
        <f aca="false">IF('Service Types'!H223="","",'Service Types'!H223)</f>
        <v>1578</v>
      </c>
      <c r="I172" s="6" t="n">
        <f aca="false">IF('Service Types'!I223="","",'Service Types'!I223)</f>
        <v>3</v>
      </c>
      <c r="J172" s="6" t="n">
        <f aca="false">IF('Service Types'!J223="","",'Service Types'!J223)</f>
        <v>13.8</v>
      </c>
      <c r="K172" s="6" t="n">
        <f aca="false">IF('Service Types'!K223="","",'Service Types'!K223)</f>
        <v>50</v>
      </c>
    </row>
    <row r="173" customFormat="false" ht="15" hidden="false" customHeight="false" outlineLevel="0" collapsed="false">
      <c r="A173" s="16" t="n">
        <v>172</v>
      </c>
      <c r="B173" s="4" t="s">
        <v>92</v>
      </c>
      <c r="C173" s="4" t="str">
        <f aca="false">IF('Service Types'!B53="","",'Service Types'!B53)</f>
        <v>CS - Calgary Fire</v>
      </c>
      <c r="D173" s="5" t="n">
        <f aca="false">IF('Service Types'!E53="","",'Service Types'!E53)</f>
        <v>302</v>
      </c>
      <c r="E173" s="5" t="n">
        <f aca="false">IF('Service Types'!D53="","",'Service Types'!D53)</f>
        <v>1260</v>
      </c>
      <c r="F173" s="5" t="n">
        <f aca="false">IF('Service Types'!F53="","",'Service Types'!F53)</f>
        <v>33</v>
      </c>
      <c r="G173" s="5" t="n">
        <f aca="false">IF('Service Types'!G53="","",'Service Types'!G53)</f>
        <v>3</v>
      </c>
      <c r="H173" s="5" t="n">
        <f aca="false">IF('Service Types'!H53="","",'Service Types'!H53)</f>
        <v>1227</v>
      </c>
      <c r="I173" s="6" t="n">
        <f aca="false">IF('Service Types'!I53="","",'Service Types'!I53)</f>
        <v>11</v>
      </c>
      <c r="J173" s="6" t="n">
        <f aca="false">IF('Service Types'!J53="","",'Service Types'!J53)</f>
        <v>22.9</v>
      </c>
      <c r="K173" s="6" t="n">
        <f aca="false">IF('Service Types'!K53="","",'Service Types'!K53)</f>
        <v>44</v>
      </c>
    </row>
    <row r="174" customFormat="false" ht="15" hidden="false" customHeight="false" outlineLevel="0" collapsed="false">
      <c r="A174" s="16" t="n">
        <v>173</v>
      </c>
      <c r="B174" s="4" t="s">
        <v>193</v>
      </c>
      <c r="C174" s="4" t="str">
        <f aca="false">IF('Service Types'!B150="","",'Service Types'!B150)</f>
        <v>CS - Emergency Management and Community Safety</v>
      </c>
      <c r="D174" s="5" t="n">
        <f aca="false">IF('Service Types'!E150="","",'Service Types'!E150)</f>
        <v>299</v>
      </c>
      <c r="E174" s="5" t="n">
        <f aca="false">IF('Service Types'!D150="","",'Service Types'!D150)</f>
        <v>1426</v>
      </c>
      <c r="F174" s="5" t="n">
        <f aca="false">IF('Service Types'!F150="","",'Service Types'!F150)</f>
        <v>13</v>
      </c>
      <c r="G174" s="5" t="n">
        <f aca="false">IF('Service Types'!G150="","",'Service Types'!G150)</f>
        <v>13</v>
      </c>
      <c r="H174" s="5" t="n">
        <f aca="false">IF('Service Types'!H150="","",'Service Types'!H150)</f>
        <v>1413</v>
      </c>
      <c r="I174" s="6" t="n">
        <f aca="false">IF('Service Types'!I150="","",'Service Types'!I150)</f>
        <v>2</v>
      </c>
      <c r="J174" s="6" t="n">
        <f aca="false">IF('Service Types'!J150="","",'Service Types'!J150)</f>
        <v>7.3</v>
      </c>
      <c r="K174" s="6" t="n">
        <f aca="false">IF('Service Types'!K150="","",'Service Types'!K150)</f>
        <v>13</v>
      </c>
    </row>
    <row r="175" customFormat="false" ht="15" hidden="false" customHeight="false" outlineLevel="0" collapsed="false">
      <c r="A175" s="16" t="n">
        <v>174</v>
      </c>
      <c r="B175" s="4" t="s">
        <v>415</v>
      </c>
      <c r="C175" s="4" t="str">
        <f aca="false">IF('Service Types'!B355="","",'Service Types'!B355)</f>
        <v>OS - Calgary Transit</v>
      </c>
      <c r="D175" s="5" t="n">
        <f aca="false">IF('Service Types'!E355="","",'Service Types'!E355)</f>
        <v>291</v>
      </c>
      <c r="E175" s="5" t="n">
        <f aca="false">IF('Service Types'!D355="","",'Service Types'!D355)</f>
        <v>1369</v>
      </c>
      <c r="F175" s="5" t="n">
        <f aca="false">IF('Service Types'!F355="","",'Service Types'!F355)</f>
        <v>18</v>
      </c>
      <c r="G175" s="5" t="n">
        <f aca="false">IF('Service Types'!G355="","",'Service Types'!G355)</f>
        <v>5</v>
      </c>
      <c r="H175" s="5" t="n">
        <f aca="false">IF('Service Types'!H355="","",'Service Types'!H355)</f>
        <v>1351</v>
      </c>
      <c r="I175" s="6" t="n">
        <f aca="false">IF('Service Types'!I355="","",'Service Types'!I355)</f>
        <v>4</v>
      </c>
      <c r="J175" s="6" t="n">
        <f aca="false">IF('Service Types'!J355="","",'Service Types'!J355)</f>
        <v>7.8</v>
      </c>
      <c r="K175" s="6" t="n">
        <f aca="false">IF('Service Types'!K355="","",'Service Types'!K355)</f>
        <v>21</v>
      </c>
    </row>
    <row r="176" customFormat="false" ht="15" hidden="false" customHeight="false" outlineLevel="0" collapsed="false">
      <c r="A176" s="16" t="n">
        <v>175</v>
      </c>
      <c r="B176" s="4" t="s">
        <v>622</v>
      </c>
      <c r="C176" s="4" t="str">
        <f aca="false">IF('Service Types'!B554="","",'Service Types'!B554)</f>
        <v>OS - Water Services</v>
      </c>
      <c r="D176" s="5" t="n">
        <f aca="false">IF('Service Types'!E554="","",'Service Types'!E554)</f>
        <v>286</v>
      </c>
      <c r="E176" s="5" t="n">
        <f aca="false">IF('Service Types'!D554="","",'Service Types'!D554)</f>
        <v>1723</v>
      </c>
      <c r="F176" s="5" t="n">
        <f aca="false">IF('Service Types'!F554="","",'Service Types'!F554)</f>
        <v>2</v>
      </c>
      <c r="G176" s="5" t="n">
        <f aca="false">IF('Service Types'!G554="","",'Service Types'!G554)</f>
        <v>2</v>
      </c>
      <c r="H176" s="5" t="n">
        <f aca="false">IF('Service Types'!H554="","",'Service Types'!H554)</f>
        <v>1721</v>
      </c>
      <c r="I176" s="6" t="n">
        <f aca="false">IF('Service Types'!I554="","",'Service Types'!I554)</f>
        <v>3</v>
      </c>
      <c r="J176" s="6" t="n">
        <f aca="false">IF('Service Types'!J554="","",'Service Types'!J554)</f>
        <v>8.4</v>
      </c>
      <c r="K176" s="6" t="n">
        <f aca="false">IF('Service Types'!K554="","",'Service Types'!K554)</f>
        <v>20</v>
      </c>
    </row>
    <row r="177" customFormat="false" ht="15" hidden="false" customHeight="false" outlineLevel="0" collapsed="false">
      <c r="A177" s="16" t="n">
        <v>176</v>
      </c>
      <c r="B177" s="4" t="s">
        <v>530</v>
      </c>
      <c r="C177" s="4" t="str">
        <f aca="false">IF('Service Types'!B465="","",'Service Types'!B465)</f>
        <v>OS - Parks and Open Spaces</v>
      </c>
      <c r="D177" s="5" t="n">
        <f aca="false">IF('Service Types'!E465="","",'Service Types'!E465)</f>
        <v>280</v>
      </c>
      <c r="E177" s="5" t="n">
        <f aca="false">IF('Service Types'!D465="","",'Service Types'!D465)</f>
        <v>1472</v>
      </c>
      <c r="F177" s="5" t="n">
        <f aca="false">IF('Service Types'!F465="","",'Service Types'!F465)</f>
        <v>24</v>
      </c>
      <c r="G177" s="5" t="n">
        <f aca="false">IF('Service Types'!G465="","",'Service Types'!G465)</f>
        <v>8</v>
      </c>
      <c r="H177" s="5" t="n">
        <f aca="false">IF('Service Types'!H465="","",'Service Types'!H465)</f>
        <v>1448</v>
      </c>
      <c r="I177" s="6" t="n">
        <f aca="false">IF('Service Types'!I465="","",'Service Types'!I465)</f>
        <v>5</v>
      </c>
      <c r="J177" s="6" t="n">
        <f aca="false">IF('Service Types'!J465="","",'Service Types'!J465)</f>
        <v>14.9</v>
      </c>
      <c r="K177" s="6" t="n">
        <f aca="false">IF('Service Types'!K465="","",'Service Types'!K465)</f>
        <v>37</v>
      </c>
    </row>
    <row r="178" customFormat="false" ht="15" hidden="false" customHeight="false" outlineLevel="0" collapsed="false">
      <c r="A178" s="16" t="n">
        <v>177</v>
      </c>
      <c r="B178" s="4" t="s">
        <v>198</v>
      </c>
      <c r="C178" s="4" t="str">
        <f aca="false">IF('Service Types'!B155="","",'Service Types'!B155)</f>
        <v>CS - Emergency Management and Community Safety</v>
      </c>
      <c r="D178" s="5" t="n">
        <f aca="false">IF('Service Types'!E155="","",'Service Types'!E155)</f>
        <v>279</v>
      </c>
      <c r="E178" s="5" t="n">
        <f aca="false">IF('Service Types'!D155="","",'Service Types'!D155)</f>
        <v>983</v>
      </c>
      <c r="F178" s="5" t="n">
        <f aca="false">IF('Service Types'!F155="","",'Service Types'!F155)</f>
        <v>51</v>
      </c>
      <c r="G178" s="5" t="n">
        <f aca="false">IF('Service Types'!G155="","",'Service Types'!G155)</f>
        <v>6</v>
      </c>
      <c r="H178" s="5" t="n">
        <f aca="false">IF('Service Types'!H155="","",'Service Types'!H155)</f>
        <v>932</v>
      </c>
      <c r="I178" s="6" t="n">
        <f aca="false">IF('Service Types'!I155="","",'Service Types'!I155)</f>
        <v>10</v>
      </c>
      <c r="J178" s="6" t="n">
        <f aca="false">IF('Service Types'!J155="","",'Service Types'!J155)</f>
        <v>28.5</v>
      </c>
      <c r="K178" s="6" t="n">
        <f aca="false">IF('Service Types'!K155="","",'Service Types'!K155)</f>
        <v>79</v>
      </c>
    </row>
    <row r="179" customFormat="false" ht="15" hidden="false" customHeight="false" outlineLevel="0" collapsed="false">
      <c r="A179" s="16" t="n">
        <v>178</v>
      </c>
      <c r="B179" s="4" t="s">
        <v>330</v>
      </c>
      <c r="C179" s="4" t="str">
        <f aca="false">IF('Service Types'!B281="","",'Service Types'!B281)</f>
        <v>IS - Capital Planning and Business Services</v>
      </c>
      <c r="D179" s="5" t="n">
        <f aca="false">IF('Service Types'!E281="","",'Service Types'!E281)</f>
        <v>273</v>
      </c>
      <c r="E179" s="5" t="n">
        <f aca="false">IF('Service Types'!D281="","",'Service Types'!D281)</f>
        <v>502</v>
      </c>
      <c r="F179" s="5" t="n">
        <f aca="false">IF('Service Types'!F281="","",'Service Types'!F281)</f>
        <v>8</v>
      </c>
      <c r="G179" s="5" t="n">
        <f aca="false">IF('Service Types'!G281="","",'Service Types'!G281)</f>
        <v>3</v>
      </c>
      <c r="H179" s="5" t="n">
        <f aca="false">IF('Service Types'!H281="","",'Service Types'!H281)</f>
        <v>493</v>
      </c>
      <c r="I179" s="6" t="n">
        <f aca="false">IF('Service Types'!I281="","",'Service Types'!I281)</f>
        <v>2</v>
      </c>
      <c r="J179" s="6" t="n">
        <f aca="false">IF('Service Types'!J281="","",'Service Types'!J281)</f>
        <v>21.2</v>
      </c>
      <c r="K179" s="6" t="n">
        <f aca="false">IF('Service Types'!K281="","",'Service Types'!K281)</f>
        <v>11</v>
      </c>
    </row>
    <row r="180" customFormat="false" ht="15" hidden="false" customHeight="false" outlineLevel="0" collapsed="false">
      <c r="A180" s="16" t="n">
        <v>179</v>
      </c>
      <c r="B180" s="4" t="s">
        <v>58</v>
      </c>
      <c r="C180" s="4" t="str">
        <f aca="false">IF('Service Types'!B24="","",'Service Types'!B24)</f>
        <v>CPFS - Assessment and Tax</v>
      </c>
      <c r="D180" s="5" t="n">
        <f aca="false">IF('Service Types'!E24="","",'Service Types'!E24)</f>
        <v>267</v>
      </c>
      <c r="E180" s="5" t="n">
        <f aca="false">IF('Service Types'!D24="","",'Service Types'!D24)</f>
        <v>653</v>
      </c>
      <c r="F180" s="5" t="n">
        <f aca="false">IF('Service Types'!F24="","",'Service Types'!F24)</f>
        <v>0</v>
      </c>
      <c r="G180" s="5" t="n">
        <f aca="false">IF('Service Types'!G24="","",'Service Types'!G24)</f>
        <v>0</v>
      </c>
      <c r="H180" s="5" t="n">
        <f aca="false">IF('Service Types'!H24="","",'Service Types'!H24)</f>
        <v>653</v>
      </c>
      <c r="I180" s="6" t="n">
        <f aca="false">IF('Service Types'!I24="","",'Service Types'!I24)</f>
        <v>3</v>
      </c>
      <c r="J180" s="6" t="n">
        <f aca="false">IF('Service Types'!J24="","",'Service Types'!J24)</f>
        <v>6.9</v>
      </c>
      <c r="K180" s="6" t="n">
        <f aca="false">IF('Service Types'!K24="","",'Service Types'!K24)</f>
        <v>13</v>
      </c>
    </row>
    <row r="181" customFormat="false" ht="15" hidden="false" customHeight="false" outlineLevel="0" collapsed="false">
      <c r="A181" s="16" t="n">
        <v>180</v>
      </c>
      <c r="B181" s="4" t="s">
        <v>350</v>
      </c>
      <c r="C181" s="4" t="str">
        <f aca="false">IF('Service Types'!B297="","",'Service Types'!B297)</f>
        <v>IS - Public Spaces Delivery</v>
      </c>
      <c r="D181" s="5" t="n">
        <f aca="false">IF('Service Types'!E297="","",'Service Types'!E297)</f>
        <v>263</v>
      </c>
      <c r="E181" s="5" t="n">
        <f aca="false">IF('Service Types'!D297="","",'Service Types'!D297)</f>
        <v>955</v>
      </c>
      <c r="F181" s="5" t="n">
        <f aca="false">IF('Service Types'!F297="","",'Service Types'!F297)</f>
        <v>9</v>
      </c>
      <c r="G181" s="5" t="n">
        <f aca="false">IF('Service Types'!G297="","",'Service Types'!G297)</f>
        <v>2</v>
      </c>
      <c r="H181" s="5" t="n">
        <f aca="false">IF('Service Types'!H297="","",'Service Types'!H297)</f>
        <v>946</v>
      </c>
      <c r="I181" s="6" t="n">
        <f aca="false">IF('Service Types'!I297="","",'Service Types'!I297)</f>
        <v>5</v>
      </c>
      <c r="J181" s="6" t="n">
        <f aca="false">IF('Service Types'!J297="","",'Service Types'!J297)</f>
        <v>14.8</v>
      </c>
      <c r="K181" s="6" t="n">
        <f aca="false">IF('Service Types'!K297="","",'Service Types'!K297)</f>
        <v>25</v>
      </c>
    </row>
    <row r="182" customFormat="false" ht="15" hidden="false" customHeight="false" outlineLevel="0" collapsed="false">
      <c r="A182" s="16" t="n">
        <v>181</v>
      </c>
      <c r="B182" s="4" t="s">
        <v>577</v>
      </c>
      <c r="C182" s="4" t="str">
        <f aca="false">IF('Service Types'!B511="","",'Service Types'!B511)</f>
        <v>OS - Waste and Recycling Services</v>
      </c>
      <c r="D182" s="5" t="n">
        <f aca="false">IF('Service Types'!E511="","",'Service Types'!E511)</f>
        <v>258</v>
      </c>
      <c r="E182" s="5" t="n">
        <f aca="false">IF('Service Types'!D511="","",'Service Types'!D511)</f>
        <v>1600</v>
      </c>
      <c r="F182" s="5" t="n">
        <f aca="false">IF('Service Types'!F511="","",'Service Types'!F511)</f>
        <v>8</v>
      </c>
      <c r="G182" s="5" t="n">
        <f aca="false">IF('Service Types'!G511="","",'Service Types'!G511)</f>
        <v>0</v>
      </c>
      <c r="H182" s="5" t="n">
        <f aca="false">IF('Service Types'!H511="","",'Service Types'!H511)</f>
        <v>1592</v>
      </c>
      <c r="I182" s="6" t="n">
        <f aca="false">IF('Service Types'!I511="","",'Service Types'!I511)</f>
        <v>1</v>
      </c>
      <c r="J182" s="6" t="n">
        <f aca="false">IF('Service Types'!J511="","",'Service Types'!J511)</f>
        <v>3.4</v>
      </c>
      <c r="K182" s="6" t="n">
        <f aca="false">IF('Service Types'!K511="","",'Service Types'!K511)</f>
        <v>10</v>
      </c>
    </row>
    <row r="183" customFormat="false" ht="15" hidden="false" customHeight="false" outlineLevel="0" collapsed="false">
      <c r="A183" s="16" t="n">
        <v>182</v>
      </c>
      <c r="B183" s="4" t="s">
        <v>463</v>
      </c>
      <c r="C183" s="4" t="str">
        <f aca="false">IF('Service Types'!B400="","",'Service Types'!B400)</f>
        <v>OS - Mobility</v>
      </c>
      <c r="D183" s="5" t="n">
        <f aca="false">IF('Service Types'!E400="","",'Service Types'!E400)</f>
        <v>254</v>
      </c>
      <c r="E183" s="5" t="n">
        <f aca="false">IF('Service Types'!D400="","",'Service Types'!D400)</f>
        <v>1210</v>
      </c>
      <c r="F183" s="5" t="n">
        <f aca="false">IF('Service Types'!F400="","",'Service Types'!F400)</f>
        <v>32</v>
      </c>
      <c r="G183" s="5" t="n">
        <f aca="false">IF('Service Types'!G400="","",'Service Types'!G400)</f>
        <v>13</v>
      </c>
      <c r="H183" s="5" t="n">
        <f aca="false">IF('Service Types'!H400="","",'Service Types'!H400)</f>
        <v>1178</v>
      </c>
      <c r="I183" s="6" t="n">
        <f aca="false">IF('Service Types'!I400="","",'Service Types'!I400)</f>
        <v>20</v>
      </c>
      <c r="J183" s="6" t="n">
        <f aca="false">IF('Service Types'!J400="","",'Service Types'!J400)</f>
        <v>27.2</v>
      </c>
      <c r="K183" s="6" t="n">
        <f aca="false">IF('Service Types'!K400="","",'Service Types'!K400)</f>
        <v>67</v>
      </c>
    </row>
    <row r="184" customFormat="false" ht="15" hidden="false" customHeight="false" outlineLevel="0" collapsed="false">
      <c r="A184" s="16" t="n">
        <v>183</v>
      </c>
      <c r="B184" s="4" t="s">
        <v>93</v>
      </c>
      <c r="C184" s="4" t="str">
        <f aca="false">IF('Service Types'!B54="","",'Service Types'!B54)</f>
        <v>CS - Calgary Fire</v>
      </c>
      <c r="D184" s="5" t="n">
        <f aca="false">IF('Service Types'!E54="","",'Service Types'!E54)</f>
        <v>248</v>
      </c>
      <c r="E184" s="5" t="n">
        <f aca="false">IF('Service Types'!D54="","",'Service Types'!D54)</f>
        <v>902</v>
      </c>
      <c r="F184" s="5" t="n">
        <f aca="false">IF('Service Types'!F54="","",'Service Types'!F54)</f>
        <v>39</v>
      </c>
      <c r="G184" s="5" t="n">
        <f aca="false">IF('Service Types'!G54="","",'Service Types'!G54)</f>
        <v>36</v>
      </c>
      <c r="H184" s="5" t="n">
        <f aca="false">IF('Service Types'!H54="","",'Service Types'!H54)</f>
        <v>863</v>
      </c>
      <c r="I184" s="6" t="n">
        <f aca="false">IF('Service Types'!I54="","",'Service Types'!I54)</f>
        <v>3</v>
      </c>
      <c r="J184" s="6" t="n">
        <f aca="false">IF('Service Types'!J54="","",'Service Types'!J54)</f>
        <v>5.2</v>
      </c>
      <c r="K184" s="6" t="n">
        <f aca="false">IF('Service Types'!K54="","",'Service Types'!K54)</f>
        <v>12</v>
      </c>
    </row>
    <row r="185" customFormat="false" ht="15" hidden="false" customHeight="false" outlineLevel="0" collapsed="false">
      <c r="A185" s="16" t="n">
        <v>184</v>
      </c>
      <c r="B185" s="4" t="s">
        <v>638</v>
      </c>
      <c r="C185" s="4" t="str">
        <f aca="false">IF('Service Types'!B570="","",'Service Types'!B570)</f>
        <v>OS - Water Services</v>
      </c>
      <c r="D185" s="5" t="n">
        <f aca="false">IF('Service Types'!E570="","",'Service Types'!E570)</f>
        <v>242</v>
      </c>
      <c r="E185" s="5" t="n">
        <f aca="false">IF('Service Types'!D570="","",'Service Types'!D570)</f>
        <v>406</v>
      </c>
      <c r="F185" s="5" t="n">
        <f aca="false">IF('Service Types'!F570="","",'Service Types'!F570)</f>
        <v>3</v>
      </c>
      <c r="G185" s="5" t="n">
        <f aca="false">IF('Service Types'!G570="","",'Service Types'!G570)</f>
        <v>1</v>
      </c>
      <c r="H185" s="5" t="n">
        <f aca="false">IF('Service Types'!H570="","",'Service Types'!H570)</f>
        <v>403</v>
      </c>
      <c r="I185" s="6" t="n">
        <f aca="false">IF('Service Types'!I570="","",'Service Types'!I570)</f>
        <v>1</v>
      </c>
      <c r="J185" s="6" t="n">
        <f aca="false">IF('Service Types'!J570="","",'Service Types'!J570)</f>
        <v>4.5</v>
      </c>
      <c r="K185" s="6" t="n">
        <f aca="false">IF('Service Types'!K570="","",'Service Types'!K570)</f>
        <v>10</v>
      </c>
    </row>
    <row r="186" customFormat="false" ht="15" hidden="false" customHeight="false" outlineLevel="0" collapsed="false">
      <c r="A186" s="16" t="n">
        <v>185</v>
      </c>
      <c r="B186" s="4" t="s">
        <v>625</v>
      </c>
      <c r="C186" s="4" t="str">
        <f aca="false">IF('Service Types'!B557="","",'Service Types'!B557)</f>
        <v>OS - Water Services</v>
      </c>
      <c r="D186" s="5" t="n">
        <f aca="false">IF('Service Types'!E557="","",'Service Types'!E557)</f>
        <v>234</v>
      </c>
      <c r="E186" s="5" t="n">
        <f aca="false">IF('Service Types'!D557="","",'Service Types'!D557)</f>
        <v>1397</v>
      </c>
      <c r="F186" s="5" t="n">
        <f aca="false">IF('Service Types'!F557="","",'Service Types'!F557)</f>
        <v>0</v>
      </c>
      <c r="G186" s="5" t="n">
        <f aca="false">IF('Service Types'!G557="","",'Service Types'!G557)</f>
        <v>0</v>
      </c>
      <c r="H186" s="5" t="n">
        <f aca="false">IF('Service Types'!H557="","",'Service Types'!H557)</f>
        <v>1397</v>
      </c>
      <c r="I186" s="6" t="n">
        <f aca="false">IF('Service Types'!I557="","",'Service Types'!I557)</f>
        <v>1</v>
      </c>
      <c r="J186" s="6" t="n">
        <f aca="false">IF('Service Types'!J557="","",'Service Types'!J557)</f>
        <v>3.4</v>
      </c>
      <c r="K186" s="6" t="n">
        <f aca="false">IF('Service Types'!K557="","",'Service Types'!K557)</f>
        <v>2</v>
      </c>
    </row>
    <row r="187" customFormat="false" ht="15" hidden="false" customHeight="false" outlineLevel="0" collapsed="false">
      <c r="A187" s="16" t="n">
        <v>186</v>
      </c>
      <c r="B187" s="4" t="s">
        <v>68</v>
      </c>
      <c r="C187" s="4" t="str">
        <f aca="false">IF('Service Types'!B33="","",'Service Types'!B33)</f>
        <v>CPFS - Finance</v>
      </c>
      <c r="D187" s="5" t="n">
        <f aca="false">IF('Service Types'!E33="","",'Service Types'!E33)</f>
        <v>233</v>
      </c>
      <c r="E187" s="5" t="n">
        <f aca="false">IF('Service Types'!D33="","",'Service Types'!D33)</f>
        <v>1033</v>
      </c>
      <c r="F187" s="5" t="n">
        <f aca="false">IF('Service Types'!F33="","",'Service Types'!F33)</f>
        <v>0</v>
      </c>
      <c r="G187" s="5" t="n">
        <f aca="false">IF('Service Types'!G33="","",'Service Types'!G33)</f>
        <v>0</v>
      </c>
      <c r="H187" s="5" t="n">
        <f aca="false">IF('Service Types'!H33="","",'Service Types'!H33)</f>
        <v>1033</v>
      </c>
      <c r="I187" s="6" t="n">
        <f aca="false">IF('Service Types'!I33="","",'Service Types'!I33)</f>
        <v>0</v>
      </c>
      <c r="J187" s="6" t="n">
        <f aca="false">IF('Service Types'!J33="","",'Service Types'!J33)</f>
        <v>1.3</v>
      </c>
      <c r="K187" s="6" t="n">
        <f aca="false">IF('Service Types'!K33="","",'Service Types'!K33)</f>
        <v>3</v>
      </c>
    </row>
    <row r="188" customFormat="false" ht="15" hidden="false" customHeight="false" outlineLevel="0" collapsed="false">
      <c r="A188" s="16" t="n">
        <v>187</v>
      </c>
      <c r="B188" s="4" t="s">
        <v>94</v>
      </c>
      <c r="C188" s="4" t="str">
        <f aca="false">IF('Service Types'!B55="","",'Service Types'!B55)</f>
        <v>CS - Calgary Fire</v>
      </c>
      <c r="D188" s="5" t="n">
        <f aca="false">IF('Service Types'!E55="","",'Service Types'!E55)</f>
        <v>233</v>
      </c>
      <c r="E188" s="5" t="n">
        <f aca="false">IF('Service Types'!D55="","",'Service Types'!D55)</f>
        <v>650</v>
      </c>
      <c r="F188" s="5" t="n">
        <f aca="false">IF('Service Types'!F55="","",'Service Types'!F55)</f>
        <v>5</v>
      </c>
      <c r="G188" s="5" t="n">
        <f aca="false">IF('Service Types'!G55="","",'Service Types'!G55)</f>
        <v>1</v>
      </c>
      <c r="H188" s="5" t="n">
        <f aca="false">IF('Service Types'!H55="","",'Service Types'!H55)</f>
        <v>645</v>
      </c>
      <c r="I188" s="6" t="n">
        <f aca="false">IF('Service Types'!I55="","",'Service Types'!I55)</f>
        <v>13</v>
      </c>
      <c r="J188" s="6" t="n">
        <f aca="false">IF('Service Types'!J55="","",'Service Types'!J55)</f>
        <v>19.7</v>
      </c>
      <c r="K188" s="6" t="n">
        <f aca="false">IF('Service Types'!K55="","",'Service Types'!K55)</f>
        <v>34</v>
      </c>
    </row>
    <row r="189" customFormat="false" ht="15" hidden="false" customHeight="false" outlineLevel="0" collapsed="false">
      <c r="A189" s="16" t="n">
        <v>188</v>
      </c>
      <c r="B189" s="4" t="s">
        <v>271</v>
      </c>
      <c r="C189" s="4" t="str">
        <f aca="false">IF('Service Types'!B226="","",'Service Types'!B226)</f>
        <v>CS - Recreation and Social Programs</v>
      </c>
      <c r="D189" s="5" t="n">
        <f aca="false">IF('Service Types'!E226="","",'Service Types'!E226)</f>
        <v>232</v>
      </c>
      <c r="E189" s="5" t="n">
        <f aca="false">IF('Service Types'!D226="","",'Service Types'!D226)</f>
        <v>1035</v>
      </c>
      <c r="F189" s="5" t="n">
        <f aca="false">IF('Service Types'!F226="","",'Service Types'!F226)</f>
        <v>17</v>
      </c>
      <c r="G189" s="5" t="n">
        <f aca="false">IF('Service Types'!G226="","",'Service Types'!G226)</f>
        <v>12</v>
      </c>
      <c r="H189" s="5" t="n">
        <f aca="false">IF('Service Types'!H226="","",'Service Types'!H226)</f>
        <v>1018</v>
      </c>
      <c r="I189" s="6" t="n">
        <f aca="false">IF('Service Types'!I226="","",'Service Types'!I226)</f>
        <v>2</v>
      </c>
      <c r="J189" s="6" t="n">
        <f aca="false">IF('Service Types'!J226="","",'Service Types'!J226)</f>
        <v>5.9</v>
      </c>
      <c r="K189" s="6" t="n">
        <f aca="false">IF('Service Types'!K226="","",'Service Types'!K226)</f>
        <v>6</v>
      </c>
    </row>
    <row r="190" customFormat="false" ht="15" hidden="false" customHeight="false" outlineLevel="0" collapsed="false">
      <c r="A190" s="16" t="n">
        <v>189</v>
      </c>
      <c r="B190" s="4" t="s">
        <v>742</v>
      </c>
      <c r="C190" s="4" t="str">
        <f aca="false">IF('Service Types'!B664="","",'Service Types'!B664)</f>
        <v>PDS - Development, Business and Building Services</v>
      </c>
      <c r="D190" s="5" t="n">
        <f aca="false">IF('Service Types'!E664="","",'Service Types'!E664)</f>
        <v>226</v>
      </c>
      <c r="E190" s="5" t="n">
        <f aca="false">IF('Service Types'!D664="","",'Service Types'!D664)</f>
        <v>227</v>
      </c>
      <c r="F190" s="5" t="n">
        <f aca="false">IF('Service Types'!F664="","",'Service Types'!F664)</f>
        <v>0</v>
      </c>
      <c r="G190" s="5" t="n">
        <f aca="false">IF('Service Types'!G664="","",'Service Types'!G664)</f>
        <v>0</v>
      </c>
      <c r="H190" s="5" t="n">
        <f aca="false">IF('Service Types'!H664="","",'Service Types'!H664)</f>
        <v>227</v>
      </c>
      <c r="I190" s="6" t="n">
        <f aca="false">IF('Service Types'!I664="","",'Service Types'!I664)</f>
        <v>0</v>
      </c>
      <c r="J190" s="6" t="n">
        <f aca="false">IF('Service Types'!J664="","",'Service Types'!J664)</f>
        <v>2.6</v>
      </c>
      <c r="K190" s="6" t="n">
        <f aca="false">IF('Service Types'!K664="","",'Service Types'!K664)</f>
        <v>2</v>
      </c>
    </row>
    <row r="191" customFormat="false" ht="15" hidden="false" customHeight="false" outlineLevel="0" collapsed="false">
      <c r="A191" s="16" t="n">
        <v>190</v>
      </c>
      <c r="B191" s="4" t="s">
        <v>200</v>
      </c>
      <c r="C191" s="4" t="str">
        <f aca="false">IF('Service Types'!B157="","",'Service Types'!B157)</f>
        <v>CS - Emergency Management and Community Safety</v>
      </c>
      <c r="D191" s="5" t="n">
        <f aca="false">IF('Service Types'!E157="","",'Service Types'!E157)</f>
        <v>221</v>
      </c>
      <c r="E191" s="5" t="n">
        <f aca="false">IF('Service Types'!D157="","",'Service Types'!D157)</f>
        <v>811</v>
      </c>
      <c r="F191" s="5" t="n">
        <f aca="false">IF('Service Types'!F157="","",'Service Types'!F157)</f>
        <v>22</v>
      </c>
      <c r="G191" s="5" t="n">
        <f aca="false">IF('Service Types'!G157="","",'Service Types'!G157)</f>
        <v>6</v>
      </c>
      <c r="H191" s="5" t="n">
        <f aca="false">IF('Service Types'!H157="","",'Service Types'!H157)</f>
        <v>789</v>
      </c>
      <c r="I191" s="6" t="n">
        <f aca="false">IF('Service Types'!I157="","",'Service Types'!I157)</f>
        <v>5</v>
      </c>
      <c r="J191" s="6" t="n">
        <f aca="false">IF('Service Types'!J157="","",'Service Types'!J157)</f>
        <v>17.9</v>
      </c>
      <c r="K191" s="6" t="n">
        <f aca="false">IF('Service Types'!K157="","",'Service Types'!K157)</f>
        <v>41</v>
      </c>
    </row>
    <row r="192" customFormat="false" ht="15" hidden="false" customHeight="false" outlineLevel="0" collapsed="false">
      <c r="A192" s="16" t="n">
        <v>191</v>
      </c>
      <c r="B192" s="4" t="s">
        <v>537</v>
      </c>
      <c r="C192" s="4" t="str">
        <f aca="false">IF('Service Types'!B472="","",'Service Types'!B472)</f>
        <v>OS - Parks and Open Spaces</v>
      </c>
      <c r="D192" s="5" t="n">
        <f aca="false">IF('Service Types'!E472="","",'Service Types'!E472)</f>
        <v>221</v>
      </c>
      <c r="E192" s="5" t="n">
        <f aca="false">IF('Service Types'!D472="","",'Service Types'!D472)</f>
        <v>701</v>
      </c>
      <c r="F192" s="5" t="n">
        <f aca="false">IF('Service Types'!F472="","",'Service Types'!F472)</f>
        <v>3</v>
      </c>
      <c r="G192" s="5" t="n">
        <f aca="false">IF('Service Types'!G472="","",'Service Types'!G472)</f>
        <v>2</v>
      </c>
      <c r="H192" s="5" t="n">
        <f aca="false">IF('Service Types'!H472="","",'Service Types'!H472)</f>
        <v>698</v>
      </c>
      <c r="I192" s="6" t="n">
        <f aca="false">IF('Service Types'!I472="","",'Service Types'!I472)</f>
        <v>1</v>
      </c>
      <c r="J192" s="6" t="n">
        <f aca="false">IF('Service Types'!J472="","",'Service Types'!J472)</f>
        <v>3.7</v>
      </c>
      <c r="K192" s="6" t="n">
        <f aca="false">IF('Service Types'!K472="","",'Service Types'!K472)</f>
        <v>8</v>
      </c>
    </row>
    <row r="193" customFormat="false" ht="15" hidden="false" customHeight="false" outlineLevel="0" collapsed="false">
      <c r="A193" s="16" t="n">
        <v>192</v>
      </c>
      <c r="B193" s="4" t="s">
        <v>539</v>
      </c>
      <c r="C193" s="4" t="str">
        <f aca="false">IF('Service Types'!B474="","",'Service Types'!B474)</f>
        <v>OS - Parks and Open Spaces</v>
      </c>
      <c r="D193" s="5" t="n">
        <f aca="false">IF('Service Types'!E474="","",'Service Types'!E474)</f>
        <v>210</v>
      </c>
      <c r="E193" s="5" t="n">
        <f aca="false">IF('Service Types'!D474="","",'Service Types'!D474)</f>
        <v>688</v>
      </c>
      <c r="F193" s="5" t="n">
        <f aca="false">IF('Service Types'!F474="","",'Service Types'!F474)</f>
        <v>4</v>
      </c>
      <c r="G193" s="5" t="n">
        <f aca="false">IF('Service Types'!G474="","",'Service Types'!G474)</f>
        <v>1</v>
      </c>
      <c r="H193" s="5" t="n">
        <f aca="false">IF('Service Types'!H474="","",'Service Types'!H474)</f>
        <v>684</v>
      </c>
      <c r="I193" s="6" t="n">
        <f aca="false">IF('Service Types'!I474="","",'Service Types'!I474)</f>
        <v>4</v>
      </c>
      <c r="J193" s="6" t="n">
        <f aca="false">IF('Service Types'!J474="","",'Service Types'!J474)</f>
        <v>5.9</v>
      </c>
      <c r="K193" s="6" t="n">
        <f aca="false">IF('Service Types'!K474="","",'Service Types'!K474)</f>
        <v>13</v>
      </c>
    </row>
    <row r="194" customFormat="false" ht="15" hidden="false" customHeight="false" outlineLevel="0" collapsed="false">
      <c r="A194" s="16" t="n">
        <v>193</v>
      </c>
      <c r="B194" s="4" t="s">
        <v>803</v>
      </c>
      <c r="C194" s="4" t="str">
        <f aca="false">IF('Service Types'!B718="","",'Service Types'!B718)</f>
        <v>PICS - Marketing and Communication</v>
      </c>
      <c r="D194" s="5" t="n">
        <f aca="false">IF('Service Types'!E718="","",'Service Types'!E718)</f>
        <v>204</v>
      </c>
      <c r="E194" s="5" t="n">
        <f aca="false">IF('Service Types'!D718="","",'Service Types'!D718)</f>
        <v>210</v>
      </c>
      <c r="F194" s="5" t="n">
        <f aca="false">IF('Service Types'!F718="","",'Service Types'!F718)</f>
        <v>11</v>
      </c>
      <c r="G194" s="5" t="n">
        <f aca="false">IF('Service Types'!G718="","",'Service Types'!G718)</f>
        <v>0</v>
      </c>
      <c r="H194" s="5" t="n">
        <f aca="false">IF('Service Types'!H718="","",'Service Types'!H718)</f>
        <v>199</v>
      </c>
      <c r="I194" s="6" t="n">
        <f aca="false">IF('Service Types'!I718="","",'Service Types'!I718)</f>
        <v>3</v>
      </c>
      <c r="J194" s="6" t="n">
        <f aca="false">IF('Service Types'!J718="","",'Service Types'!J718)</f>
        <v>8.4</v>
      </c>
      <c r="K194" s="6" t="n">
        <f aca="false">IF('Service Types'!K718="","",'Service Types'!K718)</f>
        <v>19</v>
      </c>
    </row>
    <row r="195" customFormat="false" ht="15" hidden="false" customHeight="false" outlineLevel="0" collapsed="false">
      <c r="A195" s="16" t="n">
        <v>194</v>
      </c>
      <c r="B195" s="4" t="s">
        <v>735</v>
      </c>
      <c r="C195" s="4" t="str">
        <f aca="false">IF('Service Types'!B657="","",'Service Types'!B657)</f>
        <v>PDS - Development, Business and Building Services</v>
      </c>
      <c r="D195" s="5" t="n">
        <f aca="false">IF('Service Types'!E657="","",'Service Types'!E657)</f>
        <v>200</v>
      </c>
      <c r="E195" s="5" t="n">
        <f aca="false">IF('Service Types'!D657="","",'Service Types'!D657)</f>
        <v>622</v>
      </c>
      <c r="F195" s="5" t="n">
        <f aca="false">IF('Service Types'!F657="","",'Service Types'!F657)</f>
        <v>8</v>
      </c>
      <c r="G195" s="5" t="n">
        <f aca="false">IF('Service Types'!G657="","",'Service Types'!G657)</f>
        <v>0</v>
      </c>
      <c r="H195" s="5" t="n">
        <f aca="false">IF('Service Types'!H657="","",'Service Types'!H657)</f>
        <v>614</v>
      </c>
      <c r="I195" s="6" t="n">
        <f aca="false">IF('Service Types'!I657="","",'Service Types'!I657)</f>
        <v>1</v>
      </c>
      <c r="J195" s="6" t="n">
        <f aca="false">IF('Service Types'!J657="","",'Service Types'!J657)</f>
        <v>9.7</v>
      </c>
      <c r="K195" s="6" t="n">
        <f aca="false">IF('Service Types'!K657="","",'Service Types'!K657)</f>
        <v>16</v>
      </c>
    </row>
    <row r="196" customFormat="false" ht="15" hidden="false" customHeight="false" outlineLevel="0" collapsed="false">
      <c r="A196" s="16" t="n">
        <v>195</v>
      </c>
      <c r="B196" s="4" t="s">
        <v>417</v>
      </c>
      <c r="C196" s="4" t="str">
        <f aca="false">IF('Service Types'!B357="","",'Service Types'!B357)</f>
        <v>OS - Calgary Transit</v>
      </c>
      <c r="D196" s="5" t="n">
        <f aca="false">IF('Service Types'!E357="","",'Service Types'!E357)</f>
        <v>199</v>
      </c>
      <c r="E196" s="5" t="n">
        <f aca="false">IF('Service Types'!D357="","",'Service Types'!D357)</f>
        <v>958</v>
      </c>
      <c r="F196" s="5" t="n">
        <f aca="false">IF('Service Types'!F357="","",'Service Types'!F357)</f>
        <v>29</v>
      </c>
      <c r="G196" s="5" t="n">
        <f aca="false">IF('Service Types'!G357="","",'Service Types'!G357)</f>
        <v>7</v>
      </c>
      <c r="H196" s="5" t="n">
        <f aca="false">IF('Service Types'!H357="","",'Service Types'!H357)</f>
        <v>929</v>
      </c>
      <c r="I196" s="6" t="n">
        <f aca="false">IF('Service Types'!I357="","",'Service Types'!I357)</f>
        <v>10</v>
      </c>
      <c r="J196" s="6" t="n">
        <f aca="false">IF('Service Types'!J357="","",'Service Types'!J357)</f>
        <v>18.1</v>
      </c>
      <c r="K196" s="6" t="n">
        <f aca="false">IF('Service Types'!K357="","",'Service Types'!K357)</f>
        <v>46</v>
      </c>
    </row>
    <row r="197" customFormat="false" ht="15" hidden="false" customHeight="false" outlineLevel="0" collapsed="false">
      <c r="A197" s="16" t="n">
        <v>196</v>
      </c>
      <c r="B197" s="4" t="s">
        <v>541</v>
      </c>
      <c r="C197" s="4" t="str">
        <f aca="false">IF('Service Types'!B476="","",'Service Types'!B476)</f>
        <v>OS - Parks and Open Spaces</v>
      </c>
      <c r="D197" s="5" t="n">
        <f aca="false">IF('Service Types'!E476="","",'Service Types'!E476)</f>
        <v>199</v>
      </c>
      <c r="E197" s="5" t="n">
        <f aca="false">IF('Service Types'!D476="","",'Service Types'!D476)</f>
        <v>595</v>
      </c>
      <c r="F197" s="5" t="n">
        <f aca="false">IF('Service Types'!F476="","",'Service Types'!F476)</f>
        <v>8</v>
      </c>
      <c r="G197" s="5" t="n">
        <f aca="false">IF('Service Types'!G476="","",'Service Types'!G476)</f>
        <v>2</v>
      </c>
      <c r="H197" s="5" t="n">
        <f aca="false">IF('Service Types'!H476="","",'Service Types'!H476)</f>
        <v>587</v>
      </c>
      <c r="I197" s="6" t="n">
        <f aca="false">IF('Service Types'!I476="","",'Service Types'!I476)</f>
        <v>4</v>
      </c>
      <c r="J197" s="6" t="n">
        <f aca="false">IF('Service Types'!J476="","",'Service Types'!J476)</f>
        <v>6.1</v>
      </c>
      <c r="K197" s="6" t="n">
        <f aca="false">IF('Service Types'!K476="","",'Service Types'!K476)</f>
        <v>12</v>
      </c>
    </row>
    <row r="198" customFormat="false" ht="15" hidden="false" customHeight="false" outlineLevel="0" collapsed="false">
      <c r="A198" s="16" t="n">
        <v>197</v>
      </c>
      <c r="B198" s="4" t="s">
        <v>636</v>
      </c>
      <c r="C198" s="4" t="str">
        <f aca="false">IF('Service Types'!B568="","",'Service Types'!B568)</f>
        <v>OS - Water Services</v>
      </c>
      <c r="D198" s="5" t="n">
        <f aca="false">IF('Service Types'!E568="","",'Service Types'!E568)</f>
        <v>199</v>
      </c>
      <c r="E198" s="5" t="n">
        <f aca="false">IF('Service Types'!D568="","",'Service Types'!D568)</f>
        <v>502</v>
      </c>
      <c r="F198" s="5" t="n">
        <f aca="false">IF('Service Types'!F568="","",'Service Types'!F568)</f>
        <v>1</v>
      </c>
      <c r="G198" s="5" t="n">
        <f aca="false">IF('Service Types'!G568="","",'Service Types'!G568)</f>
        <v>0</v>
      </c>
      <c r="H198" s="5" t="n">
        <f aca="false">IF('Service Types'!H568="","",'Service Types'!H568)</f>
        <v>501</v>
      </c>
      <c r="I198" s="6" t="n">
        <f aca="false">IF('Service Types'!I568="","",'Service Types'!I568)</f>
        <v>1</v>
      </c>
      <c r="J198" s="6" t="n">
        <f aca="false">IF('Service Types'!J568="","",'Service Types'!J568)</f>
        <v>5.8</v>
      </c>
      <c r="K198" s="6" t="n">
        <f aca="false">IF('Service Types'!K568="","",'Service Types'!K568)</f>
        <v>7</v>
      </c>
    </row>
    <row r="199" customFormat="false" ht="15" hidden="false" customHeight="false" outlineLevel="0" collapsed="false">
      <c r="A199" s="16" t="n">
        <v>198</v>
      </c>
      <c r="B199" s="4" t="s">
        <v>628</v>
      </c>
      <c r="C199" s="4" t="str">
        <f aca="false">IF('Service Types'!B560="","",'Service Types'!B560)</f>
        <v>OS - Water Services</v>
      </c>
      <c r="D199" s="5" t="n">
        <f aca="false">IF('Service Types'!E560="","",'Service Types'!E560)</f>
        <v>197</v>
      </c>
      <c r="E199" s="5" t="n">
        <f aca="false">IF('Service Types'!D560="","",'Service Types'!D560)</f>
        <v>1016</v>
      </c>
      <c r="F199" s="5" t="n">
        <f aca="false">IF('Service Types'!F560="","",'Service Types'!F560)</f>
        <v>77</v>
      </c>
      <c r="G199" s="5" t="n">
        <f aca="false">IF('Service Types'!G560="","",'Service Types'!G560)</f>
        <v>50</v>
      </c>
      <c r="H199" s="5" t="n">
        <f aca="false">IF('Service Types'!H560="","",'Service Types'!H560)</f>
        <v>938</v>
      </c>
      <c r="I199" s="6" t="n">
        <f aca="false">IF('Service Types'!I560="","",'Service Types'!I560)</f>
        <v>15</v>
      </c>
      <c r="J199" s="6" t="n">
        <f aca="false">IF('Service Types'!J560="","",'Service Types'!J560)</f>
        <v>48.8</v>
      </c>
      <c r="K199" s="6" t="n">
        <f aca="false">IF('Service Types'!K560="","",'Service Types'!K560)</f>
        <v>127</v>
      </c>
    </row>
    <row r="200" customFormat="false" ht="15" hidden="false" customHeight="false" outlineLevel="0" collapsed="false">
      <c r="A200" s="16" t="n">
        <v>199</v>
      </c>
      <c r="B200" s="4" t="s">
        <v>69</v>
      </c>
      <c r="C200" s="4" t="str">
        <f aca="false">IF('Service Types'!B34="","",'Service Types'!B34)</f>
        <v>CPFS - Finance</v>
      </c>
      <c r="D200" s="5" t="n">
        <f aca="false">IF('Service Types'!E34="","",'Service Types'!E34)</f>
        <v>195</v>
      </c>
      <c r="E200" s="5" t="n">
        <f aca="false">IF('Service Types'!D34="","",'Service Types'!D34)</f>
        <v>759</v>
      </c>
      <c r="F200" s="5" t="n">
        <f aca="false">IF('Service Types'!F34="","",'Service Types'!F34)</f>
        <v>0</v>
      </c>
      <c r="G200" s="5" t="n">
        <f aca="false">IF('Service Types'!G34="","",'Service Types'!G34)</f>
        <v>0</v>
      </c>
      <c r="H200" s="5" t="n">
        <f aca="false">IF('Service Types'!H34="","",'Service Types'!H34)</f>
        <v>759</v>
      </c>
      <c r="I200" s="6" t="n">
        <f aca="false">IF('Service Types'!I34="","",'Service Types'!I34)</f>
        <v>0</v>
      </c>
      <c r="J200" s="6" t="n">
        <f aca="false">IF('Service Types'!J34="","",'Service Types'!J34)</f>
        <v>1.5</v>
      </c>
      <c r="K200" s="6" t="n">
        <f aca="false">IF('Service Types'!K34="","",'Service Types'!K34)</f>
        <v>3</v>
      </c>
    </row>
    <row r="201" customFormat="false" ht="15" hidden="false" customHeight="false" outlineLevel="0" collapsed="false">
      <c r="A201" s="16" t="n">
        <v>200</v>
      </c>
      <c r="B201" s="4" t="s">
        <v>273</v>
      </c>
      <c r="C201" s="4" t="str">
        <f aca="false">IF('Service Types'!B228="","",'Service Types'!B228)</f>
        <v>CS - Recreation and Social Programs</v>
      </c>
      <c r="D201" s="5" t="n">
        <f aca="false">IF('Service Types'!E228="","",'Service Types'!E228)</f>
        <v>192</v>
      </c>
      <c r="E201" s="5" t="n">
        <f aca="false">IF('Service Types'!D228="","",'Service Types'!D228)</f>
        <v>837</v>
      </c>
      <c r="F201" s="5" t="n">
        <f aca="false">IF('Service Types'!F228="","",'Service Types'!F228)</f>
        <v>10</v>
      </c>
      <c r="G201" s="5" t="n">
        <f aca="false">IF('Service Types'!G228="","",'Service Types'!G228)</f>
        <v>3</v>
      </c>
      <c r="H201" s="5" t="n">
        <f aca="false">IF('Service Types'!H228="","",'Service Types'!H228)</f>
        <v>827</v>
      </c>
      <c r="I201" s="6" t="n">
        <f aca="false">IF('Service Types'!I228="","",'Service Types'!I228)</f>
        <v>6</v>
      </c>
      <c r="J201" s="6" t="n">
        <f aca="false">IF('Service Types'!J228="","",'Service Types'!J228)</f>
        <v>15.8</v>
      </c>
      <c r="K201" s="6" t="n">
        <f aca="false">IF('Service Types'!K228="","",'Service Types'!K228)</f>
        <v>41</v>
      </c>
    </row>
    <row r="202" customFormat="false" ht="15" hidden="false" customHeight="false" outlineLevel="0" collapsed="false">
      <c r="A202" s="16" t="n">
        <v>201</v>
      </c>
      <c r="B202" s="4" t="s">
        <v>632</v>
      </c>
      <c r="C202" s="4" t="str">
        <f aca="false">IF('Service Types'!B564="","",'Service Types'!B564)</f>
        <v>OS - Water Services</v>
      </c>
      <c r="D202" s="5" t="n">
        <f aca="false">IF('Service Types'!E564="","",'Service Types'!E564)</f>
        <v>191</v>
      </c>
      <c r="E202" s="5" t="n">
        <f aca="false">IF('Service Types'!D564="","",'Service Types'!D564)</f>
        <v>738</v>
      </c>
      <c r="F202" s="5" t="n">
        <f aca="false">IF('Service Types'!F564="","",'Service Types'!F564)</f>
        <v>3</v>
      </c>
      <c r="G202" s="5" t="n">
        <f aca="false">IF('Service Types'!G564="","",'Service Types'!G564)</f>
        <v>0</v>
      </c>
      <c r="H202" s="5" t="n">
        <f aca="false">IF('Service Types'!H564="","",'Service Types'!H564)</f>
        <v>735</v>
      </c>
      <c r="I202" s="6" t="n">
        <f aca="false">IF('Service Types'!I564="","",'Service Types'!I564)</f>
        <v>5</v>
      </c>
      <c r="J202" s="6" t="n">
        <f aca="false">IF('Service Types'!J564="","",'Service Types'!J564)</f>
        <v>66.1</v>
      </c>
      <c r="K202" s="6" t="n">
        <f aca="false">IF('Service Types'!K564="","",'Service Types'!K564)</f>
        <v>219</v>
      </c>
    </row>
    <row r="203" customFormat="false" ht="15" hidden="false" customHeight="false" outlineLevel="0" collapsed="false">
      <c r="A203" s="16" t="n">
        <v>202</v>
      </c>
      <c r="B203" s="4" t="s">
        <v>627</v>
      </c>
      <c r="C203" s="4" t="str">
        <f aca="false">IF('Service Types'!B559="","",'Service Types'!B559)</f>
        <v>OS - Water Services</v>
      </c>
      <c r="D203" s="5" t="n">
        <f aca="false">IF('Service Types'!E559="","",'Service Types'!E559)</f>
        <v>189</v>
      </c>
      <c r="E203" s="5" t="n">
        <f aca="false">IF('Service Types'!D559="","",'Service Types'!D559)</f>
        <v>1019</v>
      </c>
      <c r="F203" s="5" t="n">
        <f aca="false">IF('Service Types'!F559="","",'Service Types'!F559)</f>
        <v>155</v>
      </c>
      <c r="G203" s="5" t="n">
        <f aca="false">IF('Service Types'!G559="","",'Service Types'!G559)</f>
        <v>121</v>
      </c>
      <c r="H203" s="5" t="n">
        <f aca="false">IF('Service Types'!H559="","",'Service Types'!H559)</f>
        <v>864</v>
      </c>
      <c r="I203" s="6" t="n">
        <f aca="false">IF('Service Types'!I559="","",'Service Types'!I559)</f>
        <v>49</v>
      </c>
      <c r="J203" s="6" t="n">
        <f aca="false">IF('Service Types'!J559="","",'Service Types'!J559)</f>
        <v>85.4</v>
      </c>
      <c r="K203" s="6" t="n">
        <f aca="false">IF('Service Types'!K559="","",'Service Types'!K559)</f>
        <v>210</v>
      </c>
    </row>
    <row r="204" customFormat="false" ht="15" hidden="false" customHeight="false" outlineLevel="0" collapsed="false">
      <c r="A204" s="16" t="n">
        <v>203</v>
      </c>
      <c r="B204" s="4" t="s">
        <v>631</v>
      </c>
      <c r="C204" s="4" t="str">
        <f aca="false">IF('Service Types'!B563="","",'Service Types'!B563)</f>
        <v>OS - Water Services</v>
      </c>
      <c r="D204" s="5" t="n">
        <f aca="false">IF('Service Types'!E563="","",'Service Types'!E563)</f>
        <v>189</v>
      </c>
      <c r="E204" s="5" t="n">
        <f aca="false">IF('Service Types'!D563="","",'Service Types'!D563)</f>
        <v>821</v>
      </c>
      <c r="F204" s="5" t="n">
        <f aca="false">IF('Service Types'!F563="","",'Service Types'!F563)</f>
        <v>8</v>
      </c>
      <c r="G204" s="5" t="n">
        <f aca="false">IF('Service Types'!G563="","",'Service Types'!G563)</f>
        <v>0</v>
      </c>
      <c r="H204" s="5" t="n">
        <f aca="false">IF('Service Types'!H563="","",'Service Types'!H563)</f>
        <v>813</v>
      </c>
      <c r="I204" s="6" t="n">
        <f aca="false">IF('Service Types'!I563="","",'Service Types'!I563)</f>
        <v>3</v>
      </c>
      <c r="J204" s="6" t="n">
        <f aca="false">IF('Service Types'!J563="","",'Service Types'!J563)</f>
        <v>6.4</v>
      </c>
      <c r="K204" s="6" t="n">
        <f aca="false">IF('Service Types'!K563="","",'Service Types'!K563)</f>
        <v>14</v>
      </c>
    </row>
    <row r="205" customFormat="false" ht="15" hidden="false" customHeight="false" outlineLevel="0" collapsed="false">
      <c r="A205" s="16" t="n">
        <v>204</v>
      </c>
      <c r="B205" s="4" t="s">
        <v>427</v>
      </c>
      <c r="C205" s="4" t="str">
        <f aca="false">IF('Service Types'!B366="","",'Service Types'!B366)</f>
        <v>OS - Facility Management</v>
      </c>
      <c r="D205" s="5" t="n">
        <f aca="false">IF('Service Types'!E366="","",'Service Types'!E366)</f>
        <v>187</v>
      </c>
      <c r="E205" s="5" t="n">
        <f aca="false">IF('Service Types'!D366="","",'Service Types'!D366)</f>
        <v>680</v>
      </c>
      <c r="F205" s="5" t="n">
        <f aca="false">IF('Service Types'!F366="","",'Service Types'!F366)</f>
        <v>86</v>
      </c>
      <c r="G205" s="5" t="n">
        <f aca="false">IF('Service Types'!G366="","",'Service Types'!G366)</f>
        <v>56</v>
      </c>
      <c r="H205" s="5" t="n">
        <f aca="false">IF('Service Types'!H366="","",'Service Types'!H366)</f>
        <v>594</v>
      </c>
      <c r="I205" s="6" t="n">
        <f aca="false">IF('Service Types'!I366="","",'Service Types'!I366)</f>
        <v>55</v>
      </c>
      <c r="J205" s="6" t="n">
        <f aca="false">IF('Service Types'!J366="","",'Service Types'!J366)</f>
        <v>110</v>
      </c>
      <c r="K205" s="6" t="n">
        <f aca="false">IF('Service Types'!K366="","",'Service Types'!K366)</f>
        <v>337</v>
      </c>
    </row>
    <row r="206" customFormat="false" ht="15" hidden="false" customHeight="false" outlineLevel="0" collapsed="false">
      <c r="A206" s="16" t="n">
        <v>205</v>
      </c>
      <c r="B206" s="4" t="s">
        <v>352</v>
      </c>
      <c r="C206" s="4" t="str">
        <f aca="false">IF('Service Types'!B299="","",'Service Types'!B299)</f>
        <v>IS - Public Spaces Delivery</v>
      </c>
      <c r="D206" s="5" t="n">
        <f aca="false">IF('Service Types'!E299="","",'Service Types'!E299)</f>
        <v>187</v>
      </c>
      <c r="E206" s="5" t="n">
        <f aca="false">IF('Service Types'!D299="","",'Service Types'!D299)</f>
        <v>380</v>
      </c>
      <c r="F206" s="5" t="n">
        <f aca="false">IF('Service Types'!F299="","",'Service Types'!F299)</f>
        <v>8</v>
      </c>
      <c r="G206" s="5" t="n">
        <f aca="false">IF('Service Types'!G299="","",'Service Types'!G299)</f>
        <v>0</v>
      </c>
      <c r="H206" s="5" t="n">
        <f aca="false">IF('Service Types'!H299="","",'Service Types'!H299)</f>
        <v>372</v>
      </c>
      <c r="I206" s="6" t="n">
        <f aca="false">IF('Service Types'!I299="","",'Service Types'!I299)</f>
        <v>6</v>
      </c>
      <c r="J206" s="6" t="n">
        <f aca="false">IF('Service Types'!J299="","",'Service Types'!J299)</f>
        <v>9</v>
      </c>
      <c r="K206" s="6" t="n">
        <f aca="false">IF('Service Types'!K299="","",'Service Types'!K299)</f>
        <v>19</v>
      </c>
    </row>
    <row r="207" customFormat="false" ht="15" hidden="false" customHeight="false" outlineLevel="0" collapsed="false">
      <c r="A207" s="16" t="n">
        <v>206</v>
      </c>
      <c r="B207" s="4" t="s">
        <v>270</v>
      </c>
      <c r="C207" s="4" t="str">
        <f aca="false">IF('Service Types'!B225="","",'Service Types'!B225)</f>
        <v>CS - Recreation and Social Programs</v>
      </c>
      <c r="D207" s="5" t="n">
        <f aca="false">IF('Service Types'!E225="","",'Service Types'!E225)</f>
        <v>186</v>
      </c>
      <c r="E207" s="5" t="n">
        <f aca="false">IF('Service Types'!D225="","",'Service Types'!D225)</f>
        <v>1136</v>
      </c>
      <c r="F207" s="5" t="n">
        <f aca="false">IF('Service Types'!F225="","",'Service Types'!F225)</f>
        <v>6</v>
      </c>
      <c r="G207" s="5" t="n">
        <f aca="false">IF('Service Types'!G225="","",'Service Types'!G225)</f>
        <v>2</v>
      </c>
      <c r="H207" s="5" t="n">
        <f aca="false">IF('Service Types'!H225="","",'Service Types'!H225)</f>
        <v>1130</v>
      </c>
      <c r="I207" s="6" t="n">
        <f aca="false">IF('Service Types'!I225="","",'Service Types'!I225)</f>
        <v>5</v>
      </c>
      <c r="J207" s="6" t="n">
        <f aca="false">IF('Service Types'!J225="","",'Service Types'!J225)</f>
        <v>12.4</v>
      </c>
      <c r="K207" s="6" t="n">
        <f aca="false">IF('Service Types'!K225="","",'Service Types'!K225)</f>
        <v>30</v>
      </c>
    </row>
    <row r="208" customFormat="false" ht="15" hidden="false" customHeight="false" outlineLevel="0" collapsed="false">
      <c r="A208" s="16" t="n">
        <v>207</v>
      </c>
      <c r="B208" s="4" t="s">
        <v>63</v>
      </c>
      <c r="C208" s="4" t="str">
        <f aca="false">IF('Service Types'!B29="","",'Service Types'!B29)</f>
        <v>CPFS - Assessment and Tax</v>
      </c>
      <c r="D208" s="5" t="n">
        <f aca="false">IF('Service Types'!E29="","",'Service Types'!E29)</f>
        <v>183</v>
      </c>
      <c r="E208" s="5" t="n">
        <f aca="false">IF('Service Types'!D29="","",'Service Types'!D29)</f>
        <v>183</v>
      </c>
      <c r="F208" s="5" t="n">
        <f aca="false">IF('Service Types'!F29="","",'Service Types'!F29)</f>
        <v>5</v>
      </c>
      <c r="G208" s="5" t="n">
        <f aca="false">IF('Service Types'!G29="","",'Service Types'!G29)</f>
        <v>2</v>
      </c>
      <c r="H208" s="5" t="n">
        <f aca="false">IF('Service Types'!H29="","",'Service Types'!H29)</f>
        <v>178</v>
      </c>
      <c r="I208" s="6" t="n">
        <f aca="false">IF('Service Types'!I29="","",'Service Types'!I29)</f>
        <v>5</v>
      </c>
      <c r="J208" s="6" t="n">
        <f aca="false">IF('Service Types'!J29="","",'Service Types'!J29)</f>
        <v>7.6</v>
      </c>
      <c r="K208" s="6" t="n">
        <f aca="false">IF('Service Types'!K29="","",'Service Types'!K29)</f>
        <v>12</v>
      </c>
    </row>
    <row r="209" customFormat="false" ht="15" hidden="false" customHeight="false" outlineLevel="0" collapsed="false">
      <c r="A209" s="16" t="n">
        <v>208</v>
      </c>
      <c r="B209" s="4" t="s">
        <v>201</v>
      </c>
      <c r="C209" s="4" t="str">
        <f aca="false">IF('Service Types'!B158="","",'Service Types'!B158)</f>
        <v>CS - Emergency Management and Community Safety</v>
      </c>
      <c r="D209" s="5" t="n">
        <f aca="false">IF('Service Types'!E158="","",'Service Types'!E158)</f>
        <v>182</v>
      </c>
      <c r="E209" s="5" t="n">
        <f aca="false">IF('Service Types'!D158="","",'Service Types'!D158)</f>
        <v>728</v>
      </c>
      <c r="F209" s="5" t="n">
        <f aca="false">IF('Service Types'!F158="","",'Service Types'!F158)</f>
        <v>10</v>
      </c>
      <c r="G209" s="5" t="n">
        <f aca="false">IF('Service Types'!G158="","",'Service Types'!G158)</f>
        <v>7</v>
      </c>
      <c r="H209" s="5" t="n">
        <f aca="false">IF('Service Types'!H158="","",'Service Types'!H158)</f>
        <v>718</v>
      </c>
      <c r="I209" s="6" t="n">
        <f aca="false">IF('Service Types'!I158="","",'Service Types'!I158)</f>
        <v>1</v>
      </c>
      <c r="J209" s="6" t="n">
        <f aca="false">IF('Service Types'!J158="","",'Service Types'!J158)</f>
        <v>1.6</v>
      </c>
      <c r="K209" s="6" t="n">
        <f aca="false">IF('Service Types'!K158="","",'Service Types'!K158)</f>
        <v>2</v>
      </c>
    </row>
    <row r="210" customFormat="false" ht="15" hidden="false" customHeight="false" outlineLevel="0" collapsed="false">
      <c r="A210" s="16" t="n">
        <v>209</v>
      </c>
      <c r="B210" s="4" t="s">
        <v>414</v>
      </c>
      <c r="C210" s="4" t="str">
        <f aca="false">IF('Service Types'!B354="","",'Service Types'!B354)</f>
        <v>OS - Calgary Transit</v>
      </c>
      <c r="D210" s="5" t="n">
        <f aca="false">IF('Service Types'!E354="","",'Service Types'!E354)</f>
        <v>174</v>
      </c>
      <c r="E210" s="5" t="n">
        <f aca="false">IF('Service Types'!D354="","",'Service Types'!D354)</f>
        <v>1409</v>
      </c>
      <c r="F210" s="5" t="n">
        <f aca="false">IF('Service Types'!F354="","",'Service Types'!F354)</f>
        <v>7</v>
      </c>
      <c r="G210" s="5" t="n">
        <f aca="false">IF('Service Types'!G354="","",'Service Types'!G354)</f>
        <v>7</v>
      </c>
      <c r="H210" s="5" t="n">
        <f aca="false">IF('Service Types'!H354="","",'Service Types'!H354)</f>
        <v>1402</v>
      </c>
      <c r="I210" s="6" t="n">
        <f aca="false">IF('Service Types'!I354="","",'Service Types'!I354)</f>
        <v>4</v>
      </c>
      <c r="J210" s="6" t="n">
        <f aca="false">IF('Service Types'!J354="","",'Service Types'!J354)</f>
        <v>7</v>
      </c>
      <c r="K210" s="6" t="n">
        <f aca="false">IF('Service Types'!K354="","",'Service Types'!K354)</f>
        <v>18</v>
      </c>
    </row>
    <row r="211" customFormat="false" ht="15" hidden="false" customHeight="false" outlineLevel="0" collapsed="false">
      <c r="A211" s="16" t="n">
        <v>210</v>
      </c>
      <c r="B211" s="4" t="s">
        <v>104</v>
      </c>
      <c r="C211" s="4" t="str">
        <f aca="false">IF('Service Types'!B65="","",'Service Types'!B65)</f>
        <v>CS - Calgary Fire</v>
      </c>
      <c r="D211" s="5" t="n">
        <f aca="false">IF('Service Types'!E65="","",'Service Types'!E65)</f>
        <v>173</v>
      </c>
      <c r="E211" s="5" t="n">
        <f aca="false">IF('Service Types'!D65="","",'Service Types'!D65)</f>
        <v>215</v>
      </c>
      <c r="F211" s="5" t="n">
        <f aca="false">IF('Service Types'!F65="","",'Service Types'!F65)</f>
        <v>4</v>
      </c>
      <c r="G211" s="5" t="n">
        <f aca="false">IF('Service Types'!G65="","",'Service Types'!G65)</f>
        <v>2</v>
      </c>
      <c r="H211" s="5" t="n">
        <f aca="false">IF('Service Types'!H65="","",'Service Types'!H65)</f>
        <v>211</v>
      </c>
      <c r="I211" s="6" t="n">
        <f aca="false">IF('Service Types'!I65="","",'Service Types'!I65)</f>
        <v>2</v>
      </c>
      <c r="J211" s="6" t="n">
        <f aca="false">IF('Service Types'!J65="","",'Service Types'!J65)</f>
        <v>3</v>
      </c>
      <c r="K211" s="6" t="n">
        <f aca="false">IF('Service Types'!K65="","",'Service Types'!K65)</f>
        <v>7</v>
      </c>
    </row>
    <row r="212" customFormat="false" ht="15" hidden="false" customHeight="false" outlineLevel="0" collapsed="false">
      <c r="A212" s="16" t="n">
        <v>211</v>
      </c>
      <c r="B212" s="4" t="s">
        <v>731</v>
      </c>
      <c r="C212" s="4" t="str">
        <f aca="false">IF('Service Types'!B653="","",'Service Types'!B653)</f>
        <v>PDS - Development, Business and Building Services</v>
      </c>
      <c r="D212" s="5" t="n">
        <f aca="false">IF('Service Types'!E653="","",'Service Types'!E653)</f>
        <v>170</v>
      </c>
      <c r="E212" s="5" t="n">
        <f aca="false">IF('Service Types'!D653="","",'Service Types'!D653)</f>
        <v>1536</v>
      </c>
      <c r="F212" s="5" t="n">
        <f aca="false">IF('Service Types'!F653="","",'Service Types'!F653)</f>
        <v>0</v>
      </c>
      <c r="G212" s="5" t="n">
        <f aca="false">IF('Service Types'!G653="","",'Service Types'!G653)</f>
        <v>0</v>
      </c>
      <c r="H212" s="5" t="n">
        <f aca="false">IF('Service Types'!H653="","",'Service Types'!H653)</f>
        <v>1536</v>
      </c>
      <c r="I212" s="6" t="n">
        <f aca="false">IF('Service Types'!I653="","",'Service Types'!I653)</f>
        <v>1</v>
      </c>
      <c r="J212" s="6" t="n">
        <f aca="false">IF('Service Types'!J653="","",'Service Types'!J653)</f>
        <v>7.1</v>
      </c>
      <c r="K212" s="6" t="n">
        <f aca="false">IF('Service Types'!K653="","",'Service Types'!K653)</f>
        <v>7</v>
      </c>
    </row>
    <row r="213" customFormat="false" ht="15" hidden="false" customHeight="false" outlineLevel="0" collapsed="false">
      <c r="A213" s="16" t="n">
        <v>212</v>
      </c>
      <c r="B213" s="4" t="s">
        <v>467</v>
      </c>
      <c r="C213" s="4" t="str">
        <f aca="false">IF('Service Types'!B404="","",'Service Types'!B404)</f>
        <v>OS - Mobility</v>
      </c>
      <c r="D213" s="5" t="n">
        <f aca="false">IF('Service Types'!E404="","",'Service Types'!E404)</f>
        <v>164</v>
      </c>
      <c r="E213" s="5" t="n">
        <f aca="false">IF('Service Types'!D404="","",'Service Types'!D404)</f>
        <v>597</v>
      </c>
      <c r="F213" s="5" t="n">
        <f aca="false">IF('Service Types'!F404="","",'Service Types'!F404)</f>
        <v>74</v>
      </c>
      <c r="G213" s="5" t="n">
        <f aca="false">IF('Service Types'!G404="","",'Service Types'!G404)</f>
        <v>73</v>
      </c>
      <c r="H213" s="5" t="n">
        <f aca="false">IF('Service Types'!H404="","",'Service Types'!H404)</f>
        <v>523</v>
      </c>
      <c r="I213" s="6" t="n">
        <f aca="false">IF('Service Types'!I404="","",'Service Types'!I404)</f>
        <v>46</v>
      </c>
      <c r="J213" s="6" t="n">
        <f aca="false">IF('Service Types'!J404="","",'Service Types'!J404)</f>
        <v>203.7</v>
      </c>
      <c r="K213" s="6" t="n">
        <f aca="false">IF('Service Types'!K404="","",'Service Types'!K404)</f>
        <v>461</v>
      </c>
    </row>
    <row r="214" customFormat="false" ht="15" hidden="false" customHeight="false" outlineLevel="0" collapsed="false">
      <c r="A214" s="16" t="n">
        <v>213</v>
      </c>
      <c r="B214" s="4" t="s">
        <v>579</v>
      </c>
      <c r="C214" s="4" t="str">
        <f aca="false">IF('Service Types'!B513="","",'Service Types'!B513)</f>
        <v>OS - Waste and Recycling Services</v>
      </c>
      <c r="D214" s="5" t="n">
        <f aca="false">IF('Service Types'!E513="","",'Service Types'!E513)</f>
        <v>154</v>
      </c>
      <c r="E214" s="5" t="n">
        <f aca="false">IF('Service Types'!D513="","",'Service Types'!D513)</f>
        <v>834</v>
      </c>
      <c r="F214" s="5" t="n">
        <f aca="false">IF('Service Types'!F513="","",'Service Types'!F513)</f>
        <v>0</v>
      </c>
      <c r="G214" s="5" t="n">
        <f aca="false">IF('Service Types'!G513="","",'Service Types'!G513)</f>
        <v>0</v>
      </c>
      <c r="H214" s="5" t="n">
        <f aca="false">IF('Service Types'!H513="","",'Service Types'!H513)</f>
        <v>834</v>
      </c>
      <c r="I214" s="6" t="n">
        <f aca="false">IF('Service Types'!I513="","",'Service Types'!I513)</f>
        <v>0</v>
      </c>
      <c r="J214" s="6" t="n">
        <f aca="false">IF('Service Types'!J513="","",'Service Types'!J513)</f>
        <v>1.2</v>
      </c>
      <c r="K214" s="6" t="n">
        <f aca="false">IF('Service Types'!K513="","",'Service Types'!K513)</f>
        <v>4</v>
      </c>
    </row>
    <row r="215" customFormat="false" ht="15" hidden="false" customHeight="false" outlineLevel="0" collapsed="false">
      <c r="A215" s="16" t="n">
        <v>214</v>
      </c>
      <c r="B215" s="4" t="s">
        <v>465</v>
      </c>
      <c r="C215" s="4" t="str">
        <f aca="false">IF('Service Types'!B402="","",'Service Types'!B402)</f>
        <v>OS - Mobility</v>
      </c>
      <c r="D215" s="5" t="n">
        <f aca="false">IF('Service Types'!E402="","",'Service Types'!E402)</f>
        <v>154</v>
      </c>
      <c r="E215" s="5" t="n">
        <f aca="false">IF('Service Types'!D402="","",'Service Types'!D402)</f>
        <v>805</v>
      </c>
      <c r="F215" s="5" t="n">
        <f aca="false">IF('Service Types'!F402="","",'Service Types'!F402)</f>
        <v>492</v>
      </c>
      <c r="G215" s="5" t="n">
        <f aca="false">IF('Service Types'!G402="","",'Service Types'!G402)</f>
        <v>476</v>
      </c>
      <c r="H215" s="5" t="n">
        <f aca="false">IF('Service Types'!H402="","",'Service Types'!H402)</f>
        <v>313</v>
      </c>
      <c r="I215" s="6" t="n">
        <f aca="false">IF('Service Types'!I402="","",'Service Types'!I402)</f>
        <v>10</v>
      </c>
      <c r="J215" s="6" t="n">
        <f aca="false">IF('Service Types'!J402="","",'Service Types'!J402)</f>
        <v>121.6</v>
      </c>
      <c r="K215" s="6" t="n">
        <f aca="false">IF('Service Types'!K402="","",'Service Types'!K402)</f>
        <v>542</v>
      </c>
    </row>
    <row r="216" customFormat="false" ht="15" hidden="false" customHeight="false" outlineLevel="0" collapsed="false">
      <c r="A216" s="16" t="n">
        <v>215</v>
      </c>
      <c r="B216" s="4" t="s">
        <v>543</v>
      </c>
      <c r="C216" s="4" t="str">
        <f aca="false">IF('Service Types'!B478="","",'Service Types'!B478)</f>
        <v>OS - Parks and Open Spaces</v>
      </c>
      <c r="D216" s="5" t="n">
        <f aca="false">IF('Service Types'!E478="","",'Service Types'!E478)</f>
        <v>154</v>
      </c>
      <c r="E216" s="5" t="n">
        <f aca="false">IF('Service Types'!D478="","",'Service Types'!D478)</f>
        <v>591</v>
      </c>
      <c r="F216" s="5" t="n">
        <f aca="false">IF('Service Types'!F478="","",'Service Types'!F478)</f>
        <v>2</v>
      </c>
      <c r="G216" s="5" t="n">
        <f aca="false">IF('Service Types'!G478="","",'Service Types'!G478)</f>
        <v>0</v>
      </c>
      <c r="H216" s="5" t="n">
        <f aca="false">IF('Service Types'!H478="","",'Service Types'!H478)</f>
        <v>589</v>
      </c>
      <c r="I216" s="6" t="n">
        <f aca="false">IF('Service Types'!I478="","",'Service Types'!I478)</f>
        <v>1</v>
      </c>
      <c r="J216" s="6" t="n">
        <f aca="false">IF('Service Types'!J478="","",'Service Types'!J478)</f>
        <v>2.8</v>
      </c>
      <c r="K216" s="6" t="n">
        <f aca="false">IF('Service Types'!K478="","",'Service Types'!K478)</f>
        <v>7</v>
      </c>
    </row>
    <row r="217" customFormat="false" ht="15" hidden="false" customHeight="false" outlineLevel="0" collapsed="false">
      <c r="A217" s="16" t="n">
        <v>216</v>
      </c>
      <c r="B217" s="4" t="s">
        <v>343</v>
      </c>
      <c r="C217" s="4" t="str">
        <f aca="false">IF('Service Types'!B292="","",'Service Types'!B292)</f>
        <v>IS - Project Development</v>
      </c>
      <c r="D217" s="5" t="n">
        <f aca="false">IF('Service Types'!E292="","",'Service Types'!E292)</f>
        <v>154</v>
      </c>
      <c r="E217" s="5" t="n">
        <f aca="false">IF('Service Types'!D292="","",'Service Types'!D292)</f>
        <v>269</v>
      </c>
      <c r="F217" s="5" t="n">
        <f aca="false">IF('Service Types'!F292="","",'Service Types'!F292)</f>
        <v>9</v>
      </c>
      <c r="G217" s="5" t="n">
        <f aca="false">IF('Service Types'!G292="","",'Service Types'!G292)</f>
        <v>0</v>
      </c>
      <c r="H217" s="5" t="n">
        <f aca="false">IF('Service Types'!H292="","",'Service Types'!H292)</f>
        <v>260</v>
      </c>
      <c r="I217" s="6" t="n">
        <f aca="false">IF('Service Types'!I292="","",'Service Types'!I292)</f>
        <v>9</v>
      </c>
      <c r="J217" s="6" t="n">
        <f aca="false">IF('Service Types'!J292="","",'Service Types'!J292)</f>
        <v>19.6</v>
      </c>
      <c r="K217" s="6" t="n">
        <f aca="false">IF('Service Types'!K292="","",'Service Types'!K292)</f>
        <v>20</v>
      </c>
    </row>
    <row r="218" customFormat="false" ht="15" hidden="false" customHeight="false" outlineLevel="0" collapsed="false">
      <c r="A218" s="16" t="n">
        <v>217</v>
      </c>
      <c r="B218" s="4" t="s">
        <v>762</v>
      </c>
      <c r="C218" s="4" t="str">
        <f aca="false">IF('Service Types'!B683="","",'Service Types'!B683)</f>
        <v>PDS - Environmental Risk &amp; Resilience</v>
      </c>
      <c r="D218" s="5" t="n">
        <f aca="false">IF('Service Types'!E683="","",'Service Types'!E683)</f>
        <v>154</v>
      </c>
      <c r="E218" s="5" t="n">
        <f aca="false">IF('Service Types'!D683="","",'Service Types'!D683)</f>
        <v>154</v>
      </c>
      <c r="F218" s="5" t="n">
        <f aca="false">IF('Service Types'!F683="","",'Service Types'!F683)</f>
        <v>4</v>
      </c>
      <c r="G218" s="5" t="n">
        <f aca="false">IF('Service Types'!G683="","",'Service Types'!G683)</f>
        <v>3</v>
      </c>
      <c r="H218" s="5" t="n">
        <f aca="false">IF('Service Types'!H683="","",'Service Types'!H683)</f>
        <v>150</v>
      </c>
      <c r="I218" s="6" t="n">
        <f aca="false">IF('Service Types'!I683="","",'Service Types'!I683)</f>
        <v>12.5</v>
      </c>
      <c r="J218" s="6" t="n">
        <f aca="false">IF('Service Types'!J683="","",'Service Types'!J683)</f>
        <v>21.1</v>
      </c>
      <c r="K218" s="6" t="n">
        <f aca="false">IF('Service Types'!K683="","",'Service Types'!K683)</f>
        <v>47</v>
      </c>
    </row>
    <row r="219" customFormat="false" ht="15" hidden="false" customHeight="false" outlineLevel="0" collapsed="false">
      <c r="A219" s="16" t="n">
        <v>218</v>
      </c>
      <c r="B219" s="4" t="s">
        <v>354</v>
      </c>
      <c r="C219" s="4" t="str">
        <f aca="false">IF('Service Types'!B301="","",'Service Types'!B301)</f>
        <v>IS - Public Spaces Delivery</v>
      </c>
      <c r="D219" s="5" t="n">
        <f aca="false">IF('Service Types'!E301="","",'Service Types'!E301)</f>
        <v>151</v>
      </c>
      <c r="E219" s="5" t="n">
        <f aca="false">IF('Service Types'!D301="","",'Service Types'!D301)</f>
        <v>281</v>
      </c>
      <c r="F219" s="5" t="n">
        <f aca="false">IF('Service Types'!F301="","",'Service Types'!F301)</f>
        <v>5</v>
      </c>
      <c r="G219" s="5" t="n">
        <f aca="false">IF('Service Types'!G301="","",'Service Types'!G301)</f>
        <v>0</v>
      </c>
      <c r="H219" s="5" t="n">
        <f aca="false">IF('Service Types'!H301="","",'Service Types'!H301)</f>
        <v>276</v>
      </c>
      <c r="I219" s="6" t="n">
        <f aca="false">IF('Service Types'!I301="","",'Service Types'!I301)</f>
        <v>2</v>
      </c>
      <c r="J219" s="6" t="n">
        <f aca="false">IF('Service Types'!J301="","",'Service Types'!J301)</f>
        <v>3.4</v>
      </c>
      <c r="K219" s="6" t="n">
        <f aca="false">IF('Service Types'!K301="","",'Service Types'!K301)</f>
        <v>9</v>
      </c>
    </row>
    <row r="220" customFormat="false" ht="15" hidden="false" customHeight="false" outlineLevel="0" collapsed="false">
      <c r="A220" s="16" t="n">
        <v>219</v>
      </c>
      <c r="B220" s="4" t="s">
        <v>630</v>
      </c>
      <c r="C220" s="4" t="str">
        <f aca="false">IF('Service Types'!B562="","",'Service Types'!B562)</f>
        <v>OS - Water Services</v>
      </c>
      <c r="D220" s="5" t="n">
        <f aca="false">IF('Service Types'!E562="","",'Service Types'!E562)</f>
        <v>149</v>
      </c>
      <c r="E220" s="5" t="n">
        <f aca="false">IF('Service Types'!D562="","",'Service Types'!D562)</f>
        <v>935</v>
      </c>
      <c r="F220" s="5" t="n">
        <f aca="false">IF('Service Types'!F562="","",'Service Types'!F562)</f>
        <v>0</v>
      </c>
      <c r="G220" s="5" t="n">
        <f aca="false">IF('Service Types'!G562="","",'Service Types'!G562)</f>
        <v>0</v>
      </c>
      <c r="H220" s="5" t="n">
        <f aca="false">IF('Service Types'!H562="","",'Service Types'!H562)</f>
        <v>931</v>
      </c>
      <c r="I220" s="6" t="n">
        <f aca="false">IF('Service Types'!I562="","",'Service Types'!I562)</f>
        <v>1</v>
      </c>
      <c r="J220" s="6" t="n">
        <f aca="false">IF('Service Types'!J562="","",'Service Types'!J562)</f>
        <v>2.7</v>
      </c>
      <c r="K220" s="6" t="n">
        <f aca="false">IF('Service Types'!K562="","",'Service Types'!K562)</f>
        <v>5</v>
      </c>
    </row>
    <row r="221" customFormat="false" ht="15" hidden="false" customHeight="false" outlineLevel="0" collapsed="false">
      <c r="A221" s="16" t="n">
        <v>220</v>
      </c>
      <c r="B221" s="4" t="s">
        <v>250</v>
      </c>
      <c r="C221" s="4" t="str">
        <f aca="false">IF('Service Types'!B206="","",'Service Types'!B206)</f>
        <v>CS - Partnerships</v>
      </c>
      <c r="D221" s="5" t="n">
        <f aca="false">IF('Service Types'!E206="","",'Service Types'!E206)</f>
        <v>144</v>
      </c>
      <c r="E221" s="5" t="n">
        <f aca="false">IF('Service Types'!D206="","",'Service Types'!D206)</f>
        <v>237</v>
      </c>
      <c r="F221" s="5" t="n">
        <f aca="false">IF('Service Types'!F206="","",'Service Types'!F206)</f>
        <v>0</v>
      </c>
      <c r="G221" s="5" t="n">
        <f aca="false">IF('Service Types'!G206="","",'Service Types'!G206)</f>
        <v>0</v>
      </c>
      <c r="H221" s="5" t="n">
        <f aca="false">IF('Service Types'!H206="","",'Service Types'!H206)</f>
        <v>237</v>
      </c>
      <c r="I221" s="6" t="n">
        <f aca="false">IF('Service Types'!I206="","",'Service Types'!I206)</f>
        <v>0</v>
      </c>
      <c r="J221" s="6" t="n">
        <f aca="false">IF('Service Types'!J206="","",'Service Types'!J206)</f>
        <v>0.8</v>
      </c>
      <c r="K221" s="6" t="n">
        <f aca="false">IF('Service Types'!K206="","",'Service Types'!K206)</f>
        <v>2</v>
      </c>
    </row>
    <row r="222" customFormat="false" ht="15" hidden="false" customHeight="false" outlineLevel="0" collapsed="false">
      <c r="A222" s="16" t="n">
        <v>221</v>
      </c>
      <c r="B222" s="4" t="s">
        <v>557</v>
      </c>
      <c r="C222" s="4" t="str">
        <f aca="false">IF('Service Types'!B492="","",'Service Types'!B492)</f>
        <v>OS - Parks and Open Spaces</v>
      </c>
      <c r="D222" s="5" t="n">
        <f aca="false">IF('Service Types'!E492="","",'Service Types'!E492)</f>
        <v>144</v>
      </c>
      <c r="E222" s="5" t="n">
        <f aca="false">IF('Service Types'!D492="","",'Service Types'!D492)</f>
        <v>144</v>
      </c>
      <c r="F222" s="5" t="n">
        <f aca="false">IF('Service Types'!F492="","",'Service Types'!F492)</f>
        <v>13</v>
      </c>
      <c r="G222" s="5" t="n">
        <f aca="false">IF('Service Types'!G492="","",'Service Types'!G492)</f>
        <v>0</v>
      </c>
      <c r="H222" s="5" t="n">
        <f aca="false">IF('Service Types'!H492="","",'Service Types'!H492)</f>
        <v>131</v>
      </c>
      <c r="I222" s="6" t="n">
        <f aca="false">IF('Service Types'!I492="","",'Service Types'!I492)</f>
        <v>4</v>
      </c>
      <c r="J222" s="6" t="n">
        <f aca="false">IF('Service Types'!J492="","",'Service Types'!J492)</f>
        <v>4.6</v>
      </c>
      <c r="K222" s="6" t="n">
        <f aca="false">IF('Service Types'!K492="","",'Service Types'!K492)</f>
        <v>11</v>
      </c>
    </row>
    <row r="223" customFormat="false" ht="15" hidden="false" customHeight="false" outlineLevel="0" collapsed="false">
      <c r="A223" s="16" t="n">
        <v>222</v>
      </c>
      <c r="B223" s="4" t="s">
        <v>555</v>
      </c>
      <c r="C223" s="4" t="str">
        <f aca="false">IF('Service Types'!B490="","",'Service Types'!B490)</f>
        <v>OS - Parks and Open Spaces</v>
      </c>
      <c r="D223" s="5" t="n">
        <f aca="false">IF('Service Types'!E490="","",'Service Types'!E490)</f>
        <v>142</v>
      </c>
      <c r="E223" s="5" t="n">
        <f aca="false">IF('Service Types'!D490="","",'Service Types'!D490)</f>
        <v>169</v>
      </c>
      <c r="F223" s="5" t="n">
        <f aca="false">IF('Service Types'!F490="","",'Service Types'!F490)</f>
        <v>7</v>
      </c>
      <c r="G223" s="5" t="n">
        <f aca="false">IF('Service Types'!G490="","",'Service Types'!G490)</f>
        <v>2</v>
      </c>
      <c r="H223" s="5" t="n">
        <f aca="false">IF('Service Types'!H490="","",'Service Types'!H490)</f>
        <v>162</v>
      </c>
      <c r="I223" s="6" t="n">
        <f aca="false">IF('Service Types'!I490="","",'Service Types'!I490)</f>
        <v>7</v>
      </c>
      <c r="J223" s="6" t="n">
        <f aca="false">IF('Service Types'!J490="","",'Service Types'!J490)</f>
        <v>10</v>
      </c>
      <c r="K223" s="6" t="n">
        <f aca="false">IF('Service Types'!K490="","",'Service Types'!K490)</f>
        <v>22</v>
      </c>
    </row>
    <row r="224" customFormat="false" ht="15" hidden="false" customHeight="false" outlineLevel="0" collapsed="false">
      <c r="A224" s="16" t="n">
        <v>223</v>
      </c>
      <c r="B224" s="4" t="s">
        <v>102</v>
      </c>
      <c r="C224" s="4" t="str">
        <f aca="false">IF('Service Types'!B63="","",'Service Types'!B63)</f>
        <v>CS - Calgary Fire</v>
      </c>
      <c r="D224" s="5" t="n">
        <f aca="false">IF('Service Types'!E63="","",'Service Types'!E63)</f>
        <v>140</v>
      </c>
      <c r="E224" s="5" t="n">
        <f aca="false">IF('Service Types'!D63="","",'Service Types'!D63)</f>
        <v>293</v>
      </c>
      <c r="F224" s="5" t="n">
        <f aca="false">IF('Service Types'!F63="","",'Service Types'!F63)</f>
        <v>43</v>
      </c>
      <c r="G224" s="5" t="n">
        <f aca="false">IF('Service Types'!G63="","",'Service Types'!G63)</f>
        <v>7</v>
      </c>
      <c r="H224" s="5" t="n">
        <f aca="false">IF('Service Types'!H63="","",'Service Types'!H63)</f>
        <v>250</v>
      </c>
      <c r="I224" s="6" t="n">
        <f aca="false">IF('Service Types'!I63="","",'Service Types'!I63)</f>
        <v>60.5</v>
      </c>
      <c r="J224" s="6" t="n">
        <f aca="false">IF('Service Types'!J63="","",'Service Types'!J63)</f>
        <v>65.6</v>
      </c>
      <c r="K224" s="6" t="n">
        <f aca="false">IF('Service Types'!K63="","",'Service Types'!K63)</f>
        <v>120</v>
      </c>
    </row>
    <row r="225" customFormat="false" ht="15" hidden="false" customHeight="false" outlineLevel="0" collapsed="false">
      <c r="A225" s="16" t="n">
        <v>224</v>
      </c>
      <c r="B225" s="4" t="s">
        <v>274</v>
      </c>
      <c r="C225" s="4" t="str">
        <f aca="false">IF('Service Types'!B229="","",'Service Types'!B229)</f>
        <v>CS - Recreation and Social Programs</v>
      </c>
      <c r="D225" s="5" t="n">
        <f aca="false">IF('Service Types'!E229="","",'Service Types'!E229)</f>
        <v>139</v>
      </c>
      <c r="E225" s="5" t="n">
        <f aca="false">IF('Service Types'!D229="","",'Service Types'!D229)</f>
        <v>642</v>
      </c>
      <c r="F225" s="5" t="n">
        <f aca="false">IF('Service Types'!F229="","",'Service Types'!F229)</f>
        <v>6</v>
      </c>
      <c r="G225" s="5" t="n">
        <f aca="false">IF('Service Types'!G229="","",'Service Types'!G229)</f>
        <v>2</v>
      </c>
      <c r="H225" s="5" t="n">
        <f aca="false">IF('Service Types'!H229="","",'Service Types'!H229)</f>
        <v>636</v>
      </c>
      <c r="I225" s="6" t="n">
        <f aca="false">IF('Service Types'!I229="","",'Service Types'!I229)</f>
        <v>2</v>
      </c>
      <c r="J225" s="6" t="n">
        <f aca="false">IF('Service Types'!J229="","",'Service Types'!J229)</f>
        <v>3.4</v>
      </c>
      <c r="K225" s="6" t="n">
        <f aca="false">IF('Service Types'!K229="","",'Service Types'!K229)</f>
        <v>8</v>
      </c>
    </row>
    <row r="226" customFormat="false" ht="15" hidden="false" customHeight="false" outlineLevel="0" collapsed="false">
      <c r="A226" s="16" t="n">
        <v>225</v>
      </c>
      <c r="B226" s="4" t="s">
        <v>332</v>
      </c>
      <c r="C226" s="4" t="str">
        <f aca="false">IF('Service Types'!B282="","",'Service Types'!B282)</f>
        <v>IS - Capital Planning and Business Services</v>
      </c>
      <c r="D226" s="5" t="n">
        <f aca="false">IF('Service Types'!E282="","",'Service Types'!E282)</f>
        <v>138</v>
      </c>
      <c r="E226" s="5" t="n">
        <f aca="false">IF('Service Types'!D282="","",'Service Types'!D282)</f>
        <v>141</v>
      </c>
      <c r="F226" s="5" t="n">
        <f aca="false">IF('Service Types'!F282="","",'Service Types'!F282)</f>
        <v>8</v>
      </c>
      <c r="G226" s="5" t="n">
        <f aca="false">IF('Service Types'!G282="","",'Service Types'!G282)</f>
        <v>0</v>
      </c>
      <c r="H226" s="5" t="n">
        <f aca="false">IF('Service Types'!H282="","",'Service Types'!H282)</f>
        <v>133</v>
      </c>
      <c r="I226" s="6" t="n">
        <f aca="false">IF('Service Types'!I282="","",'Service Types'!I282)</f>
        <v>4</v>
      </c>
      <c r="J226" s="6" t="n">
        <f aca="false">IF('Service Types'!J282="","",'Service Types'!J282)</f>
        <v>5.7</v>
      </c>
      <c r="K226" s="6" t="n">
        <f aca="false">IF('Service Types'!K282="","",'Service Types'!K282)</f>
        <v>12</v>
      </c>
    </row>
    <row r="227" customFormat="false" ht="15" hidden="false" customHeight="false" outlineLevel="0" collapsed="false">
      <c r="A227" s="16" t="n">
        <v>226</v>
      </c>
      <c r="B227" s="4" t="s">
        <v>637</v>
      </c>
      <c r="C227" s="4" t="str">
        <f aca="false">IF('Service Types'!B569="","",'Service Types'!B569)</f>
        <v>OS - Water Services</v>
      </c>
      <c r="D227" s="5" t="n">
        <f aca="false">IF('Service Types'!E569="","",'Service Types'!E569)</f>
        <v>137</v>
      </c>
      <c r="E227" s="5" t="n">
        <f aca="false">IF('Service Types'!D569="","",'Service Types'!D569)</f>
        <v>499</v>
      </c>
      <c r="F227" s="5" t="n">
        <f aca="false">IF('Service Types'!F569="","",'Service Types'!F569)</f>
        <v>129</v>
      </c>
      <c r="G227" s="5" t="n">
        <f aca="false">IF('Service Types'!G569="","",'Service Types'!G569)</f>
        <v>103</v>
      </c>
      <c r="H227" s="5" t="n">
        <f aca="false">IF('Service Types'!H569="","",'Service Types'!H569)</f>
        <v>370</v>
      </c>
      <c r="I227" s="6" t="n">
        <f aca="false">IF('Service Types'!I569="","",'Service Types'!I569)</f>
        <v>43</v>
      </c>
      <c r="J227" s="6" t="n">
        <f aca="false">IF('Service Types'!J569="","",'Service Types'!J569)</f>
        <v>132.7</v>
      </c>
      <c r="K227" s="6" t="n">
        <f aca="false">IF('Service Types'!K569="","",'Service Types'!K569)</f>
        <v>412</v>
      </c>
    </row>
    <row r="228" customFormat="false" ht="15" hidden="false" customHeight="false" outlineLevel="0" collapsed="false">
      <c r="A228" s="16" t="n">
        <v>227</v>
      </c>
      <c r="B228" s="4" t="s">
        <v>634</v>
      </c>
      <c r="C228" s="4" t="str">
        <f aca="false">IF('Service Types'!B566="","",'Service Types'!B566)</f>
        <v>OS - Water Services</v>
      </c>
      <c r="D228" s="5" t="n">
        <f aca="false">IF('Service Types'!E566="","",'Service Types'!E566)</f>
        <v>132</v>
      </c>
      <c r="E228" s="5" t="n">
        <f aca="false">IF('Service Types'!D566="","",'Service Types'!D566)</f>
        <v>525</v>
      </c>
      <c r="F228" s="5" t="n">
        <f aca="false">IF('Service Types'!F566="","",'Service Types'!F566)</f>
        <v>1</v>
      </c>
      <c r="G228" s="5" t="n">
        <f aca="false">IF('Service Types'!G566="","",'Service Types'!G566)</f>
        <v>0</v>
      </c>
      <c r="H228" s="5" t="n">
        <f aca="false">IF('Service Types'!H566="","",'Service Types'!H566)</f>
        <v>524</v>
      </c>
      <c r="I228" s="6" t="n">
        <f aca="false">IF('Service Types'!I566="","",'Service Types'!I566)</f>
        <v>1</v>
      </c>
      <c r="J228" s="6" t="n">
        <f aca="false">IF('Service Types'!J566="","",'Service Types'!J566)</f>
        <v>13.1</v>
      </c>
      <c r="K228" s="6" t="n">
        <f aca="false">IF('Service Types'!K566="","",'Service Types'!K566)</f>
        <v>10</v>
      </c>
    </row>
    <row r="229" customFormat="false" ht="15" hidden="false" customHeight="false" outlineLevel="0" collapsed="false">
      <c r="A229" s="16" t="n">
        <v>228</v>
      </c>
      <c r="B229" s="4" t="s">
        <v>580</v>
      </c>
      <c r="C229" s="4" t="str">
        <f aca="false">IF('Service Types'!B514="","",'Service Types'!B514)</f>
        <v>OS - Waste and Recycling Services</v>
      </c>
      <c r="D229" s="5" t="n">
        <f aca="false">IF('Service Types'!E514="","",'Service Types'!E514)</f>
        <v>128</v>
      </c>
      <c r="E229" s="5" t="n">
        <f aca="false">IF('Service Types'!D514="","",'Service Types'!D514)</f>
        <v>650</v>
      </c>
      <c r="F229" s="5" t="n">
        <f aca="false">IF('Service Types'!F514="","",'Service Types'!F514)</f>
        <v>0</v>
      </c>
      <c r="G229" s="5" t="n">
        <f aca="false">IF('Service Types'!G514="","",'Service Types'!G514)</f>
        <v>0</v>
      </c>
      <c r="H229" s="5" t="n">
        <f aca="false">IF('Service Types'!H514="","",'Service Types'!H514)</f>
        <v>650</v>
      </c>
      <c r="I229" s="6" t="n">
        <f aca="false">IF('Service Types'!I514="","",'Service Types'!I514)</f>
        <v>1</v>
      </c>
      <c r="J229" s="6" t="n">
        <f aca="false">IF('Service Types'!J514="","",'Service Types'!J514)</f>
        <v>2.3</v>
      </c>
      <c r="K229" s="6" t="n">
        <f aca="false">IF('Service Types'!K514="","",'Service Types'!K514)</f>
        <v>5</v>
      </c>
    </row>
    <row r="230" customFormat="false" ht="15" hidden="false" customHeight="false" outlineLevel="0" collapsed="false">
      <c r="A230" s="16" t="n">
        <v>229</v>
      </c>
      <c r="B230" s="4" t="s">
        <v>248</v>
      </c>
      <c r="C230" s="4" t="str">
        <f aca="false">IF('Service Types'!B205="","",'Service Types'!B205)</f>
        <v>CS - Partnerships</v>
      </c>
      <c r="D230" s="5" t="n">
        <f aca="false">IF('Service Types'!E205="","",'Service Types'!E205)</f>
        <v>128</v>
      </c>
      <c r="E230" s="5" t="n">
        <f aca="false">IF('Service Types'!D205="","",'Service Types'!D205)</f>
        <v>453</v>
      </c>
      <c r="F230" s="5" t="n">
        <f aca="false">IF('Service Types'!F205="","",'Service Types'!F205)</f>
        <v>2</v>
      </c>
      <c r="G230" s="5" t="n">
        <f aca="false">IF('Service Types'!G205="","",'Service Types'!G205)</f>
        <v>0</v>
      </c>
      <c r="H230" s="5" t="n">
        <f aca="false">IF('Service Types'!H205="","",'Service Types'!H205)</f>
        <v>451</v>
      </c>
      <c r="I230" s="6" t="n">
        <f aca="false">IF('Service Types'!I205="","",'Service Types'!I205)</f>
        <v>3</v>
      </c>
      <c r="J230" s="6" t="n">
        <f aca="false">IF('Service Types'!J205="","",'Service Types'!J205)</f>
        <v>4.8</v>
      </c>
      <c r="K230" s="6" t="n">
        <f aca="false">IF('Service Types'!K205="","",'Service Types'!K205)</f>
        <v>9</v>
      </c>
    </row>
    <row r="231" customFormat="false" ht="15" hidden="false" customHeight="false" outlineLevel="0" collapsed="false">
      <c r="A231" s="16" t="n">
        <v>230</v>
      </c>
      <c r="B231" s="4" t="s">
        <v>95</v>
      </c>
      <c r="C231" s="4" t="str">
        <f aca="false">IF('Service Types'!B56="","",'Service Types'!B56)</f>
        <v>CS - Calgary Fire</v>
      </c>
      <c r="D231" s="5" t="n">
        <f aca="false">IF('Service Types'!E56="","",'Service Types'!E56)</f>
        <v>127</v>
      </c>
      <c r="E231" s="5" t="n">
        <f aca="false">IF('Service Types'!D56="","",'Service Types'!D56)</f>
        <v>601</v>
      </c>
      <c r="F231" s="5" t="n">
        <f aca="false">IF('Service Types'!F56="","",'Service Types'!F56)</f>
        <v>4</v>
      </c>
      <c r="G231" s="5" t="n">
        <f aca="false">IF('Service Types'!G56="","",'Service Types'!G56)</f>
        <v>0</v>
      </c>
      <c r="H231" s="5" t="n">
        <f aca="false">IF('Service Types'!H56="","",'Service Types'!H56)</f>
        <v>597</v>
      </c>
      <c r="I231" s="6" t="n">
        <f aca="false">IF('Service Types'!I56="","",'Service Types'!I56)</f>
        <v>10</v>
      </c>
      <c r="J231" s="6" t="n">
        <f aca="false">IF('Service Types'!J56="","",'Service Types'!J56)</f>
        <v>15</v>
      </c>
      <c r="K231" s="6" t="n">
        <f aca="false">IF('Service Types'!K56="","",'Service Types'!K56)</f>
        <v>31</v>
      </c>
    </row>
    <row r="232" customFormat="false" ht="15" hidden="false" customHeight="false" outlineLevel="0" collapsed="false">
      <c r="A232" s="16" t="n">
        <v>231</v>
      </c>
      <c r="B232" s="4" t="s">
        <v>351</v>
      </c>
      <c r="C232" s="4" t="str">
        <f aca="false">IF('Service Types'!B298="","",'Service Types'!B298)</f>
        <v>IS - Public Spaces Delivery</v>
      </c>
      <c r="D232" s="5" t="n">
        <f aca="false">IF('Service Types'!E298="","",'Service Types'!E298)</f>
        <v>126</v>
      </c>
      <c r="E232" s="5" t="n">
        <f aca="false">IF('Service Types'!D298="","",'Service Types'!D298)</f>
        <v>433</v>
      </c>
      <c r="F232" s="5" t="n">
        <f aca="false">IF('Service Types'!F298="","",'Service Types'!F298)</f>
        <v>2</v>
      </c>
      <c r="G232" s="5" t="n">
        <f aca="false">IF('Service Types'!G298="","",'Service Types'!G298)</f>
        <v>0</v>
      </c>
      <c r="H232" s="5" t="n">
        <f aca="false">IF('Service Types'!H298="","",'Service Types'!H298)</f>
        <v>431</v>
      </c>
      <c r="I232" s="6" t="n">
        <f aca="false">IF('Service Types'!I298="","",'Service Types'!I298)</f>
        <v>2</v>
      </c>
      <c r="J232" s="6" t="n">
        <f aca="false">IF('Service Types'!J298="","",'Service Types'!J298)</f>
        <v>8.5</v>
      </c>
      <c r="K232" s="6" t="n">
        <f aca="false">IF('Service Types'!K298="","",'Service Types'!K298)</f>
        <v>8</v>
      </c>
    </row>
    <row r="233" customFormat="false" ht="15" hidden="false" customHeight="false" outlineLevel="0" collapsed="false">
      <c r="A233" s="16" t="n">
        <v>232</v>
      </c>
      <c r="B233" s="4" t="s">
        <v>548</v>
      </c>
      <c r="C233" s="4" t="str">
        <f aca="false">IF('Service Types'!B483="","",'Service Types'!B483)</f>
        <v>OS - Parks and Open Spaces</v>
      </c>
      <c r="D233" s="5" t="n">
        <f aca="false">IF('Service Types'!E483="","",'Service Types'!E483)</f>
        <v>125</v>
      </c>
      <c r="E233" s="5" t="n">
        <f aca="false">IF('Service Types'!D483="","",'Service Types'!D483)</f>
        <v>385</v>
      </c>
      <c r="F233" s="5" t="n">
        <f aca="false">IF('Service Types'!F483="","",'Service Types'!F483)</f>
        <v>2</v>
      </c>
      <c r="G233" s="5" t="n">
        <f aca="false">IF('Service Types'!G483="","",'Service Types'!G483)</f>
        <v>1</v>
      </c>
      <c r="H233" s="5" t="n">
        <f aca="false">IF('Service Types'!H483="","",'Service Types'!H483)</f>
        <v>383</v>
      </c>
      <c r="I233" s="6" t="n">
        <f aca="false">IF('Service Types'!I483="","",'Service Types'!I483)</f>
        <v>1</v>
      </c>
      <c r="J233" s="6" t="n">
        <f aca="false">IF('Service Types'!J483="","",'Service Types'!J483)</f>
        <v>4.8</v>
      </c>
      <c r="K233" s="6" t="n">
        <f aca="false">IF('Service Types'!K483="","",'Service Types'!K483)</f>
        <v>13</v>
      </c>
    </row>
    <row r="234" customFormat="false" ht="15" hidden="false" customHeight="false" outlineLevel="0" collapsed="false">
      <c r="A234" s="16" t="n">
        <v>233</v>
      </c>
      <c r="B234" s="4" t="s">
        <v>296</v>
      </c>
      <c r="C234" s="4" t="str">
        <f aca="false">IF('Service Types'!B251="","",'Service Types'!B251)</f>
        <v>CS - Recreation and Social Programs</v>
      </c>
      <c r="D234" s="5" t="n">
        <f aca="false">IF('Service Types'!E251="","",'Service Types'!E251)</f>
        <v>125</v>
      </c>
      <c r="E234" s="5" t="n">
        <f aca="false">IF('Service Types'!D251="","",'Service Types'!D251)</f>
        <v>129</v>
      </c>
      <c r="F234" s="5" t="n">
        <f aca="false">IF('Service Types'!F251="","",'Service Types'!F251)</f>
        <v>18</v>
      </c>
      <c r="G234" s="5" t="n">
        <f aca="false">IF('Service Types'!G251="","",'Service Types'!G251)</f>
        <v>7</v>
      </c>
      <c r="H234" s="5" t="n">
        <f aca="false">IF('Service Types'!H251="","",'Service Types'!H251)</f>
        <v>111</v>
      </c>
      <c r="I234" s="6" t="n">
        <f aca="false">IF('Service Types'!I251="","",'Service Types'!I251)</f>
        <v>31</v>
      </c>
      <c r="J234" s="6" t="n">
        <f aca="false">IF('Service Types'!J251="","",'Service Types'!J251)</f>
        <v>51.2</v>
      </c>
      <c r="K234" s="6" t="n">
        <f aca="false">IF('Service Types'!K251="","",'Service Types'!K251)</f>
        <v>130</v>
      </c>
    </row>
    <row r="235" customFormat="false" ht="15" hidden="false" customHeight="false" outlineLevel="0" collapsed="false">
      <c r="A235" s="16" t="n">
        <v>234</v>
      </c>
      <c r="B235" s="4" t="s">
        <v>796</v>
      </c>
      <c r="C235" s="4" t="str">
        <f aca="false">IF('Service Types'!B712="","",'Service Types'!B712)</f>
        <v>PICS - Information Technology</v>
      </c>
      <c r="D235" s="5" t="n">
        <f aca="false">IF('Service Types'!E712="","",'Service Types'!E712)</f>
        <v>123</v>
      </c>
      <c r="E235" s="5" t="n">
        <f aca="false">IF('Service Types'!D712="","",'Service Types'!D712)</f>
        <v>124</v>
      </c>
      <c r="F235" s="5" t="n">
        <f aca="false">IF('Service Types'!F712="","",'Service Types'!F712)</f>
        <v>2</v>
      </c>
      <c r="G235" s="5" t="n">
        <f aca="false">IF('Service Types'!G712="","",'Service Types'!G712)</f>
        <v>0</v>
      </c>
      <c r="H235" s="5" t="n">
        <f aca="false">IF('Service Types'!H712="","",'Service Types'!H712)</f>
        <v>122</v>
      </c>
      <c r="I235" s="6" t="n">
        <f aca="false">IF('Service Types'!I712="","",'Service Types'!I712)</f>
        <v>1</v>
      </c>
      <c r="J235" s="6" t="n">
        <f aca="false">IF('Service Types'!J712="","",'Service Types'!J712)</f>
        <v>2.1</v>
      </c>
      <c r="K235" s="6" t="n">
        <f aca="false">IF('Service Types'!K712="","",'Service Types'!K712)</f>
        <v>3</v>
      </c>
    </row>
    <row r="236" customFormat="false" ht="15" hidden="false" customHeight="false" outlineLevel="0" collapsed="false">
      <c r="A236" s="16" t="n">
        <v>235</v>
      </c>
      <c r="B236" s="4" t="s">
        <v>203</v>
      </c>
      <c r="C236" s="4" t="str">
        <f aca="false">IF('Service Types'!B160="","",'Service Types'!B160)</f>
        <v>CS - Emergency Management and Community Safety</v>
      </c>
      <c r="D236" s="5" t="n">
        <f aca="false">IF('Service Types'!E160="","",'Service Types'!E160)</f>
        <v>121</v>
      </c>
      <c r="E236" s="5" t="n">
        <f aca="false">IF('Service Types'!D160="","",'Service Types'!D160)</f>
        <v>619</v>
      </c>
      <c r="F236" s="5" t="n">
        <f aca="false">IF('Service Types'!F160="","",'Service Types'!F160)</f>
        <v>0</v>
      </c>
      <c r="G236" s="5" t="n">
        <f aca="false">IF('Service Types'!G160="","",'Service Types'!G160)</f>
        <v>0</v>
      </c>
      <c r="H236" s="5" t="n">
        <f aca="false">IF('Service Types'!H160="","",'Service Types'!H160)</f>
        <v>619</v>
      </c>
      <c r="I236" s="6" t="n">
        <f aca="false">IF('Service Types'!I160="","",'Service Types'!I160)</f>
        <v>2</v>
      </c>
      <c r="J236" s="6" t="n">
        <f aca="false">IF('Service Types'!J160="","",'Service Types'!J160)</f>
        <v>5.3</v>
      </c>
      <c r="K236" s="6" t="n">
        <f aca="false">IF('Service Types'!K160="","",'Service Types'!K160)</f>
        <v>12</v>
      </c>
    </row>
    <row r="237" customFormat="false" ht="15" hidden="false" customHeight="false" outlineLevel="0" collapsed="false">
      <c r="A237" s="16" t="n">
        <v>236</v>
      </c>
      <c r="B237" s="4" t="s">
        <v>546</v>
      </c>
      <c r="C237" s="4" t="str">
        <f aca="false">IF('Service Types'!B481="","",'Service Types'!B481)</f>
        <v>OS - Parks and Open Spaces</v>
      </c>
      <c r="D237" s="5" t="n">
        <f aca="false">IF('Service Types'!E481="","",'Service Types'!E481)</f>
        <v>120</v>
      </c>
      <c r="E237" s="5" t="n">
        <f aca="false">IF('Service Types'!D481="","",'Service Types'!D481)</f>
        <v>487</v>
      </c>
      <c r="F237" s="5" t="n">
        <f aca="false">IF('Service Types'!F481="","",'Service Types'!F481)</f>
        <v>9</v>
      </c>
      <c r="G237" s="5" t="n">
        <f aca="false">IF('Service Types'!G481="","",'Service Types'!G481)</f>
        <v>2</v>
      </c>
      <c r="H237" s="5" t="n">
        <f aca="false">IF('Service Types'!H481="","",'Service Types'!H481)</f>
        <v>478</v>
      </c>
      <c r="I237" s="6" t="n">
        <f aca="false">IF('Service Types'!I481="","",'Service Types'!I481)</f>
        <v>6</v>
      </c>
      <c r="J237" s="6" t="n">
        <f aca="false">IF('Service Types'!J481="","",'Service Types'!J481)</f>
        <v>16.8</v>
      </c>
      <c r="K237" s="6" t="n">
        <f aca="false">IF('Service Types'!K481="","",'Service Types'!K481)</f>
        <v>46</v>
      </c>
    </row>
    <row r="238" customFormat="false" ht="15" hidden="false" customHeight="false" outlineLevel="0" collapsed="false">
      <c r="A238" s="16" t="n">
        <v>237</v>
      </c>
      <c r="B238" s="4" t="s">
        <v>700</v>
      </c>
      <c r="C238" s="4" t="str">
        <f aca="false">IF('Service Types'!B624="","",'Service Types'!B624)</f>
        <v>PDS - Community Planning</v>
      </c>
      <c r="D238" s="5" t="n">
        <f aca="false">IF('Service Types'!E624="","",'Service Types'!E624)</f>
        <v>120</v>
      </c>
      <c r="E238" s="5" t="n">
        <f aca="false">IF('Service Types'!D624="","",'Service Types'!D624)</f>
        <v>332</v>
      </c>
      <c r="F238" s="5" t="n">
        <f aca="false">IF('Service Types'!F624="","",'Service Types'!F624)</f>
        <v>15</v>
      </c>
      <c r="G238" s="5" t="n">
        <f aca="false">IF('Service Types'!G624="","",'Service Types'!G624)</f>
        <v>1</v>
      </c>
      <c r="H238" s="5" t="n">
        <f aca="false">IF('Service Types'!H624="","",'Service Types'!H624)</f>
        <v>317</v>
      </c>
      <c r="I238" s="6" t="n">
        <f aca="false">IF('Service Types'!I624="","",'Service Types'!I624)</f>
        <v>15</v>
      </c>
      <c r="J238" s="6" t="n">
        <f aca="false">IF('Service Types'!J624="","",'Service Types'!J624)</f>
        <v>17.7</v>
      </c>
      <c r="K238" s="6" t="n">
        <f aca="false">IF('Service Types'!K624="","",'Service Types'!K624)</f>
        <v>31</v>
      </c>
    </row>
    <row r="239" customFormat="false" ht="15" hidden="false" customHeight="false" outlineLevel="0" collapsed="false">
      <c r="A239" s="16" t="n">
        <v>238</v>
      </c>
      <c r="B239" s="4" t="s">
        <v>582</v>
      </c>
      <c r="C239" s="4" t="str">
        <f aca="false">IF('Service Types'!B516="","",'Service Types'!B516)</f>
        <v>OS - Waste and Recycling Services</v>
      </c>
      <c r="D239" s="5" t="n">
        <f aca="false">IF('Service Types'!E516="","",'Service Types'!E516)</f>
        <v>117</v>
      </c>
      <c r="E239" s="5" t="n">
        <f aca="false">IF('Service Types'!D516="","",'Service Types'!D516)</f>
        <v>476</v>
      </c>
      <c r="F239" s="5" t="n">
        <f aca="false">IF('Service Types'!F516="","",'Service Types'!F516)</f>
        <v>1</v>
      </c>
      <c r="G239" s="5" t="n">
        <f aca="false">IF('Service Types'!G516="","",'Service Types'!G516)</f>
        <v>0</v>
      </c>
      <c r="H239" s="5" t="n">
        <f aca="false">IF('Service Types'!H516="","",'Service Types'!H516)</f>
        <v>475</v>
      </c>
      <c r="I239" s="6" t="n">
        <f aca="false">IF('Service Types'!I516="","",'Service Types'!I516)</f>
        <v>4</v>
      </c>
      <c r="J239" s="6" t="n">
        <f aca="false">IF('Service Types'!J516="","",'Service Types'!J516)</f>
        <v>5.4</v>
      </c>
      <c r="K239" s="6" t="n">
        <f aca="false">IF('Service Types'!K516="","",'Service Types'!K516)</f>
        <v>13</v>
      </c>
    </row>
    <row r="240" customFormat="false" ht="15" hidden="false" customHeight="false" outlineLevel="0" collapsed="false">
      <c r="A240" s="16" t="n">
        <v>239</v>
      </c>
      <c r="B240" s="4" t="s">
        <v>202</v>
      </c>
      <c r="C240" s="4" t="str">
        <f aca="false">IF('Service Types'!B159="","",'Service Types'!B159)</f>
        <v>CS - Emergency Management and Community Safety</v>
      </c>
      <c r="D240" s="5" t="n">
        <f aca="false">IF('Service Types'!E159="","",'Service Types'!E159)</f>
        <v>116</v>
      </c>
      <c r="E240" s="5" t="n">
        <f aca="false">IF('Service Types'!D159="","",'Service Types'!D159)</f>
        <v>651</v>
      </c>
      <c r="F240" s="5" t="n">
        <f aca="false">IF('Service Types'!F159="","",'Service Types'!F159)</f>
        <v>9</v>
      </c>
      <c r="G240" s="5" t="n">
        <f aca="false">IF('Service Types'!G159="","",'Service Types'!G159)</f>
        <v>5</v>
      </c>
      <c r="H240" s="5" t="n">
        <f aca="false">IF('Service Types'!H159="","",'Service Types'!H159)</f>
        <v>642</v>
      </c>
      <c r="I240" s="6" t="n">
        <f aca="false">IF('Service Types'!I159="","",'Service Types'!I159)</f>
        <v>12</v>
      </c>
      <c r="J240" s="6" t="n">
        <f aca="false">IF('Service Types'!J159="","",'Service Types'!J159)</f>
        <v>28.9</v>
      </c>
      <c r="K240" s="6" t="n">
        <f aca="false">IF('Service Types'!K159="","",'Service Types'!K159)</f>
        <v>48</v>
      </c>
    </row>
    <row r="241" customFormat="false" ht="15" hidden="false" customHeight="false" outlineLevel="0" collapsed="false">
      <c r="A241" s="16" t="n">
        <v>240</v>
      </c>
      <c r="B241" s="4" t="s">
        <v>581</v>
      </c>
      <c r="C241" s="4" t="str">
        <f aca="false">IF('Service Types'!B515="","",'Service Types'!B515)</f>
        <v>OS - Waste and Recycling Services</v>
      </c>
      <c r="D241" s="5" t="n">
        <f aca="false">IF('Service Types'!E515="","",'Service Types'!E515)</f>
        <v>116</v>
      </c>
      <c r="E241" s="5" t="n">
        <f aca="false">IF('Service Types'!D515="","",'Service Types'!D515)</f>
        <v>605</v>
      </c>
      <c r="F241" s="5" t="n">
        <f aca="false">IF('Service Types'!F515="","",'Service Types'!F515)</f>
        <v>1</v>
      </c>
      <c r="G241" s="5" t="n">
        <f aca="false">IF('Service Types'!G515="","",'Service Types'!G515)</f>
        <v>0</v>
      </c>
      <c r="H241" s="5" t="n">
        <f aca="false">IF('Service Types'!H515="","",'Service Types'!H515)</f>
        <v>604</v>
      </c>
      <c r="I241" s="6" t="n">
        <f aca="false">IF('Service Types'!I515="","",'Service Types'!I515)</f>
        <v>10</v>
      </c>
      <c r="J241" s="6" t="n">
        <f aca="false">IF('Service Types'!J515="","",'Service Types'!J515)</f>
        <v>16.5</v>
      </c>
      <c r="K241" s="6" t="n">
        <f aca="false">IF('Service Types'!K515="","",'Service Types'!K515)</f>
        <v>40</v>
      </c>
    </row>
    <row r="242" customFormat="false" ht="15" hidden="false" customHeight="false" outlineLevel="0" collapsed="false">
      <c r="A242" s="16" t="n">
        <v>241</v>
      </c>
      <c r="B242" s="4" t="s">
        <v>547</v>
      </c>
      <c r="C242" s="4" t="str">
        <f aca="false">IF('Service Types'!B482="","",'Service Types'!B482)</f>
        <v>OS - Parks and Open Spaces</v>
      </c>
      <c r="D242" s="5" t="n">
        <f aca="false">IF('Service Types'!E482="","",'Service Types'!E482)</f>
        <v>116</v>
      </c>
      <c r="E242" s="5" t="n">
        <f aca="false">IF('Service Types'!D482="","",'Service Types'!D482)</f>
        <v>431</v>
      </c>
      <c r="F242" s="5" t="n">
        <f aca="false">IF('Service Types'!F482="","",'Service Types'!F482)</f>
        <v>0</v>
      </c>
      <c r="G242" s="5" t="n">
        <f aca="false">IF('Service Types'!G482="","",'Service Types'!G482)</f>
        <v>0</v>
      </c>
      <c r="H242" s="5" t="n">
        <f aca="false">IF('Service Types'!H482="","",'Service Types'!H482)</f>
        <v>431</v>
      </c>
      <c r="I242" s="6" t="n">
        <f aca="false">IF('Service Types'!I482="","",'Service Types'!I482)</f>
        <v>3</v>
      </c>
      <c r="J242" s="6" t="n">
        <f aca="false">IF('Service Types'!J482="","",'Service Types'!J482)</f>
        <v>6.9</v>
      </c>
      <c r="K242" s="6" t="n">
        <f aca="false">IF('Service Types'!K482="","",'Service Types'!K482)</f>
        <v>14</v>
      </c>
    </row>
    <row r="243" customFormat="false" ht="15" hidden="false" customHeight="false" outlineLevel="0" collapsed="false">
      <c r="A243" s="16" t="n">
        <v>242</v>
      </c>
      <c r="B243" s="4" t="s">
        <v>640</v>
      </c>
      <c r="C243" s="4" t="str">
        <f aca="false">IF('Service Types'!B572="","",'Service Types'!B572)</f>
        <v>OS - Water Services</v>
      </c>
      <c r="D243" s="5" t="n">
        <f aca="false">IF('Service Types'!E572="","",'Service Types'!E572)</f>
        <v>116</v>
      </c>
      <c r="E243" s="5" t="n">
        <f aca="false">IF('Service Types'!D572="","",'Service Types'!D572)</f>
        <v>361</v>
      </c>
      <c r="F243" s="5" t="n">
        <f aca="false">IF('Service Types'!F572="","",'Service Types'!F572)</f>
        <v>0</v>
      </c>
      <c r="G243" s="5" t="n">
        <f aca="false">IF('Service Types'!G572="","",'Service Types'!G572)</f>
        <v>0</v>
      </c>
      <c r="H243" s="5" t="n">
        <f aca="false">IF('Service Types'!H572="","",'Service Types'!H572)</f>
        <v>361</v>
      </c>
      <c r="I243" s="6" t="n">
        <f aca="false">IF('Service Types'!I572="","",'Service Types'!I572)</f>
        <v>1</v>
      </c>
      <c r="J243" s="6" t="n">
        <f aca="false">IF('Service Types'!J572="","",'Service Types'!J572)</f>
        <v>4.3</v>
      </c>
      <c r="K243" s="6" t="n">
        <f aca="false">IF('Service Types'!K572="","",'Service Types'!K572)</f>
        <v>11</v>
      </c>
    </row>
    <row r="244" customFormat="false" ht="15" hidden="false" customHeight="false" outlineLevel="0" collapsed="false">
      <c r="A244" s="16" t="n">
        <v>243</v>
      </c>
      <c r="B244" s="4" t="s">
        <v>108</v>
      </c>
      <c r="C244" s="4" t="str">
        <f aca="false">IF('Service Types'!B69="","",'Service Types'!B69)</f>
        <v>CS - Calgary Fire</v>
      </c>
      <c r="D244" s="5" t="n">
        <f aca="false">IF('Service Types'!E69="","",'Service Types'!E69)</f>
        <v>115</v>
      </c>
      <c r="E244" s="5" t="n">
        <f aca="false">IF('Service Types'!D69="","",'Service Types'!D69)</f>
        <v>157</v>
      </c>
      <c r="F244" s="5" t="n">
        <f aca="false">IF('Service Types'!F69="","",'Service Types'!F69)</f>
        <v>13</v>
      </c>
      <c r="G244" s="5" t="n">
        <f aca="false">IF('Service Types'!G69="","",'Service Types'!G69)</f>
        <v>1</v>
      </c>
      <c r="H244" s="5" t="n">
        <f aca="false">IF('Service Types'!H69="","",'Service Types'!H69)</f>
        <v>144</v>
      </c>
      <c r="I244" s="6" t="n">
        <f aca="false">IF('Service Types'!I69="","",'Service Types'!I69)</f>
        <v>10</v>
      </c>
      <c r="J244" s="6" t="n">
        <f aca="false">IF('Service Types'!J69="","",'Service Types'!J69)</f>
        <v>12.9</v>
      </c>
      <c r="K244" s="6" t="n">
        <f aca="false">IF('Service Types'!K69="","",'Service Types'!K69)</f>
        <v>27</v>
      </c>
    </row>
    <row r="245" customFormat="false" ht="15" hidden="false" customHeight="false" outlineLevel="0" collapsed="false">
      <c r="A245" s="16" t="n">
        <v>244</v>
      </c>
      <c r="B245" s="4" t="s">
        <v>56</v>
      </c>
      <c r="C245" s="4" t="str">
        <f aca="false">IF('Service Types'!B22="","",'Service Types'!B22)</f>
        <v>CPFS - Assessment and Tax</v>
      </c>
      <c r="D245" s="5" t="n">
        <f aca="false">IF('Service Types'!E22="","",'Service Types'!E22)</f>
        <v>111</v>
      </c>
      <c r="E245" s="5" t="n">
        <f aca="false">IF('Service Types'!D22="","",'Service Types'!D22)</f>
        <v>853</v>
      </c>
      <c r="F245" s="5" t="n">
        <f aca="false">IF('Service Types'!F22="","",'Service Types'!F22)</f>
        <v>0</v>
      </c>
      <c r="G245" s="5" t="n">
        <f aca="false">IF('Service Types'!G22="","",'Service Types'!G22)</f>
        <v>0</v>
      </c>
      <c r="H245" s="5" t="n">
        <f aca="false">IF('Service Types'!H22="","",'Service Types'!H22)</f>
        <v>853</v>
      </c>
      <c r="I245" s="6" t="n">
        <f aca="false">IF('Service Types'!I22="","",'Service Types'!I22)</f>
        <v>3</v>
      </c>
      <c r="J245" s="6" t="n">
        <f aca="false">IF('Service Types'!J22="","",'Service Types'!J22)</f>
        <v>9.5</v>
      </c>
      <c r="K245" s="6" t="n">
        <f aca="false">IF('Service Types'!K22="","",'Service Types'!K22)</f>
        <v>13</v>
      </c>
    </row>
    <row r="246" customFormat="false" ht="15" hidden="false" customHeight="false" outlineLevel="0" collapsed="false">
      <c r="A246" s="16" t="n">
        <v>245</v>
      </c>
      <c r="B246" s="4" t="s">
        <v>635</v>
      </c>
      <c r="C246" s="4" t="str">
        <f aca="false">IF('Service Types'!B567="","",'Service Types'!B567)</f>
        <v>OS - Water Services</v>
      </c>
      <c r="D246" s="5" t="n">
        <f aca="false">IF('Service Types'!E567="","",'Service Types'!E567)</f>
        <v>111</v>
      </c>
      <c r="E246" s="5" t="n">
        <f aca="false">IF('Service Types'!D567="","",'Service Types'!D567)</f>
        <v>510</v>
      </c>
      <c r="F246" s="5" t="n">
        <f aca="false">IF('Service Types'!F567="","",'Service Types'!F567)</f>
        <v>0</v>
      </c>
      <c r="G246" s="5" t="n">
        <f aca="false">IF('Service Types'!G567="","",'Service Types'!G567)</f>
        <v>0</v>
      </c>
      <c r="H246" s="5" t="n">
        <f aca="false">IF('Service Types'!H567="","",'Service Types'!H567)</f>
        <v>510</v>
      </c>
      <c r="I246" s="6" t="n">
        <f aca="false">IF('Service Types'!I567="","",'Service Types'!I567)</f>
        <v>1</v>
      </c>
      <c r="J246" s="6" t="n">
        <f aca="false">IF('Service Types'!J567="","",'Service Types'!J567)</f>
        <v>5.9</v>
      </c>
      <c r="K246" s="6" t="n">
        <f aca="false">IF('Service Types'!K567="","",'Service Types'!K567)</f>
        <v>4</v>
      </c>
    </row>
    <row r="247" customFormat="false" ht="15" hidden="false" customHeight="false" outlineLevel="0" collapsed="false">
      <c r="A247" s="16" t="n">
        <v>246</v>
      </c>
      <c r="B247" s="4" t="s">
        <v>656</v>
      </c>
      <c r="C247" s="4" t="str">
        <f aca="false">IF('Service Types'!B587="","",'Service Types'!B587)</f>
        <v>OSC - Calgary Transit</v>
      </c>
      <c r="D247" s="5" t="n">
        <f aca="false">IF('Service Types'!E587="","",'Service Types'!E587)</f>
        <v>111</v>
      </c>
      <c r="E247" s="5" t="n">
        <f aca="false">IF('Service Types'!D587="","",'Service Types'!D587)</f>
        <v>111</v>
      </c>
      <c r="F247" s="5" t="n">
        <f aca="false">IF('Service Types'!F587="","",'Service Types'!F587)</f>
        <v>1</v>
      </c>
      <c r="G247" s="5" t="n">
        <f aca="false">IF('Service Types'!G587="","",'Service Types'!G587)</f>
        <v>0</v>
      </c>
      <c r="H247" s="5" t="n">
        <f aca="false">IF('Service Types'!H587="","",'Service Types'!H587)</f>
        <v>110</v>
      </c>
      <c r="I247" s="6" t="n">
        <f aca="false">IF('Service Types'!I587="","",'Service Types'!I587)</f>
        <v>1.5</v>
      </c>
      <c r="J247" s="6" t="n">
        <f aca="false">IF('Service Types'!J587="","",'Service Types'!J587)</f>
        <v>2.9</v>
      </c>
      <c r="K247" s="6" t="n">
        <f aca="false">IF('Service Types'!K587="","",'Service Types'!K587)</f>
        <v>4</v>
      </c>
    </row>
    <row r="248" customFormat="false" ht="15" hidden="false" customHeight="false" outlineLevel="0" collapsed="false">
      <c r="A248" s="16" t="n">
        <v>247</v>
      </c>
      <c r="B248" s="4" t="s">
        <v>476</v>
      </c>
      <c r="C248" s="4" t="str">
        <f aca="false">IF('Service Types'!B413="","",'Service Types'!B413)</f>
        <v>OS - Mobility</v>
      </c>
      <c r="D248" s="5" t="n">
        <f aca="false">IF('Service Types'!E413="","",'Service Types'!E413)</f>
        <v>110</v>
      </c>
      <c r="E248" s="5" t="n">
        <f aca="false">IF('Service Types'!D413="","",'Service Types'!D413)</f>
        <v>319</v>
      </c>
      <c r="F248" s="5" t="n">
        <f aca="false">IF('Service Types'!F413="","",'Service Types'!F413)</f>
        <v>33</v>
      </c>
      <c r="G248" s="5" t="n">
        <f aca="false">IF('Service Types'!G413="","",'Service Types'!G413)</f>
        <v>29</v>
      </c>
      <c r="H248" s="5" t="n">
        <f aca="false">IF('Service Types'!H413="","",'Service Types'!H413)</f>
        <v>283</v>
      </c>
      <c r="I248" s="6" t="n">
        <f aca="false">IF('Service Types'!I413="","",'Service Types'!I413)</f>
        <v>2</v>
      </c>
      <c r="J248" s="6" t="n">
        <f aca="false">IF('Service Types'!J413="","",'Service Types'!J413)</f>
        <v>8.6</v>
      </c>
      <c r="K248" s="6" t="n">
        <f aca="false">IF('Service Types'!K413="","",'Service Types'!K413)</f>
        <v>13</v>
      </c>
    </row>
    <row r="249" customFormat="false" ht="15" hidden="false" customHeight="false" outlineLevel="0" collapsed="false">
      <c r="A249" s="16" t="n">
        <v>248</v>
      </c>
      <c r="B249" s="4" t="s">
        <v>251</v>
      </c>
      <c r="C249" s="4" t="str">
        <f aca="false">IF('Service Types'!B207="","",'Service Types'!B207)</f>
        <v>CS - Partnerships</v>
      </c>
      <c r="D249" s="5" t="n">
        <f aca="false">IF('Service Types'!E207="","",'Service Types'!E207)</f>
        <v>110</v>
      </c>
      <c r="E249" s="5" t="n">
        <f aca="false">IF('Service Types'!D207="","",'Service Types'!D207)</f>
        <v>230</v>
      </c>
      <c r="F249" s="5" t="n">
        <f aca="false">IF('Service Types'!F207="","",'Service Types'!F207)</f>
        <v>3</v>
      </c>
      <c r="G249" s="5" t="n">
        <f aca="false">IF('Service Types'!G207="","",'Service Types'!G207)</f>
        <v>1</v>
      </c>
      <c r="H249" s="5" t="n">
        <f aca="false">IF('Service Types'!H207="","",'Service Types'!H207)</f>
        <v>227</v>
      </c>
      <c r="I249" s="6" t="n">
        <f aca="false">IF('Service Types'!I207="","",'Service Types'!I207)</f>
        <v>2</v>
      </c>
      <c r="J249" s="6" t="n">
        <f aca="false">IF('Service Types'!J207="","",'Service Types'!J207)</f>
        <v>5</v>
      </c>
      <c r="K249" s="6" t="n">
        <f aca="false">IF('Service Types'!K207="","",'Service Types'!K207)</f>
        <v>12</v>
      </c>
    </row>
    <row r="250" customFormat="false" ht="15" hidden="false" customHeight="false" outlineLevel="0" collapsed="false">
      <c r="A250" s="16" t="n">
        <v>249</v>
      </c>
      <c r="B250" s="4" t="s">
        <v>741</v>
      </c>
      <c r="C250" s="4" t="str">
        <f aca="false">IF('Service Types'!B663="","",'Service Types'!B663)</f>
        <v>PDS - Development, Business and Building Services</v>
      </c>
      <c r="D250" s="5" t="n">
        <f aca="false">IF('Service Types'!E663="","",'Service Types'!E663)</f>
        <v>108</v>
      </c>
      <c r="E250" s="5" t="n">
        <f aca="false">IF('Service Types'!D663="","",'Service Types'!D663)</f>
        <v>265</v>
      </c>
      <c r="F250" s="5" t="n">
        <f aca="false">IF('Service Types'!F663="","",'Service Types'!F663)</f>
        <v>2</v>
      </c>
      <c r="G250" s="5" t="n">
        <f aca="false">IF('Service Types'!G663="","",'Service Types'!G663)</f>
        <v>0</v>
      </c>
      <c r="H250" s="5" t="n">
        <f aca="false">IF('Service Types'!H663="","",'Service Types'!H663)</f>
        <v>263</v>
      </c>
      <c r="I250" s="6" t="n">
        <f aca="false">IF('Service Types'!I663="","",'Service Types'!I663)</f>
        <v>7</v>
      </c>
      <c r="J250" s="6" t="n">
        <f aca="false">IF('Service Types'!J663="","",'Service Types'!J663)</f>
        <v>18.8</v>
      </c>
      <c r="K250" s="6" t="n">
        <f aca="false">IF('Service Types'!K663="","",'Service Types'!K663)</f>
        <v>36</v>
      </c>
    </row>
    <row r="251" customFormat="false" ht="15" hidden="false" customHeight="false" outlineLevel="0" collapsed="false">
      <c r="A251" s="16" t="n">
        <v>250</v>
      </c>
      <c r="B251" s="4" t="s">
        <v>586</v>
      </c>
      <c r="C251" s="4" t="str">
        <f aca="false">IF('Service Types'!B520="","",'Service Types'!B520)</f>
        <v>OS - Waste and Recycling Services</v>
      </c>
      <c r="D251" s="5" t="n">
        <f aca="false">IF('Service Types'!E520="","",'Service Types'!E520)</f>
        <v>107</v>
      </c>
      <c r="E251" s="5" t="n">
        <f aca="false">IF('Service Types'!D520="","",'Service Types'!D520)</f>
        <v>400</v>
      </c>
      <c r="F251" s="5" t="n">
        <f aca="false">IF('Service Types'!F520="","",'Service Types'!F520)</f>
        <v>0</v>
      </c>
      <c r="G251" s="5" t="n">
        <f aca="false">IF('Service Types'!G520="","",'Service Types'!G520)</f>
        <v>0</v>
      </c>
      <c r="H251" s="5" t="n">
        <f aca="false">IF('Service Types'!H520="","",'Service Types'!H520)</f>
        <v>400</v>
      </c>
      <c r="I251" s="6" t="n">
        <f aca="false">IF('Service Types'!I520="","",'Service Types'!I520)</f>
        <v>0</v>
      </c>
      <c r="J251" s="6" t="n">
        <f aca="false">IF('Service Types'!J520="","",'Service Types'!J520)</f>
        <v>0.6</v>
      </c>
      <c r="K251" s="6" t="n">
        <f aca="false">IF('Service Types'!K520="","",'Service Types'!K520)</f>
        <v>0</v>
      </c>
    </row>
    <row r="252" customFormat="false" ht="15" hidden="false" customHeight="false" outlineLevel="0" collapsed="false">
      <c r="A252" s="16" t="n">
        <v>251</v>
      </c>
      <c r="B252" s="4" t="s">
        <v>356</v>
      </c>
      <c r="C252" s="4" t="str">
        <f aca="false">IF('Service Types'!B303="","",'Service Types'!B303)</f>
        <v>IS - Public Spaces Delivery</v>
      </c>
      <c r="D252" s="5" t="n">
        <f aca="false">IF('Service Types'!E303="","",'Service Types'!E303)</f>
        <v>107</v>
      </c>
      <c r="E252" s="5" t="n">
        <f aca="false">IF('Service Types'!D303="","",'Service Types'!D303)</f>
        <v>218</v>
      </c>
      <c r="F252" s="5" t="n">
        <f aca="false">IF('Service Types'!F303="","",'Service Types'!F303)</f>
        <v>5</v>
      </c>
      <c r="G252" s="5" t="n">
        <f aca="false">IF('Service Types'!G303="","",'Service Types'!G303)</f>
        <v>0</v>
      </c>
      <c r="H252" s="5" t="n">
        <f aca="false">IF('Service Types'!H303="","",'Service Types'!H303)</f>
        <v>213</v>
      </c>
      <c r="I252" s="6" t="n">
        <f aca="false">IF('Service Types'!I303="","",'Service Types'!I303)</f>
        <v>1</v>
      </c>
      <c r="J252" s="6" t="n">
        <f aca="false">IF('Service Types'!J303="","",'Service Types'!J303)</f>
        <v>10.3</v>
      </c>
      <c r="K252" s="6" t="n">
        <f aca="false">IF('Service Types'!K303="","",'Service Types'!K303)</f>
        <v>7</v>
      </c>
    </row>
    <row r="253" customFormat="false" ht="15" hidden="false" customHeight="false" outlineLevel="0" collapsed="false">
      <c r="A253" s="16" t="n">
        <v>252</v>
      </c>
      <c r="B253" s="4" t="s">
        <v>60</v>
      </c>
      <c r="C253" s="4" t="str">
        <f aca="false">IF('Service Types'!B26="","",'Service Types'!B26)</f>
        <v>CPFS - Assessment and Tax</v>
      </c>
      <c r="D253" s="5" t="n">
        <f aca="false">IF('Service Types'!E26="","",'Service Types'!E26)</f>
        <v>105</v>
      </c>
      <c r="E253" s="5" t="n">
        <f aca="false">IF('Service Types'!D26="","",'Service Types'!D26)</f>
        <v>284</v>
      </c>
      <c r="F253" s="5" t="n">
        <f aca="false">IF('Service Types'!F26="","",'Service Types'!F26)</f>
        <v>0</v>
      </c>
      <c r="G253" s="5" t="n">
        <f aca="false">IF('Service Types'!G26="","",'Service Types'!G26)</f>
        <v>0</v>
      </c>
      <c r="H253" s="5" t="n">
        <f aca="false">IF('Service Types'!H26="","",'Service Types'!H26)</f>
        <v>284</v>
      </c>
      <c r="I253" s="6" t="n">
        <f aca="false">IF('Service Types'!I26="","",'Service Types'!I26)</f>
        <v>2.5</v>
      </c>
      <c r="J253" s="6" t="n">
        <f aca="false">IF('Service Types'!J26="","",'Service Types'!J26)</f>
        <v>4.1</v>
      </c>
      <c r="K253" s="6" t="n">
        <f aca="false">IF('Service Types'!K26="","",'Service Types'!K26)</f>
        <v>7</v>
      </c>
    </row>
    <row r="254" customFormat="false" ht="15" hidden="false" customHeight="false" outlineLevel="0" collapsed="false">
      <c r="A254" s="16" t="n">
        <v>253</v>
      </c>
      <c r="B254" s="4" t="s">
        <v>96</v>
      </c>
      <c r="C254" s="4" t="str">
        <f aca="false">IF('Service Types'!B57="","",'Service Types'!B57)</f>
        <v>CS - Calgary Fire</v>
      </c>
      <c r="D254" s="5" t="n">
        <f aca="false">IF('Service Types'!E57="","",'Service Types'!E57)</f>
        <v>102</v>
      </c>
      <c r="E254" s="5" t="n">
        <f aca="false">IF('Service Types'!D57="","",'Service Types'!D57)</f>
        <v>524</v>
      </c>
      <c r="F254" s="5" t="n">
        <f aca="false">IF('Service Types'!F57="","",'Service Types'!F57)</f>
        <v>8</v>
      </c>
      <c r="G254" s="5" t="n">
        <f aca="false">IF('Service Types'!G57="","",'Service Types'!G57)</f>
        <v>2</v>
      </c>
      <c r="H254" s="5" t="n">
        <f aca="false">IF('Service Types'!H57="","",'Service Types'!H57)</f>
        <v>516</v>
      </c>
      <c r="I254" s="6" t="n">
        <f aca="false">IF('Service Types'!I57="","",'Service Types'!I57)</f>
        <v>6</v>
      </c>
      <c r="J254" s="6" t="n">
        <f aca="false">IF('Service Types'!J57="","",'Service Types'!J57)</f>
        <v>14.3</v>
      </c>
      <c r="K254" s="6" t="n">
        <f aca="false">IF('Service Types'!K57="","",'Service Types'!K57)</f>
        <v>24</v>
      </c>
    </row>
    <row r="255" customFormat="false" ht="15" hidden="false" customHeight="false" outlineLevel="0" collapsed="false">
      <c r="A255" s="16" t="n">
        <v>254</v>
      </c>
      <c r="B255" s="4" t="s">
        <v>100</v>
      </c>
      <c r="C255" s="4" t="str">
        <f aca="false">IF('Service Types'!B61="","",'Service Types'!B61)</f>
        <v>CS - Calgary Fire</v>
      </c>
      <c r="D255" s="5" t="n">
        <f aca="false">IF('Service Types'!E61="","",'Service Types'!E61)</f>
        <v>100</v>
      </c>
      <c r="E255" s="5" t="n">
        <f aca="false">IF('Service Types'!D61="","",'Service Types'!D61)</f>
        <v>398</v>
      </c>
      <c r="F255" s="5" t="n">
        <f aca="false">IF('Service Types'!F61="","",'Service Types'!F61)</f>
        <v>1</v>
      </c>
      <c r="G255" s="5" t="n">
        <f aca="false">IF('Service Types'!G61="","",'Service Types'!G61)</f>
        <v>0</v>
      </c>
      <c r="H255" s="5" t="n">
        <f aca="false">IF('Service Types'!H61="","",'Service Types'!H61)</f>
        <v>397</v>
      </c>
      <c r="I255" s="6" t="n">
        <f aca="false">IF('Service Types'!I61="","",'Service Types'!I61)</f>
        <v>5</v>
      </c>
      <c r="J255" s="6" t="n">
        <f aca="false">IF('Service Types'!J61="","",'Service Types'!J61)</f>
        <v>14.3</v>
      </c>
      <c r="K255" s="6" t="n">
        <f aca="false">IF('Service Types'!K61="","",'Service Types'!K61)</f>
        <v>28</v>
      </c>
    </row>
    <row r="256" customFormat="false" ht="15" hidden="false" customHeight="false" outlineLevel="0" collapsed="false">
      <c r="A256" s="16" t="n">
        <v>255</v>
      </c>
      <c r="B256" s="4" t="s">
        <v>679</v>
      </c>
      <c r="C256" s="4" t="str">
        <f aca="false">IF('Service Types'!B605="","",'Service Types'!B605)</f>
        <v>PDS - City and Regional Planning</v>
      </c>
      <c r="D256" s="5" t="n">
        <f aca="false">IF('Service Types'!E605="","",'Service Types'!E605)</f>
        <v>97</v>
      </c>
      <c r="E256" s="5" t="n">
        <f aca="false">IF('Service Types'!D605="","",'Service Types'!D605)</f>
        <v>97</v>
      </c>
      <c r="F256" s="5" t="n">
        <f aca="false">IF('Service Types'!F605="","",'Service Types'!F605)</f>
        <v>19</v>
      </c>
      <c r="G256" s="5" t="n">
        <f aca="false">IF('Service Types'!G605="","",'Service Types'!G605)</f>
        <v>0</v>
      </c>
      <c r="H256" s="5" t="n">
        <f aca="false">IF('Service Types'!H605="","",'Service Types'!H605)</f>
        <v>78</v>
      </c>
      <c r="I256" s="6" t="n">
        <f aca="false">IF('Service Types'!I605="","",'Service Types'!I605)</f>
        <v>14.5</v>
      </c>
      <c r="J256" s="6" t="n">
        <f aca="false">IF('Service Types'!J605="","",'Service Types'!J605)</f>
        <v>13.9</v>
      </c>
      <c r="K256" s="6" t="n">
        <f aca="false">IF('Service Types'!K605="","",'Service Types'!K605)</f>
        <v>22</v>
      </c>
    </row>
    <row r="257" customFormat="false" ht="15" hidden="false" customHeight="false" outlineLevel="0" collapsed="false">
      <c r="A257" s="16" t="n">
        <v>256</v>
      </c>
      <c r="B257" s="4" t="s">
        <v>583</v>
      </c>
      <c r="C257" s="4" t="str">
        <f aca="false">IF('Service Types'!B517="","",'Service Types'!B517)</f>
        <v>OS - Waste and Recycling Services</v>
      </c>
      <c r="D257" s="5" t="n">
        <f aca="false">IF('Service Types'!E517="","",'Service Types'!E517)</f>
        <v>96</v>
      </c>
      <c r="E257" s="5" t="n">
        <f aca="false">IF('Service Types'!D517="","",'Service Types'!D517)</f>
        <v>474</v>
      </c>
      <c r="F257" s="5" t="n">
        <f aca="false">IF('Service Types'!F517="","",'Service Types'!F517)</f>
        <v>0</v>
      </c>
      <c r="G257" s="5" t="n">
        <f aca="false">IF('Service Types'!G517="","",'Service Types'!G517)</f>
        <v>0</v>
      </c>
      <c r="H257" s="5" t="n">
        <f aca="false">IF('Service Types'!H517="","",'Service Types'!H517)</f>
        <v>474</v>
      </c>
      <c r="I257" s="6" t="n">
        <f aca="false">IF('Service Types'!I517="","",'Service Types'!I517)</f>
        <v>3</v>
      </c>
      <c r="J257" s="6" t="n">
        <f aca="false">IF('Service Types'!J517="","",'Service Types'!J517)</f>
        <v>3.7</v>
      </c>
      <c r="K257" s="6" t="n">
        <f aca="false">IF('Service Types'!K517="","",'Service Types'!K517)</f>
        <v>7</v>
      </c>
    </row>
    <row r="258" customFormat="false" ht="15" hidden="false" customHeight="false" outlineLevel="0" collapsed="false">
      <c r="A258" s="16" t="n">
        <v>257</v>
      </c>
      <c r="B258" s="4" t="s">
        <v>470</v>
      </c>
      <c r="C258" s="4" t="str">
        <f aca="false">IF('Service Types'!B407="","",'Service Types'!B407)</f>
        <v>OS - Mobility</v>
      </c>
      <c r="D258" s="5" t="n">
        <f aca="false">IF('Service Types'!E407="","",'Service Types'!E407)</f>
        <v>96</v>
      </c>
      <c r="E258" s="5" t="n">
        <f aca="false">IF('Service Types'!D407="","",'Service Types'!D407)</f>
        <v>466</v>
      </c>
      <c r="F258" s="5" t="n">
        <f aca="false">IF('Service Types'!F407="","",'Service Types'!F407)</f>
        <v>110</v>
      </c>
      <c r="G258" s="5" t="n">
        <f aca="false">IF('Service Types'!G407="","",'Service Types'!G407)</f>
        <v>102</v>
      </c>
      <c r="H258" s="5" t="n">
        <f aca="false">IF('Service Types'!H407="","",'Service Types'!H407)</f>
        <v>356</v>
      </c>
      <c r="I258" s="6" t="n">
        <f aca="false">IF('Service Types'!I407="","",'Service Types'!I407)</f>
        <v>2</v>
      </c>
      <c r="J258" s="6" t="n">
        <f aca="false">IF('Service Types'!J407="","",'Service Types'!J407)</f>
        <v>14.8</v>
      </c>
      <c r="K258" s="6" t="n">
        <f aca="false">IF('Service Types'!K407="","",'Service Types'!K407)</f>
        <v>22</v>
      </c>
    </row>
    <row r="259" customFormat="false" ht="15" hidden="false" customHeight="false" outlineLevel="0" collapsed="false">
      <c r="A259" s="16" t="n">
        <v>258</v>
      </c>
      <c r="B259" s="4" t="s">
        <v>739</v>
      </c>
      <c r="C259" s="4" t="str">
        <f aca="false">IF('Service Types'!B661="","",'Service Types'!B661)</f>
        <v>PDS - Development, Business and Building Services</v>
      </c>
      <c r="D259" s="5" t="n">
        <f aca="false">IF('Service Types'!E661="","",'Service Types'!E661)</f>
        <v>93</v>
      </c>
      <c r="E259" s="5" t="n">
        <f aca="false">IF('Service Types'!D661="","",'Service Types'!D661)</f>
        <v>378</v>
      </c>
      <c r="F259" s="5" t="n">
        <f aca="false">IF('Service Types'!F661="","",'Service Types'!F661)</f>
        <v>3</v>
      </c>
      <c r="G259" s="5" t="n">
        <f aca="false">IF('Service Types'!G661="","",'Service Types'!G661)</f>
        <v>2</v>
      </c>
      <c r="H259" s="5" t="n">
        <f aca="false">IF('Service Types'!H661="","",'Service Types'!H661)</f>
        <v>375</v>
      </c>
      <c r="I259" s="6" t="n">
        <f aca="false">IF('Service Types'!I661="","",'Service Types'!I661)</f>
        <v>1</v>
      </c>
      <c r="J259" s="6" t="n">
        <f aca="false">IF('Service Types'!J661="","",'Service Types'!J661)</f>
        <v>14</v>
      </c>
      <c r="K259" s="6" t="n">
        <f aca="false">IF('Service Types'!K661="","",'Service Types'!K661)</f>
        <v>44</v>
      </c>
    </row>
    <row r="260" customFormat="false" ht="15" hidden="false" customHeight="false" outlineLevel="0" collapsed="false">
      <c r="A260" s="16" t="n">
        <v>259</v>
      </c>
      <c r="B260" s="4" t="s">
        <v>552</v>
      </c>
      <c r="C260" s="4" t="str">
        <f aca="false">IF('Service Types'!B487="","",'Service Types'!B487)</f>
        <v>OS - Parks and Open Spaces</v>
      </c>
      <c r="D260" s="5" t="n">
        <f aca="false">IF('Service Types'!E487="","",'Service Types'!E487)</f>
        <v>93</v>
      </c>
      <c r="E260" s="5" t="n">
        <f aca="false">IF('Service Types'!D487="","",'Service Types'!D487)</f>
        <v>301</v>
      </c>
      <c r="F260" s="5" t="n">
        <f aca="false">IF('Service Types'!F487="","",'Service Types'!F487)</f>
        <v>7</v>
      </c>
      <c r="G260" s="5" t="n">
        <f aca="false">IF('Service Types'!G487="","",'Service Types'!G487)</f>
        <v>3</v>
      </c>
      <c r="H260" s="5" t="n">
        <f aca="false">IF('Service Types'!H487="","",'Service Types'!H487)</f>
        <v>294</v>
      </c>
      <c r="I260" s="6" t="n">
        <f aca="false">IF('Service Types'!I487="","",'Service Types'!I487)</f>
        <v>4</v>
      </c>
      <c r="J260" s="6" t="n">
        <f aca="false">IF('Service Types'!J487="","",'Service Types'!J487)</f>
        <v>7.3</v>
      </c>
      <c r="K260" s="6" t="n">
        <f aca="false">IF('Service Types'!K487="","",'Service Types'!K487)</f>
        <v>18</v>
      </c>
    </row>
    <row r="261" customFormat="false" ht="15" hidden="false" customHeight="false" outlineLevel="0" collapsed="false">
      <c r="A261" s="16" t="n">
        <v>260</v>
      </c>
      <c r="B261" s="4" t="s">
        <v>657</v>
      </c>
      <c r="C261" s="4" t="str">
        <f aca="false">IF('Service Types'!B588="","",'Service Types'!B588)</f>
        <v>OSC - Calgary Transit</v>
      </c>
      <c r="D261" s="5" t="n">
        <f aca="false">IF('Service Types'!E588="","",'Service Types'!E588)</f>
        <v>93</v>
      </c>
      <c r="E261" s="5" t="n">
        <f aca="false">IF('Service Types'!D588="","",'Service Types'!D588)</f>
        <v>93</v>
      </c>
      <c r="F261" s="5" t="n">
        <f aca="false">IF('Service Types'!F588="","",'Service Types'!F588)</f>
        <v>1</v>
      </c>
      <c r="G261" s="5" t="n">
        <f aca="false">IF('Service Types'!G588="","",'Service Types'!G588)</f>
        <v>0</v>
      </c>
      <c r="H261" s="5" t="n">
        <f aca="false">IF('Service Types'!H588="","",'Service Types'!H588)</f>
        <v>92</v>
      </c>
      <c r="I261" s="6" t="n">
        <f aca="false">IF('Service Types'!I588="","",'Service Types'!I588)</f>
        <v>5</v>
      </c>
      <c r="J261" s="6" t="n">
        <f aca="false">IF('Service Types'!J588="","",'Service Types'!J588)</f>
        <v>5.1</v>
      </c>
      <c r="K261" s="6" t="n">
        <f aca="false">IF('Service Types'!K588="","",'Service Types'!K588)</f>
        <v>9</v>
      </c>
    </row>
    <row r="262" customFormat="false" ht="15" hidden="false" customHeight="false" outlineLevel="0" collapsed="false">
      <c r="A262" s="16" t="n">
        <v>261</v>
      </c>
      <c r="B262" s="4" t="s">
        <v>545</v>
      </c>
      <c r="C262" s="4" t="str">
        <f aca="false">IF('Service Types'!B480="","",'Service Types'!B480)</f>
        <v>OS - Parks and Open Spaces</v>
      </c>
      <c r="D262" s="5" t="n">
        <f aca="false">IF('Service Types'!E480="","",'Service Types'!E480)</f>
        <v>92</v>
      </c>
      <c r="E262" s="5" t="n">
        <f aca="false">IF('Service Types'!D480="","",'Service Types'!D480)</f>
        <v>507</v>
      </c>
      <c r="F262" s="5" t="n">
        <f aca="false">IF('Service Types'!F480="","",'Service Types'!F480)</f>
        <v>3</v>
      </c>
      <c r="G262" s="5" t="n">
        <f aca="false">IF('Service Types'!G480="","",'Service Types'!G480)</f>
        <v>3</v>
      </c>
      <c r="H262" s="5" t="n">
        <f aca="false">IF('Service Types'!H480="","",'Service Types'!H480)</f>
        <v>504</v>
      </c>
      <c r="I262" s="6" t="n">
        <f aca="false">IF('Service Types'!I480="","",'Service Types'!I480)</f>
        <v>2</v>
      </c>
      <c r="J262" s="6" t="n">
        <f aca="false">IF('Service Types'!J480="","",'Service Types'!J480)</f>
        <v>3.2</v>
      </c>
      <c r="K262" s="6" t="n">
        <f aca="false">IF('Service Types'!K480="","",'Service Types'!K480)</f>
        <v>7</v>
      </c>
    </row>
    <row r="263" customFormat="false" ht="15" hidden="false" customHeight="false" outlineLevel="0" collapsed="false">
      <c r="A263" s="16" t="n">
        <v>262</v>
      </c>
      <c r="B263" s="4" t="s">
        <v>357</v>
      </c>
      <c r="C263" s="4" t="str">
        <f aca="false">IF('Service Types'!B304="","",'Service Types'!B304)</f>
        <v>IS - Public Spaces Delivery</v>
      </c>
      <c r="D263" s="5" t="n">
        <f aca="false">IF('Service Types'!E304="","",'Service Types'!E304)</f>
        <v>91</v>
      </c>
      <c r="E263" s="5" t="n">
        <f aca="false">IF('Service Types'!D304="","",'Service Types'!D304)</f>
        <v>211</v>
      </c>
      <c r="F263" s="5" t="n">
        <f aca="false">IF('Service Types'!F304="","",'Service Types'!F304)</f>
        <v>1</v>
      </c>
      <c r="G263" s="5" t="n">
        <f aca="false">IF('Service Types'!G304="","",'Service Types'!G304)</f>
        <v>0</v>
      </c>
      <c r="H263" s="5" t="n">
        <f aca="false">IF('Service Types'!H304="","",'Service Types'!H304)</f>
        <v>210</v>
      </c>
      <c r="I263" s="6" t="n">
        <f aca="false">IF('Service Types'!I304="","",'Service Types'!I304)</f>
        <v>3</v>
      </c>
      <c r="J263" s="6" t="n">
        <f aca="false">IF('Service Types'!J304="","",'Service Types'!J304)</f>
        <v>4.3</v>
      </c>
      <c r="K263" s="6" t="n">
        <f aca="false">IF('Service Types'!K304="","",'Service Types'!K304)</f>
        <v>9</v>
      </c>
    </row>
    <row r="264" customFormat="false" ht="15" hidden="false" customHeight="false" outlineLevel="0" collapsed="false">
      <c r="A264" s="16" t="n">
        <v>263</v>
      </c>
      <c r="B264" s="4" t="s">
        <v>789</v>
      </c>
      <c r="C264" s="4" t="str">
        <f aca="false">IF('Service Types'!B706="","",'Service Types'!B706)</f>
        <v>PICS - Customer Service and Communications</v>
      </c>
      <c r="D264" s="5" t="n">
        <f aca="false">IF('Service Types'!E706="","",'Service Types'!E706)</f>
        <v>90</v>
      </c>
      <c r="E264" s="5" t="n">
        <f aca="false">IF('Service Types'!D706="","",'Service Types'!D706)</f>
        <v>1820</v>
      </c>
      <c r="F264" s="5" t="n">
        <f aca="false">IF('Service Types'!F706="","",'Service Types'!F706)</f>
        <v>0</v>
      </c>
      <c r="G264" s="5" t="n">
        <f aca="false">IF('Service Types'!G706="","",'Service Types'!G706)</f>
        <v>0</v>
      </c>
      <c r="H264" s="5" t="n">
        <f aca="false">IF('Service Types'!H706="","",'Service Types'!H706)</f>
        <v>1820</v>
      </c>
      <c r="I264" s="6" t="n">
        <f aca="false">IF('Service Types'!I706="","",'Service Types'!I706)</f>
        <v>2</v>
      </c>
      <c r="J264" s="6" t="n">
        <f aca="false">IF('Service Types'!J706="","",'Service Types'!J706)</f>
        <v>9.4</v>
      </c>
      <c r="K264" s="6" t="n">
        <f aca="false">IF('Service Types'!K706="","",'Service Types'!K706)</f>
        <v>23</v>
      </c>
    </row>
    <row r="265" customFormat="false" ht="15" hidden="false" customHeight="false" outlineLevel="0" collapsed="false">
      <c r="A265" s="16" t="n">
        <v>264</v>
      </c>
      <c r="B265" s="4" t="s">
        <v>585</v>
      </c>
      <c r="C265" s="4" t="str">
        <f aca="false">IF('Service Types'!B519="","",'Service Types'!B519)</f>
        <v>OS - Waste and Recycling Services</v>
      </c>
      <c r="D265" s="5" t="n">
        <f aca="false">IF('Service Types'!E519="","",'Service Types'!E519)</f>
        <v>90</v>
      </c>
      <c r="E265" s="5" t="n">
        <f aca="false">IF('Service Types'!D519="","",'Service Types'!D519)</f>
        <v>414</v>
      </c>
      <c r="F265" s="5" t="n">
        <f aca="false">IF('Service Types'!F519="","",'Service Types'!F519)</f>
        <v>0</v>
      </c>
      <c r="G265" s="5" t="n">
        <f aca="false">IF('Service Types'!G519="","",'Service Types'!G519)</f>
        <v>0</v>
      </c>
      <c r="H265" s="5" t="n">
        <f aca="false">IF('Service Types'!H519="","",'Service Types'!H519)</f>
        <v>414</v>
      </c>
      <c r="I265" s="6" t="n">
        <f aca="false">IF('Service Types'!I519="","",'Service Types'!I519)</f>
        <v>0</v>
      </c>
      <c r="J265" s="6" t="n">
        <f aca="false">IF('Service Types'!J519="","",'Service Types'!J519)</f>
        <v>0</v>
      </c>
      <c r="K265" s="6" t="n">
        <f aca="false">IF('Service Types'!K519="","",'Service Types'!K519)</f>
        <v>0</v>
      </c>
    </row>
    <row r="266" customFormat="false" ht="15" hidden="false" customHeight="false" outlineLevel="0" collapsed="false">
      <c r="A266" s="16" t="n">
        <v>265</v>
      </c>
      <c r="B266" s="4" t="s">
        <v>317</v>
      </c>
      <c r="C266" s="4" t="str">
        <f aca="false">IF('Service Types'!B268="","",'Service Types'!B268)</f>
        <v>Elected Officials</v>
      </c>
      <c r="D266" s="5" t="n">
        <f aca="false">IF('Service Types'!E268="","",'Service Types'!E268)</f>
        <v>88</v>
      </c>
      <c r="E266" s="5" t="n">
        <f aca="false">IF('Service Types'!D268="","",'Service Types'!D268)</f>
        <v>148</v>
      </c>
      <c r="F266" s="5" t="n">
        <f aca="false">IF('Service Types'!F268="","",'Service Types'!F268)</f>
        <v>0</v>
      </c>
      <c r="G266" s="5" t="n">
        <f aca="false">IF('Service Types'!G268="","",'Service Types'!G268)</f>
        <v>0</v>
      </c>
      <c r="H266" s="5" t="n">
        <f aca="false">IF('Service Types'!H268="","",'Service Types'!H268)</f>
        <v>148</v>
      </c>
      <c r="I266" s="6" t="n">
        <f aca="false">IF('Service Types'!I268="","",'Service Types'!I268)</f>
        <v>0</v>
      </c>
      <c r="J266" s="6" t="n">
        <f aca="false">IF('Service Types'!J268="","",'Service Types'!J268)</f>
        <v>0</v>
      </c>
      <c r="K266" s="6" t="n">
        <f aca="false">IF('Service Types'!K268="","",'Service Types'!K268)</f>
        <v>0</v>
      </c>
    </row>
    <row r="267" customFormat="false" ht="15" hidden="false" customHeight="false" outlineLevel="0" collapsed="false">
      <c r="A267" s="16" t="n">
        <v>266</v>
      </c>
      <c r="B267" s="4" t="s">
        <v>206</v>
      </c>
      <c r="C267" s="4" t="str">
        <f aca="false">IF('Service Types'!B163="","",'Service Types'!B163)</f>
        <v>CS - Emergency Management and Community Safety</v>
      </c>
      <c r="D267" s="5" t="n">
        <f aca="false">IF('Service Types'!E163="","",'Service Types'!E163)</f>
        <v>87</v>
      </c>
      <c r="E267" s="5" t="n">
        <f aca="false">IF('Service Types'!D163="","",'Service Types'!D163)</f>
        <v>403</v>
      </c>
      <c r="F267" s="5" t="n">
        <f aca="false">IF('Service Types'!F163="","",'Service Types'!F163)</f>
        <v>19</v>
      </c>
      <c r="G267" s="5" t="n">
        <f aca="false">IF('Service Types'!G163="","",'Service Types'!G163)</f>
        <v>10</v>
      </c>
      <c r="H267" s="5" t="n">
        <f aca="false">IF('Service Types'!H163="","",'Service Types'!H163)</f>
        <v>384</v>
      </c>
      <c r="I267" s="6" t="n">
        <f aca="false">IF('Service Types'!I163="","",'Service Types'!I163)</f>
        <v>29</v>
      </c>
      <c r="J267" s="6" t="n">
        <f aca="false">IF('Service Types'!J163="","",'Service Types'!J163)</f>
        <v>58.5</v>
      </c>
      <c r="K267" s="6" t="n">
        <f aca="false">IF('Service Types'!K163="","",'Service Types'!K163)</f>
        <v>174</v>
      </c>
    </row>
    <row r="268" customFormat="false" ht="15" hidden="false" customHeight="false" outlineLevel="0" collapsed="false">
      <c r="A268" s="16" t="n">
        <v>267</v>
      </c>
      <c r="B268" s="4" t="s">
        <v>62</v>
      </c>
      <c r="C268" s="4" t="str">
        <f aca="false">IF('Service Types'!B28="","",'Service Types'!B28)</f>
        <v>CPFS - Assessment and Tax</v>
      </c>
      <c r="D268" s="5" t="n">
        <f aca="false">IF('Service Types'!E28="","",'Service Types'!E28)</f>
        <v>87</v>
      </c>
      <c r="E268" s="5" t="n">
        <f aca="false">IF('Service Types'!D28="","",'Service Types'!D28)</f>
        <v>191</v>
      </c>
      <c r="F268" s="5" t="n">
        <f aca="false">IF('Service Types'!F28="","",'Service Types'!F28)</f>
        <v>0</v>
      </c>
      <c r="G268" s="5" t="n">
        <f aca="false">IF('Service Types'!G28="","",'Service Types'!G28)</f>
        <v>0</v>
      </c>
      <c r="H268" s="5" t="n">
        <f aca="false">IF('Service Types'!H28="","",'Service Types'!H28)</f>
        <v>191</v>
      </c>
      <c r="I268" s="6" t="n">
        <f aca="false">IF('Service Types'!I28="","",'Service Types'!I28)</f>
        <v>6</v>
      </c>
      <c r="J268" s="6" t="n">
        <f aca="false">IF('Service Types'!J28="","",'Service Types'!J28)</f>
        <v>16.6</v>
      </c>
      <c r="K268" s="6" t="n">
        <f aca="false">IF('Service Types'!K28="","",'Service Types'!K28)</f>
        <v>47</v>
      </c>
    </row>
    <row r="269" customFormat="false" ht="15" hidden="false" customHeight="false" outlineLevel="0" collapsed="false">
      <c r="A269" s="16" t="n">
        <v>268</v>
      </c>
      <c r="B269" s="4" t="s">
        <v>276</v>
      </c>
      <c r="C269" s="4" t="str">
        <f aca="false">IF('Service Types'!B231="","",'Service Types'!B231)</f>
        <v>CS - Recreation and Social Programs</v>
      </c>
      <c r="D269" s="5" t="n">
        <f aca="false">IF('Service Types'!E231="","",'Service Types'!E231)</f>
        <v>86</v>
      </c>
      <c r="E269" s="5" t="n">
        <f aca="false">IF('Service Types'!D231="","",'Service Types'!D231)</f>
        <v>506</v>
      </c>
      <c r="F269" s="5" t="n">
        <f aca="false">IF('Service Types'!F231="","",'Service Types'!F231)</f>
        <v>0</v>
      </c>
      <c r="G269" s="5" t="n">
        <f aca="false">IF('Service Types'!G231="","",'Service Types'!G231)</f>
        <v>0</v>
      </c>
      <c r="H269" s="5" t="n">
        <f aca="false">IF('Service Types'!H231="","",'Service Types'!H231)</f>
        <v>506</v>
      </c>
      <c r="I269" s="6" t="n">
        <f aca="false">IF('Service Types'!I231="","",'Service Types'!I231)</f>
        <v>3</v>
      </c>
      <c r="J269" s="6" t="n">
        <f aca="false">IF('Service Types'!J231="","",'Service Types'!J231)</f>
        <v>5</v>
      </c>
      <c r="K269" s="6" t="n">
        <f aca="false">IF('Service Types'!K231="","",'Service Types'!K231)</f>
        <v>11</v>
      </c>
    </row>
    <row r="270" customFormat="false" ht="15" hidden="false" customHeight="false" outlineLevel="0" collapsed="false">
      <c r="A270" s="16" t="n">
        <v>269</v>
      </c>
      <c r="B270" s="4" t="s">
        <v>659</v>
      </c>
      <c r="C270" s="4" t="str">
        <f aca="false">IF('Service Types'!B590="","",'Service Types'!B590)</f>
        <v>OSC - Greenline</v>
      </c>
      <c r="D270" s="5" t="n">
        <f aca="false">IF('Service Types'!E590="","",'Service Types'!E590)</f>
        <v>86</v>
      </c>
      <c r="E270" s="5" t="n">
        <f aca="false">IF('Service Types'!D590="","",'Service Types'!D590)</f>
        <v>86</v>
      </c>
      <c r="F270" s="5" t="n">
        <f aca="false">IF('Service Types'!F590="","",'Service Types'!F590)</f>
        <v>3</v>
      </c>
      <c r="G270" s="5" t="n">
        <f aca="false">IF('Service Types'!G590="","",'Service Types'!G590)</f>
        <v>1</v>
      </c>
      <c r="H270" s="5" t="n">
        <f aca="false">IF('Service Types'!H590="","",'Service Types'!H590)</f>
        <v>83</v>
      </c>
      <c r="I270" s="6" t="n">
        <f aca="false">IF('Service Types'!I590="","",'Service Types'!I590)</f>
        <v>1</v>
      </c>
      <c r="J270" s="6" t="n">
        <f aca="false">IF('Service Types'!J590="","",'Service Types'!J590)</f>
        <v>1.7</v>
      </c>
      <c r="K270" s="6" t="n">
        <f aca="false">IF('Service Types'!K590="","",'Service Types'!K590)</f>
        <v>3</v>
      </c>
    </row>
    <row r="271" customFormat="false" ht="15" hidden="false" customHeight="false" outlineLevel="0" collapsed="false">
      <c r="A271" s="16" t="n">
        <v>270</v>
      </c>
      <c r="B271" s="4" t="s">
        <v>70</v>
      </c>
      <c r="C271" s="4" t="str">
        <f aca="false">IF('Service Types'!B35="","",'Service Types'!B35)</f>
        <v>CPFS - Finance</v>
      </c>
      <c r="D271" s="5" t="n">
        <f aca="false">IF('Service Types'!E35="","",'Service Types'!E35)</f>
        <v>85</v>
      </c>
      <c r="E271" s="5" t="n">
        <f aca="false">IF('Service Types'!D35="","",'Service Types'!D35)</f>
        <v>423</v>
      </c>
      <c r="F271" s="5" t="n">
        <f aca="false">IF('Service Types'!F35="","",'Service Types'!F35)</f>
        <v>1</v>
      </c>
      <c r="G271" s="5" t="n">
        <f aca="false">IF('Service Types'!G35="","",'Service Types'!G35)</f>
        <v>0</v>
      </c>
      <c r="H271" s="5" t="n">
        <f aca="false">IF('Service Types'!H35="","",'Service Types'!H35)</f>
        <v>422</v>
      </c>
      <c r="I271" s="6" t="n">
        <f aca="false">IF('Service Types'!I35="","",'Service Types'!I35)</f>
        <v>3</v>
      </c>
      <c r="J271" s="6" t="n">
        <f aca="false">IF('Service Types'!J35="","",'Service Types'!J35)</f>
        <v>10.8</v>
      </c>
      <c r="K271" s="6" t="n">
        <f aca="false">IF('Service Types'!K35="","",'Service Types'!K35)</f>
        <v>22</v>
      </c>
    </row>
    <row r="272" customFormat="false" ht="15" hidden="false" customHeight="false" outlineLevel="0" collapsed="false">
      <c r="A272" s="16" t="n">
        <v>271</v>
      </c>
      <c r="B272" s="4" t="s">
        <v>810</v>
      </c>
      <c r="C272" s="4" t="str">
        <f aca="false">IF('Service Types'!B722="","",'Service Types'!B722)</f>
        <v>TRAN - Green Line</v>
      </c>
      <c r="D272" s="5" t="n">
        <f aca="false">IF('Service Types'!E722="","",'Service Types'!E722)</f>
        <v>85</v>
      </c>
      <c r="E272" s="5" t="n">
        <f aca="false">IF('Service Types'!D722="","",'Service Types'!D722)</f>
        <v>414</v>
      </c>
      <c r="F272" s="5" t="n">
        <f aca="false">IF('Service Types'!F722="","",'Service Types'!F722)</f>
        <v>2</v>
      </c>
      <c r="G272" s="5" t="n">
        <f aca="false">IF('Service Types'!G722="","",'Service Types'!G722)</f>
        <v>2</v>
      </c>
      <c r="H272" s="5" t="n">
        <f aca="false">IF('Service Types'!H722="","",'Service Types'!H722)</f>
        <v>412</v>
      </c>
      <c r="I272" s="6" t="n">
        <f aca="false">IF('Service Types'!I722="","",'Service Types'!I722)</f>
        <v>4</v>
      </c>
      <c r="J272" s="6" t="n">
        <f aca="false">IF('Service Types'!J722="","",'Service Types'!J722)</f>
        <v>8</v>
      </c>
      <c r="K272" s="6" t="n">
        <f aca="false">IF('Service Types'!K722="","",'Service Types'!K722)</f>
        <v>14</v>
      </c>
    </row>
    <row r="273" customFormat="false" ht="15" hidden="false" customHeight="false" outlineLevel="0" collapsed="false">
      <c r="A273" s="16" t="n">
        <v>272</v>
      </c>
      <c r="B273" s="4" t="s">
        <v>101</v>
      </c>
      <c r="C273" s="4" t="str">
        <f aca="false">IF('Service Types'!B62="","",'Service Types'!B62)</f>
        <v>CS - Calgary Fire</v>
      </c>
      <c r="D273" s="5" t="n">
        <f aca="false">IF('Service Types'!E62="","",'Service Types'!E62)</f>
        <v>85</v>
      </c>
      <c r="E273" s="5" t="n">
        <f aca="false">IF('Service Types'!D62="","",'Service Types'!D62)</f>
        <v>372</v>
      </c>
      <c r="F273" s="5" t="n">
        <f aca="false">IF('Service Types'!F62="","",'Service Types'!F62)</f>
        <v>0</v>
      </c>
      <c r="G273" s="5" t="n">
        <f aca="false">IF('Service Types'!G62="","",'Service Types'!G62)</f>
        <v>0</v>
      </c>
      <c r="H273" s="5" t="n">
        <f aca="false">IF('Service Types'!H62="","",'Service Types'!H62)</f>
        <v>372</v>
      </c>
      <c r="I273" s="6" t="n">
        <f aca="false">IF('Service Types'!I62="","",'Service Types'!I62)</f>
        <v>2</v>
      </c>
      <c r="J273" s="6" t="n">
        <f aca="false">IF('Service Types'!J62="","",'Service Types'!J62)</f>
        <v>3.6</v>
      </c>
      <c r="K273" s="6" t="n">
        <f aca="false">IF('Service Types'!K62="","",'Service Types'!K62)</f>
        <v>8</v>
      </c>
    </row>
    <row r="274" customFormat="false" ht="15" hidden="false" customHeight="false" outlineLevel="0" collapsed="false">
      <c r="A274" s="16" t="n">
        <v>273</v>
      </c>
      <c r="B274" s="4" t="s">
        <v>378</v>
      </c>
      <c r="C274" s="4" t="str">
        <f aca="false">IF('Service Types'!B324="","",'Service Types'!B324)</f>
        <v>IS - Real Estate and Development Services</v>
      </c>
      <c r="D274" s="5" t="n">
        <f aca="false">IF('Service Types'!E324="","",'Service Types'!E324)</f>
        <v>84</v>
      </c>
      <c r="E274" s="5" t="n">
        <f aca="false">IF('Service Types'!D324="","",'Service Types'!D324)</f>
        <v>559</v>
      </c>
      <c r="F274" s="5" t="n">
        <f aca="false">IF('Service Types'!F324="","",'Service Types'!F324)</f>
        <v>1</v>
      </c>
      <c r="G274" s="5" t="n">
        <f aca="false">IF('Service Types'!G324="","",'Service Types'!G324)</f>
        <v>0</v>
      </c>
      <c r="H274" s="5" t="n">
        <f aca="false">IF('Service Types'!H324="","",'Service Types'!H324)</f>
        <v>558</v>
      </c>
      <c r="I274" s="6" t="n">
        <f aca="false">IF('Service Types'!I324="","",'Service Types'!I324)</f>
        <v>3</v>
      </c>
      <c r="J274" s="6" t="n">
        <f aca="false">IF('Service Types'!J324="","",'Service Types'!J324)</f>
        <v>5.4</v>
      </c>
      <c r="K274" s="6" t="n">
        <f aca="false">IF('Service Types'!K324="","",'Service Types'!K324)</f>
        <v>7</v>
      </c>
    </row>
    <row r="275" customFormat="false" ht="15" hidden="false" customHeight="false" outlineLevel="0" collapsed="false">
      <c r="A275" s="16" t="n">
        <v>274</v>
      </c>
      <c r="B275" s="4" t="s">
        <v>277</v>
      </c>
      <c r="C275" s="4" t="str">
        <f aca="false">IF('Service Types'!B232="","",'Service Types'!B232)</f>
        <v>CS - Recreation and Social Programs</v>
      </c>
      <c r="D275" s="5" t="n">
        <f aca="false">IF('Service Types'!E232="","",'Service Types'!E232)</f>
        <v>84</v>
      </c>
      <c r="E275" s="5" t="n">
        <f aca="false">IF('Service Types'!D232="","",'Service Types'!D232)</f>
        <v>475</v>
      </c>
      <c r="F275" s="5" t="n">
        <f aca="false">IF('Service Types'!F232="","",'Service Types'!F232)</f>
        <v>2</v>
      </c>
      <c r="G275" s="5" t="n">
        <f aca="false">IF('Service Types'!G232="","",'Service Types'!G232)</f>
        <v>1</v>
      </c>
      <c r="H275" s="5" t="n">
        <f aca="false">IF('Service Types'!H232="","",'Service Types'!H232)</f>
        <v>473</v>
      </c>
      <c r="I275" s="6" t="n">
        <f aca="false">IF('Service Types'!I232="","",'Service Types'!I232)</f>
        <v>4</v>
      </c>
      <c r="J275" s="6" t="n">
        <f aca="false">IF('Service Types'!J232="","",'Service Types'!J232)</f>
        <v>7.5</v>
      </c>
      <c r="K275" s="6" t="n">
        <f aca="false">IF('Service Types'!K232="","",'Service Types'!K232)</f>
        <v>17</v>
      </c>
    </row>
    <row r="276" customFormat="false" ht="15" hidden="false" customHeight="false" outlineLevel="0" collapsed="false">
      <c r="A276" s="16" t="n">
        <v>275</v>
      </c>
      <c r="B276" s="4" t="s">
        <v>588</v>
      </c>
      <c r="C276" s="4" t="str">
        <f aca="false">IF('Service Types'!B522="","",'Service Types'!B522)</f>
        <v>OS - Waste and Recycling Services</v>
      </c>
      <c r="D276" s="5" t="n">
        <f aca="false">IF('Service Types'!E522="","",'Service Types'!E522)</f>
        <v>78</v>
      </c>
      <c r="E276" s="5" t="n">
        <f aca="false">IF('Service Types'!D522="","",'Service Types'!D522)</f>
        <v>335</v>
      </c>
      <c r="F276" s="5" t="n">
        <f aca="false">IF('Service Types'!F522="","",'Service Types'!F522)</f>
        <v>2</v>
      </c>
      <c r="G276" s="5" t="n">
        <f aca="false">IF('Service Types'!G522="","",'Service Types'!G522)</f>
        <v>0</v>
      </c>
      <c r="H276" s="5" t="n">
        <f aca="false">IF('Service Types'!H522="","",'Service Types'!H522)</f>
        <v>333</v>
      </c>
      <c r="I276" s="6" t="n">
        <f aca="false">IF('Service Types'!I522="","",'Service Types'!I522)</f>
        <v>0</v>
      </c>
      <c r="J276" s="6" t="n">
        <f aca="false">IF('Service Types'!J522="","",'Service Types'!J522)</f>
        <v>1.1</v>
      </c>
      <c r="K276" s="6" t="n">
        <f aca="false">IF('Service Types'!K522="","",'Service Types'!K522)</f>
        <v>4</v>
      </c>
    </row>
    <row r="277" customFormat="false" ht="15" hidden="false" customHeight="false" outlineLevel="0" collapsed="false">
      <c r="A277" s="16" t="n">
        <v>276</v>
      </c>
      <c r="B277" s="4" t="s">
        <v>345</v>
      </c>
      <c r="C277" s="4" t="str">
        <f aca="false">IF('Service Types'!B293="","",'Service Types'!B293)</f>
        <v>IS - Project Development</v>
      </c>
      <c r="D277" s="5" t="n">
        <f aca="false">IF('Service Types'!E293="","",'Service Types'!E293)</f>
        <v>77</v>
      </c>
      <c r="E277" s="5" t="n">
        <f aca="false">IF('Service Types'!D293="","",'Service Types'!D293)</f>
        <v>170</v>
      </c>
      <c r="F277" s="5" t="n">
        <f aca="false">IF('Service Types'!F293="","",'Service Types'!F293)</f>
        <v>3</v>
      </c>
      <c r="G277" s="5" t="n">
        <f aca="false">IF('Service Types'!G293="","",'Service Types'!G293)</f>
        <v>0</v>
      </c>
      <c r="H277" s="5" t="n">
        <f aca="false">IF('Service Types'!H293="","",'Service Types'!H293)</f>
        <v>167</v>
      </c>
      <c r="I277" s="6" t="n">
        <f aca="false">IF('Service Types'!I293="","",'Service Types'!I293)</f>
        <v>4</v>
      </c>
      <c r="J277" s="6" t="n">
        <f aca="false">IF('Service Types'!J293="","",'Service Types'!J293)</f>
        <v>18.8</v>
      </c>
      <c r="K277" s="6" t="n">
        <f aca="false">IF('Service Types'!K293="","",'Service Types'!K293)</f>
        <v>17</v>
      </c>
    </row>
    <row r="278" customFormat="false" ht="15" hidden="false" customHeight="false" outlineLevel="0" collapsed="false">
      <c r="A278" s="16" t="n">
        <v>277</v>
      </c>
      <c r="B278" s="4" t="s">
        <v>379</v>
      </c>
      <c r="C278" s="4" t="str">
        <f aca="false">IF('Service Types'!B325="","",'Service Types'!B325)</f>
        <v>IS - Real Estate and Development Services</v>
      </c>
      <c r="D278" s="5" t="n">
        <f aca="false">IF('Service Types'!E325="","",'Service Types'!E325)</f>
        <v>76</v>
      </c>
      <c r="E278" s="5" t="n">
        <f aca="false">IF('Service Types'!D325="","",'Service Types'!D325)</f>
        <v>482</v>
      </c>
      <c r="F278" s="5" t="n">
        <f aca="false">IF('Service Types'!F325="","",'Service Types'!F325)</f>
        <v>0</v>
      </c>
      <c r="G278" s="5" t="n">
        <f aca="false">IF('Service Types'!G325="","",'Service Types'!G325)</f>
        <v>0</v>
      </c>
      <c r="H278" s="5" t="n">
        <f aca="false">IF('Service Types'!H325="","",'Service Types'!H325)</f>
        <v>482</v>
      </c>
      <c r="I278" s="6" t="n">
        <f aca="false">IF('Service Types'!I325="","",'Service Types'!I325)</f>
        <v>3</v>
      </c>
      <c r="J278" s="6" t="n">
        <f aca="false">IF('Service Types'!J325="","",'Service Types'!J325)</f>
        <v>7.9</v>
      </c>
      <c r="K278" s="6" t="n">
        <f aca="false">IF('Service Types'!K325="","",'Service Types'!K325)</f>
        <v>8</v>
      </c>
    </row>
    <row r="279" customFormat="false" ht="15" hidden="false" customHeight="false" outlineLevel="0" collapsed="false">
      <c r="A279" s="16" t="n">
        <v>278</v>
      </c>
      <c r="B279" s="4" t="s">
        <v>208</v>
      </c>
      <c r="C279" s="4" t="str">
        <f aca="false">IF('Service Types'!B165="","",'Service Types'!B165)</f>
        <v>CS - Emergency Management and Community Safety</v>
      </c>
      <c r="D279" s="5" t="n">
        <f aca="false">IF('Service Types'!E165="","",'Service Types'!E165)</f>
        <v>76</v>
      </c>
      <c r="E279" s="5" t="n">
        <f aca="false">IF('Service Types'!D165="","",'Service Types'!D165)</f>
        <v>308</v>
      </c>
      <c r="F279" s="5" t="n">
        <f aca="false">IF('Service Types'!F165="","",'Service Types'!F165)</f>
        <v>5</v>
      </c>
      <c r="G279" s="5" t="n">
        <f aca="false">IF('Service Types'!G165="","",'Service Types'!G165)</f>
        <v>2</v>
      </c>
      <c r="H279" s="5" t="n">
        <f aca="false">IF('Service Types'!H165="","",'Service Types'!H165)</f>
        <v>303</v>
      </c>
      <c r="I279" s="6" t="n">
        <f aca="false">IF('Service Types'!I165="","",'Service Types'!I165)</f>
        <v>4</v>
      </c>
      <c r="J279" s="6" t="n">
        <f aca="false">IF('Service Types'!J165="","",'Service Types'!J165)</f>
        <v>22.5</v>
      </c>
      <c r="K279" s="6" t="n">
        <f aca="false">IF('Service Types'!K165="","",'Service Types'!K165)</f>
        <v>37</v>
      </c>
    </row>
    <row r="280" customFormat="false" ht="15" hidden="false" customHeight="false" outlineLevel="0" collapsed="false">
      <c r="A280" s="16" t="n">
        <v>279</v>
      </c>
      <c r="B280" s="4" t="s">
        <v>658</v>
      </c>
      <c r="C280" s="4" t="str">
        <f aca="false">IF('Service Types'!B589="","",'Service Types'!B589)</f>
        <v>OSC - Calgary Transit</v>
      </c>
      <c r="D280" s="5" t="n">
        <f aca="false">IF('Service Types'!E589="","",'Service Types'!E589)</f>
        <v>76</v>
      </c>
      <c r="E280" s="5" t="n">
        <f aca="false">IF('Service Types'!D589="","",'Service Types'!D589)</f>
        <v>76</v>
      </c>
      <c r="F280" s="5" t="n">
        <f aca="false">IF('Service Types'!F589="","",'Service Types'!F589)</f>
        <v>0</v>
      </c>
      <c r="G280" s="5" t="n">
        <f aca="false">IF('Service Types'!G589="","",'Service Types'!G589)</f>
        <v>0</v>
      </c>
      <c r="H280" s="5" t="n">
        <f aca="false">IF('Service Types'!H589="","",'Service Types'!H589)</f>
        <v>76</v>
      </c>
      <c r="I280" s="6" t="n">
        <f aca="false">IF('Service Types'!I589="","",'Service Types'!I589)</f>
        <v>1.5</v>
      </c>
      <c r="J280" s="6" t="n">
        <f aca="false">IF('Service Types'!J589="","",'Service Types'!J589)</f>
        <v>2.3</v>
      </c>
      <c r="K280" s="6" t="n">
        <f aca="false">IF('Service Types'!K589="","",'Service Types'!K589)</f>
        <v>5</v>
      </c>
    </row>
    <row r="281" customFormat="false" ht="15" hidden="false" customHeight="false" outlineLevel="0" collapsed="false">
      <c r="A281" s="16" t="n">
        <v>280</v>
      </c>
      <c r="B281" s="4" t="s">
        <v>279</v>
      </c>
      <c r="C281" s="4" t="str">
        <f aca="false">IF('Service Types'!B234="","",'Service Types'!B234)</f>
        <v>CS - Recreation and Social Programs</v>
      </c>
      <c r="D281" s="5" t="n">
        <f aca="false">IF('Service Types'!E234="","",'Service Types'!E234)</f>
        <v>75</v>
      </c>
      <c r="E281" s="5" t="n">
        <f aca="false">IF('Service Types'!D234="","",'Service Types'!D234)</f>
        <v>417</v>
      </c>
      <c r="F281" s="5" t="n">
        <f aca="false">IF('Service Types'!F234="","",'Service Types'!F234)</f>
        <v>4</v>
      </c>
      <c r="G281" s="5" t="n">
        <f aca="false">IF('Service Types'!G234="","",'Service Types'!G234)</f>
        <v>0</v>
      </c>
      <c r="H281" s="5" t="n">
        <f aca="false">IF('Service Types'!H234="","",'Service Types'!H234)</f>
        <v>413</v>
      </c>
      <c r="I281" s="6" t="n">
        <f aca="false">IF('Service Types'!I234="","",'Service Types'!I234)</f>
        <v>5</v>
      </c>
      <c r="J281" s="6" t="n">
        <f aca="false">IF('Service Types'!J234="","",'Service Types'!J234)</f>
        <v>9.8</v>
      </c>
      <c r="K281" s="6" t="n">
        <f aca="false">IF('Service Types'!K234="","",'Service Types'!K234)</f>
        <v>22</v>
      </c>
    </row>
    <row r="282" customFormat="false" ht="15" hidden="false" customHeight="false" outlineLevel="0" collapsed="false">
      <c r="A282" s="16" t="n">
        <v>281</v>
      </c>
      <c r="B282" s="4" t="s">
        <v>644</v>
      </c>
      <c r="C282" s="4" t="str">
        <f aca="false">IF('Service Types'!B576="","",'Service Types'!B576)</f>
        <v>OS - Water Services</v>
      </c>
      <c r="D282" s="5" t="n">
        <f aca="false">IF('Service Types'!E576="","",'Service Types'!E576)</f>
        <v>75</v>
      </c>
      <c r="E282" s="5" t="n">
        <f aca="false">IF('Service Types'!D576="","",'Service Types'!D576)</f>
        <v>213</v>
      </c>
      <c r="F282" s="5" t="n">
        <f aca="false">IF('Service Types'!F576="","",'Service Types'!F576)</f>
        <v>35</v>
      </c>
      <c r="G282" s="5" t="n">
        <f aca="false">IF('Service Types'!G576="","",'Service Types'!G576)</f>
        <v>21</v>
      </c>
      <c r="H282" s="5" t="n">
        <f aca="false">IF('Service Types'!H576="","",'Service Types'!H576)</f>
        <v>178</v>
      </c>
      <c r="I282" s="6" t="n">
        <f aca="false">IF('Service Types'!I576="","",'Service Types'!I576)</f>
        <v>15.5</v>
      </c>
      <c r="J282" s="6" t="n">
        <f aca="false">IF('Service Types'!J576="","",'Service Types'!J576)</f>
        <v>40.9</v>
      </c>
      <c r="K282" s="6" t="n">
        <f aca="false">IF('Service Types'!K576="","",'Service Types'!K576)</f>
        <v>113</v>
      </c>
    </row>
    <row r="283" customFormat="false" ht="15" hidden="false" customHeight="false" outlineLevel="0" collapsed="false">
      <c r="A283" s="16" t="n">
        <v>282</v>
      </c>
      <c r="B283" s="4" t="s">
        <v>473</v>
      </c>
      <c r="C283" s="4" t="str">
        <f aca="false">IF('Service Types'!B410="","",'Service Types'!B410)</f>
        <v>OS - Mobility</v>
      </c>
      <c r="D283" s="5" t="n">
        <f aca="false">IF('Service Types'!E410="","",'Service Types'!E410)</f>
        <v>70</v>
      </c>
      <c r="E283" s="5" t="n">
        <f aca="false">IF('Service Types'!D410="","",'Service Types'!D410)</f>
        <v>347</v>
      </c>
      <c r="F283" s="5" t="n">
        <f aca="false">IF('Service Types'!F410="","",'Service Types'!F410)</f>
        <v>53</v>
      </c>
      <c r="G283" s="5" t="n">
        <f aca="false">IF('Service Types'!G410="","",'Service Types'!G410)</f>
        <v>40</v>
      </c>
      <c r="H283" s="5" t="n">
        <f aca="false">IF('Service Types'!H410="","",'Service Types'!H410)</f>
        <v>294</v>
      </c>
      <c r="I283" s="6" t="n">
        <f aca="false">IF('Service Types'!I410="","",'Service Types'!I410)</f>
        <v>148</v>
      </c>
      <c r="J283" s="6" t="n">
        <f aca="false">IF('Service Types'!J410="","",'Service Types'!J410)</f>
        <v>202.4</v>
      </c>
      <c r="K283" s="6" t="n">
        <f aca="false">IF('Service Types'!K410="","",'Service Types'!K410)</f>
        <v>568</v>
      </c>
    </row>
    <row r="284" customFormat="false" ht="15" hidden="false" customHeight="false" outlineLevel="0" collapsed="false">
      <c r="A284" s="16" t="n">
        <v>283</v>
      </c>
      <c r="B284" s="4" t="s">
        <v>302</v>
      </c>
      <c r="C284" s="4" t="str">
        <f aca="false">IF('Service Types'!B257="","",'Service Types'!B257)</f>
        <v>CS - Recreation and Social Programs</v>
      </c>
      <c r="D284" s="5" t="n">
        <f aca="false">IF('Service Types'!E257="","",'Service Types'!E257)</f>
        <v>69</v>
      </c>
      <c r="E284" s="5" t="n">
        <f aca="false">IF('Service Types'!D257="","",'Service Types'!D257)</f>
        <v>85</v>
      </c>
      <c r="F284" s="5" t="n">
        <f aca="false">IF('Service Types'!F257="","",'Service Types'!F257)</f>
        <v>11</v>
      </c>
      <c r="G284" s="5" t="n">
        <f aca="false">IF('Service Types'!G257="","",'Service Types'!G257)</f>
        <v>9</v>
      </c>
      <c r="H284" s="5" t="n">
        <f aca="false">IF('Service Types'!H257="","",'Service Types'!H257)</f>
        <v>74</v>
      </c>
      <c r="I284" s="6" t="n">
        <f aca="false">IF('Service Types'!I257="","",'Service Types'!I257)</f>
        <v>44</v>
      </c>
      <c r="J284" s="6" t="n">
        <f aca="false">IF('Service Types'!J257="","",'Service Types'!J257)</f>
        <v>68.8</v>
      </c>
      <c r="K284" s="6" t="n">
        <f aca="false">IF('Service Types'!K257="","",'Service Types'!K257)</f>
        <v>169</v>
      </c>
    </row>
    <row r="285" customFormat="false" ht="15" hidden="false" customHeight="false" outlineLevel="0" collapsed="false">
      <c r="A285" s="16" t="n">
        <v>284</v>
      </c>
      <c r="B285" s="4" t="s">
        <v>492</v>
      </c>
      <c r="C285" s="4" t="str">
        <f aca="false">IF('Service Types'!B429="","",'Service Types'!B429)</f>
        <v>OS - Mobility</v>
      </c>
      <c r="D285" s="5" t="n">
        <f aca="false">IF('Service Types'!E429="","",'Service Types'!E429)</f>
        <v>67</v>
      </c>
      <c r="E285" s="5" t="n">
        <f aca="false">IF('Service Types'!D429="","",'Service Types'!D429)</f>
        <v>74</v>
      </c>
      <c r="F285" s="5" t="n">
        <f aca="false">IF('Service Types'!F429="","",'Service Types'!F429)</f>
        <v>12</v>
      </c>
      <c r="G285" s="5" t="n">
        <f aca="false">IF('Service Types'!G429="","",'Service Types'!G429)</f>
        <v>0</v>
      </c>
      <c r="H285" s="5" t="n">
        <f aca="false">IF('Service Types'!H429="","",'Service Types'!H429)</f>
        <v>62</v>
      </c>
      <c r="I285" s="6" t="n">
        <f aca="false">IF('Service Types'!I429="","",'Service Types'!I429)</f>
        <v>27</v>
      </c>
      <c r="J285" s="6" t="n">
        <f aca="false">IF('Service Types'!J429="","",'Service Types'!J429)</f>
        <v>37.6</v>
      </c>
      <c r="K285" s="6" t="n">
        <f aca="false">IF('Service Types'!K429="","",'Service Types'!K429)</f>
        <v>56</v>
      </c>
    </row>
    <row r="286" customFormat="false" ht="15" hidden="false" customHeight="false" outlineLevel="0" collapsed="false">
      <c r="A286" s="16" t="n">
        <v>285</v>
      </c>
      <c r="B286" s="4" t="s">
        <v>278</v>
      </c>
      <c r="C286" s="4" t="str">
        <f aca="false">IF('Service Types'!B233="","",'Service Types'!B233)</f>
        <v>CS - Recreation and Social Programs</v>
      </c>
      <c r="D286" s="5" t="n">
        <f aca="false">IF('Service Types'!E233="","",'Service Types'!E233)</f>
        <v>66</v>
      </c>
      <c r="E286" s="5" t="n">
        <f aca="false">IF('Service Types'!D233="","",'Service Types'!D233)</f>
        <v>430</v>
      </c>
      <c r="F286" s="5" t="n">
        <f aca="false">IF('Service Types'!F233="","",'Service Types'!F233)</f>
        <v>0</v>
      </c>
      <c r="G286" s="5" t="n">
        <f aca="false">IF('Service Types'!G233="","",'Service Types'!G233)</f>
        <v>0</v>
      </c>
      <c r="H286" s="5" t="n">
        <f aca="false">IF('Service Types'!H233="","",'Service Types'!H233)</f>
        <v>430</v>
      </c>
      <c r="I286" s="6" t="n">
        <f aca="false">IF('Service Types'!I233="","",'Service Types'!I233)</f>
        <v>3</v>
      </c>
      <c r="J286" s="6" t="n">
        <f aca="false">IF('Service Types'!J233="","",'Service Types'!J233)</f>
        <v>6</v>
      </c>
      <c r="K286" s="6" t="n">
        <f aca="false">IF('Service Types'!K233="","",'Service Types'!K233)</f>
        <v>13</v>
      </c>
    </row>
    <row r="287" customFormat="false" ht="15" hidden="false" customHeight="false" outlineLevel="0" collapsed="false">
      <c r="A287" s="16" t="n">
        <v>286</v>
      </c>
      <c r="B287" s="4" t="s">
        <v>685</v>
      </c>
      <c r="C287" s="4" t="str">
        <f aca="false">IF('Service Types'!B610="","",'Service Types'!B610)</f>
        <v>PDS - Climate and Environment</v>
      </c>
      <c r="D287" s="5" t="n">
        <f aca="false">IF('Service Types'!E610="","",'Service Types'!E610)</f>
        <v>65</v>
      </c>
      <c r="E287" s="5" t="n">
        <f aca="false">IF('Service Types'!D610="","",'Service Types'!D610)</f>
        <v>909</v>
      </c>
      <c r="F287" s="5" t="n">
        <f aca="false">IF('Service Types'!F610="","",'Service Types'!F610)</f>
        <v>0</v>
      </c>
      <c r="G287" s="5" t="n">
        <f aca="false">IF('Service Types'!G610="","",'Service Types'!G610)</f>
        <v>0</v>
      </c>
      <c r="H287" s="5" t="n">
        <f aca="false">IF('Service Types'!H610="","",'Service Types'!H610)</f>
        <v>909</v>
      </c>
      <c r="I287" s="6" t="n">
        <f aca="false">IF('Service Types'!I610="","",'Service Types'!I610)</f>
        <v>2</v>
      </c>
      <c r="J287" s="6" t="n">
        <f aca="false">IF('Service Types'!J610="","",'Service Types'!J610)</f>
        <v>13</v>
      </c>
      <c r="K287" s="6" t="n">
        <f aca="false">IF('Service Types'!K610="","",'Service Types'!K610)</f>
        <v>12</v>
      </c>
    </row>
    <row r="288" customFormat="false" ht="15" hidden="false" customHeight="false" outlineLevel="0" collapsed="false">
      <c r="A288" s="16" t="n">
        <v>287</v>
      </c>
      <c r="B288" s="4" t="s">
        <v>468</v>
      </c>
      <c r="C288" s="4" t="str">
        <f aca="false">IF('Service Types'!B405="","",'Service Types'!B405)</f>
        <v>OS - Mobility</v>
      </c>
      <c r="D288" s="5" t="n">
        <f aca="false">IF('Service Types'!E405="","",'Service Types'!E405)</f>
        <v>64</v>
      </c>
      <c r="E288" s="5" t="n">
        <f aca="false">IF('Service Types'!D405="","",'Service Types'!D405)</f>
        <v>522</v>
      </c>
      <c r="F288" s="5" t="n">
        <f aca="false">IF('Service Types'!F405="","",'Service Types'!F405)</f>
        <v>4</v>
      </c>
      <c r="G288" s="5" t="n">
        <f aca="false">IF('Service Types'!G405="","",'Service Types'!G405)</f>
        <v>4</v>
      </c>
      <c r="H288" s="5" t="n">
        <f aca="false">IF('Service Types'!H405="","",'Service Types'!H405)</f>
        <v>518</v>
      </c>
      <c r="I288" s="6" t="n">
        <f aca="false">IF('Service Types'!I405="","",'Service Types'!I405)</f>
        <v>0</v>
      </c>
      <c r="J288" s="6" t="n">
        <f aca="false">IF('Service Types'!J405="","",'Service Types'!J405)</f>
        <v>3.8</v>
      </c>
      <c r="K288" s="6" t="n">
        <f aca="false">IF('Service Types'!K405="","",'Service Types'!K405)</f>
        <v>0</v>
      </c>
    </row>
    <row r="289" customFormat="false" ht="15" hidden="false" customHeight="false" outlineLevel="0" collapsed="false">
      <c r="A289" s="16" t="n">
        <v>288</v>
      </c>
      <c r="B289" s="4" t="s">
        <v>587</v>
      </c>
      <c r="C289" s="4" t="str">
        <f aca="false">IF('Service Types'!B521="","",'Service Types'!B521)</f>
        <v>OS - Waste and Recycling Services</v>
      </c>
      <c r="D289" s="5" t="n">
        <f aca="false">IF('Service Types'!E521="","",'Service Types'!E521)</f>
        <v>64</v>
      </c>
      <c r="E289" s="5" t="n">
        <f aca="false">IF('Service Types'!D521="","",'Service Types'!D521)</f>
        <v>342</v>
      </c>
      <c r="F289" s="5" t="n">
        <f aca="false">IF('Service Types'!F521="","",'Service Types'!F521)</f>
        <v>0</v>
      </c>
      <c r="G289" s="5" t="n">
        <f aca="false">IF('Service Types'!G521="","",'Service Types'!G521)</f>
        <v>0</v>
      </c>
      <c r="H289" s="5" t="n">
        <f aca="false">IF('Service Types'!H521="","",'Service Types'!H521)</f>
        <v>342</v>
      </c>
      <c r="I289" s="6" t="n">
        <f aca="false">IF('Service Types'!I521="","",'Service Types'!I521)</f>
        <v>1</v>
      </c>
      <c r="J289" s="6" t="n">
        <f aca="false">IF('Service Types'!J521="","",'Service Types'!J521)</f>
        <v>1.2</v>
      </c>
      <c r="K289" s="6" t="n">
        <f aca="false">IF('Service Types'!K521="","",'Service Types'!K521)</f>
        <v>2</v>
      </c>
    </row>
    <row r="290" customFormat="false" ht="15" hidden="false" customHeight="false" outlineLevel="0" collapsed="false">
      <c r="A290" s="16" t="n">
        <v>289</v>
      </c>
      <c r="B290" s="4" t="s">
        <v>639</v>
      </c>
      <c r="C290" s="4" t="str">
        <f aca="false">IF('Service Types'!B571="","",'Service Types'!B571)</f>
        <v>OS - Water Services</v>
      </c>
      <c r="D290" s="5" t="n">
        <f aca="false">IF('Service Types'!E571="","",'Service Types'!E571)</f>
        <v>62</v>
      </c>
      <c r="E290" s="5" t="n">
        <f aca="false">IF('Service Types'!D571="","",'Service Types'!D571)</f>
        <v>365</v>
      </c>
      <c r="F290" s="5" t="n">
        <f aca="false">IF('Service Types'!F571="","",'Service Types'!F571)</f>
        <v>1</v>
      </c>
      <c r="G290" s="5" t="n">
        <f aca="false">IF('Service Types'!G571="","",'Service Types'!G571)</f>
        <v>1</v>
      </c>
      <c r="H290" s="5" t="n">
        <f aca="false">IF('Service Types'!H571="","",'Service Types'!H571)</f>
        <v>364</v>
      </c>
      <c r="I290" s="6" t="n">
        <f aca="false">IF('Service Types'!I571="","",'Service Types'!I571)</f>
        <v>4</v>
      </c>
      <c r="J290" s="6" t="n">
        <f aca="false">IF('Service Types'!J571="","",'Service Types'!J571)</f>
        <v>32.1</v>
      </c>
      <c r="K290" s="6" t="n">
        <f aca="false">IF('Service Types'!K571="","",'Service Types'!K571)</f>
        <v>23</v>
      </c>
    </row>
    <row r="291" customFormat="false" ht="15" hidden="false" customHeight="false" outlineLevel="0" collapsed="false">
      <c r="A291" s="16" t="n">
        <v>290</v>
      </c>
      <c r="B291" s="4" t="s">
        <v>358</v>
      </c>
      <c r="C291" s="4" t="str">
        <f aca="false">IF('Service Types'!B305="","",'Service Types'!B305)</f>
        <v>IS - Public Spaces Delivery</v>
      </c>
      <c r="D291" s="5" t="n">
        <f aca="false">IF('Service Types'!E305="","",'Service Types'!E305)</f>
        <v>61</v>
      </c>
      <c r="E291" s="5" t="n">
        <f aca="false">IF('Service Types'!D305="","",'Service Types'!D305)</f>
        <v>189</v>
      </c>
      <c r="F291" s="5" t="n">
        <f aca="false">IF('Service Types'!F305="","",'Service Types'!F305)</f>
        <v>3</v>
      </c>
      <c r="G291" s="5" t="n">
        <f aca="false">IF('Service Types'!G305="","",'Service Types'!G305)</f>
        <v>0</v>
      </c>
      <c r="H291" s="5" t="n">
        <f aca="false">IF('Service Types'!H305="","",'Service Types'!H305)</f>
        <v>186</v>
      </c>
      <c r="I291" s="6" t="n">
        <f aca="false">IF('Service Types'!I305="","",'Service Types'!I305)</f>
        <v>1</v>
      </c>
      <c r="J291" s="6" t="n">
        <f aca="false">IF('Service Types'!J305="","",'Service Types'!J305)</f>
        <v>3.5</v>
      </c>
      <c r="K291" s="6" t="n">
        <f aca="false">IF('Service Types'!K305="","",'Service Types'!K305)</f>
        <v>12</v>
      </c>
    </row>
    <row r="292" customFormat="false" ht="15" hidden="false" customHeight="false" outlineLevel="0" collapsed="false">
      <c r="A292" s="16" t="n">
        <v>291</v>
      </c>
      <c r="B292" s="4" t="s">
        <v>297</v>
      </c>
      <c r="C292" s="4" t="str">
        <f aca="false">IF('Service Types'!B252="","",'Service Types'!B252)</f>
        <v>CS - Recreation and Social Programs</v>
      </c>
      <c r="D292" s="5" t="n">
        <f aca="false">IF('Service Types'!E252="","",'Service Types'!E252)</f>
        <v>61</v>
      </c>
      <c r="E292" s="5" t="n">
        <f aca="false">IF('Service Types'!D252="","",'Service Types'!D252)</f>
        <v>119</v>
      </c>
      <c r="F292" s="5" t="n">
        <f aca="false">IF('Service Types'!F252="","",'Service Types'!F252)</f>
        <v>0</v>
      </c>
      <c r="G292" s="5" t="n">
        <f aca="false">IF('Service Types'!G252="","",'Service Types'!G252)</f>
        <v>0</v>
      </c>
      <c r="H292" s="5" t="n">
        <f aca="false">IF('Service Types'!H252="","",'Service Types'!H252)</f>
        <v>119</v>
      </c>
      <c r="I292" s="6" t="n">
        <f aca="false">IF('Service Types'!I252="","",'Service Types'!I252)</f>
        <v>3</v>
      </c>
      <c r="J292" s="6" t="n">
        <f aca="false">IF('Service Types'!J252="","",'Service Types'!J252)</f>
        <v>5.1</v>
      </c>
      <c r="K292" s="6" t="n">
        <f aca="false">IF('Service Types'!K252="","",'Service Types'!K252)</f>
        <v>12</v>
      </c>
    </row>
    <row r="293" customFormat="false" ht="15" hidden="false" customHeight="false" outlineLevel="0" collapsed="false">
      <c r="A293" s="16" t="n">
        <v>292</v>
      </c>
      <c r="B293" s="4" t="s">
        <v>280</v>
      </c>
      <c r="C293" s="4" t="str">
        <f aca="false">IF('Service Types'!B235="","",'Service Types'!B235)</f>
        <v>CS - Recreation and Social Programs</v>
      </c>
      <c r="D293" s="5" t="n">
        <f aca="false">IF('Service Types'!E235="","",'Service Types'!E235)</f>
        <v>60</v>
      </c>
      <c r="E293" s="5" t="n">
        <f aca="false">IF('Service Types'!D235="","",'Service Types'!D235)</f>
        <v>416</v>
      </c>
      <c r="F293" s="5" t="n">
        <f aca="false">IF('Service Types'!F235="","",'Service Types'!F235)</f>
        <v>0</v>
      </c>
      <c r="G293" s="5" t="n">
        <f aca="false">IF('Service Types'!G235="","",'Service Types'!G235)</f>
        <v>0</v>
      </c>
      <c r="H293" s="5" t="n">
        <f aca="false">IF('Service Types'!H235="","",'Service Types'!H235)</f>
        <v>416</v>
      </c>
      <c r="I293" s="6" t="n">
        <f aca="false">IF('Service Types'!I235="","",'Service Types'!I235)</f>
        <v>5</v>
      </c>
      <c r="J293" s="6" t="n">
        <f aca="false">IF('Service Types'!J235="","",'Service Types'!J235)</f>
        <v>7.9</v>
      </c>
      <c r="K293" s="6" t="n">
        <f aca="false">IF('Service Types'!K235="","",'Service Types'!K235)</f>
        <v>18</v>
      </c>
    </row>
    <row r="294" customFormat="false" ht="15" hidden="false" customHeight="false" outlineLevel="0" collapsed="false">
      <c r="A294" s="16" t="n">
        <v>293</v>
      </c>
      <c r="B294" s="4" t="s">
        <v>475</v>
      </c>
      <c r="C294" s="4" t="str">
        <f aca="false">IF('Service Types'!B412="","",'Service Types'!B412)</f>
        <v>OS - Mobility</v>
      </c>
      <c r="D294" s="5" t="n">
        <f aca="false">IF('Service Types'!E412="","",'Service Types'!E412)</f>
        <v>60</v>
      </c>
      <c r="E294" s="5" t="n">
        <f aca="false">IF('Service Types'!D412="","",'Service Types'!D412)</f>
        <v>320</v>
      </c>
      <c r="F294" s="5" t="n">
        <f aca="false">IF('Service Types'!F412="","",'Service Types'!F412)</f>
        <v>31</v>
      </c>
      <c r="G294" s="5" t="n">
        <f aca="false">IF('Service Types'!G412="","",'Service Types'!G412)</f>
        <v>18</v>
      </c>
      <c r="H294" s="5" t="n">
        <f aca="false">IF('Service Types'!H412="","",'Service Types'!H412)</f>
        <v>289</v>
      </c>
      <c r="I294" s="6" t="n">
        <f aca="false">IF('Service Types'!I412="","",'Service Types'!I412)</f>
        <v>7</v>
      </c>
      <c r="J294" s="6" t="n">
        <f aca="false">IF('Service Types'!J412="","",'Service Types'!J412)</f>
        <v>18.3</v>
      </c>
      <c r="K294" s="6" t="n">
        <f aca="false">IF('Service Types'!K412="","",'Service Types'!K412)</f>
        <v>41</v>
      </c>
    </row>
    <row r="295" customFormat="false" ht="15" hidden="false" customHeight="false" outlineLevel="0" collapsed="false">
      <c r="A295" s="16" t="n">
        <v>294</v>
      </c>
      <c r="B295" s="4" t="s">
        <v>284</v>
      </c>
      <c r="C295" s="4" t="str">
        <f aca="false">IF('Service Types'!B239="","",'Service Types'!B239)</f>
        <v>CS - Recreation and Social Programs</v>
      </c>
      <c r="D295" s="5" t="n">
        <f aca="false">IF('Service Types'!E239="","",'Service Types'!E239)</f>
        <v>60</v>
      </c>
      <c r="E295" s="5" t="n">
        <f aca="false">IF('Service Types'!D239="","",'Service Types'!D239)</f>
        <v>313</v>
      </c>
      <c r="F295" s="5" t="n">
        <f aca="false">IF('Service Types'!F239="","",'Service Types'!F239)</f>
        <v>8</v>
      </c>
      <c r="G295" s="5" t="n">
        <f aca="false">IF('Service Types'!G239="","",'Service Types'!G239)</f>
        <v>0</v>
      </c>
      <c r="H295" s="5" t="n">
        <f aca="false">IF('Service Types'!H239="","",'Service Types'!H239)</f>
        <v>305</v>
      </c>
      <c r="I295" s="6" t="n">
        <f aca="false">IF('Service Types'!I239="","",'Service Types'!I239)</f>
        <v>8</v>
      </c>
      <c r="J295" s="6" t="n">
        <f aca="false">IF('Service Types'!J239="","",'Service Types'!J239)</f>
        <v>15.2</v>
      </c>
      <c r="K295" s="6" t="n">
        <f aca="false">IF('Service Types'!K239="","",'Service Types'!K239)</f>
        <v>35</v>
      </c>
    </row>
    <row r="296" customFormat="false" ht="15" hidden="false" customHeight="false" outlineLevel="0" collapsed="false">
      <c r="A296" s="16" t="n">
        <v>295</v>
      </c>
      <c r="B296" s="4" t="s">
        <v>642</v>
      </c>
      <c r="C296" s="4" t="str">
        <f aca="false">IF('Service Types'!B574="","",'Service Types'!B574)</f>
        <v>OS - Water Services</v>
      </c>
      <c r="D296" s="5" t="n">
        <f aca="false">IF('Service Types'!E574="","",'Service Types'!E574)</f>
        <v>60</v>
      </c>
      <c r="E296" s="5" t="n">
        <f aca="false">IF('Service Types'!D574="","",'Service Types'!D574)</f>
        <v>259</v>
      </c>
      <c r="F296" s="5" t="n">
        <f aca="false">IF('Service Types'!F574="","",'Service Types'!F574)</f>
        <v>1</v>
      </c>
      <c r="G296" s="5" t="n">
        <f aca="false">IF('Service Types'!G574="","",'Service Types'!G574)</f>
        <v>0</v>
      </c>
      <c r="H296" s="5" t="n">
        <f aca="false">IF('Service Types'!H574="","",'Service Types'!H574)</f>
        <v>258</v>
      </c>
      <c r="I296" s="6" t="n">
        <f aca="false">IF('Service Types'!I574="","",'Service Types'!I574)</f>
        <v>4</v>
      </c>
      <c r="J296" s="6" t="n">
        <f aca="false">IF('Service Types'!J574="","",'Service Types'!J574)</f>
        <v>22.2</v>
      </c>
      <c r="K296" s="6" t="n">
        <f aca="false">IF('Service Types'!K574="","",'Service Types'!K574)</f>
        <v>42</v>
      </c>
    </row>
    <row r="297" customFormat="false" ht="15" hidden="false" customHeight="false" outlineLevel="0" collapsed="false">
      <c r="A297" s="16" t="n">
        <v>296</v>
      </c>
      <c r="B297" s="4" t="s">
        <v>643</v>
      </c>
      <c r="C297" s="4" t="str">
        <f aca="false">IF('Service Types'!B575="","",'Service Types'!B575)</f>
        <v>OS - Water Services</v>
      </c>
      <c r="D297" s="5" t="n">
        <f aca="false">IF('Service Types'!E575="","",'Service Types'!E575)</f>
        <v>60</v>
      </c>
      <c r="E297" s="5" t="n">
        <f aca="false">IF('Service Types'!D575="","",'Service Types'!D575)</f>
        <v>252</v>
      </c>
      <c r="F297" s="5" t="n">
        <f aca="false">IF('Service Types'!F575="","",'Service Types'!F575)</f>
        <v>2</v>
      </c>
      <c r="G297" s="5" t="n">
        <f aca="false">IF('Service Types'!G575="","",'Service Types'!G575)</f>
        <v>0</v>
      </c>
      <c r="H297" s="5" t="n">
        <f aca="false">IF('Service Types'!H575="","",'Service Types'!H575)</f>
        <v>250</v>
      </c>
      <c r="I297" s="6" t="n">
        <f aca="false">IF('Service Types'!I575="","",'Service Types'!I575)</f>
        <v>2</v>
      </c>
      <c r="J297" s="6" t="n">
        <f aca="false">IF('Service Types'!J575="","",'Service Types'!J575)</f>
        <v>7.9</v>
      </c>
      <c r="K297" s="6" t="n">
        <f aca="false">IF('Service Types'!K575="","",'Service Types'!K575)</f>
        <v>13</v>
      </c>
    </row>
    <row r="298" customFormat="false" ht="15" hidden="false" customHeight="false" outlineLevel="0" collapsed="false">
      <c r="A298" s="16" t="n">
        <v>297</v>
      </c>
      <c r="B298" s="4" t="s">
        <v>215</v>
      </c>
      <c r="C298" s="4" t="str">
        <f aca="false">IF('Service Types'!B172="","",'Service Types'!B172)</f>
        <v>CS - Emergency Management and Community Safety</v>
      </c>
      <c r="D298" s="5" t="n">
        <f aca="false">IF('Service Types'!E172="","",'Service Types'!E172)</f>
        <v>60</v>
      </c>
      <c r="E298" s="5" t="n">
        <f aca="false">IF('Service Types'!D172="","",'Service Types'!D172)</f>
        <v>209</v>
      </c>
      <c r="F298" s="5" t="n">
        <f aca="false">IF('Service Types'!F172="","",'Service Types'!F172)</f>
        <v>2</v>
      </c>
      <c r="G298" s="5" t="n">
        <f aca="false">IF('Service Types'!G172="","",'Service Types'!G172)</f>
        <v>1</v>
      </c>
      <c r="H298" s="5" t="n">
        <f aca="false">IF('Service Types'!H172="","",'Service Types'!H172)</f>
        <v>207</v>
      </c>
      <c r="I298" s="6" t="n">
        <f aca="false">IF('Service Types'!I172="","",'Service Types'!I172)</f>
        <v>1</v>
      </c>
      <c r="J298" s="6" t="n">
        <f aca="false">IF('Service Types'!J172="","",'Service Types'!J172)</f>
        <v>2.4</v>
      </c>
      <c r="K298" s="6" t="n">
        <f aca="false">IF('Service Types'!K172="","",'Service Types'!K172)</f>
        <v>8</v>
      </c>
    </row>
    <row r="299" customFormat="false" ht="15" hidden="false" customHeight="false" outlineLevel="0" collapsed="false">
      <c r="A299" s="16" t="n">
        <v>298</v>
      </c>
      <c r="B299" s="4" t="s">
        <v>216</v>
      </c>
      <c r="C299" s="4" t="str">
        <f aca="false">IF('Service Types'!B173="","",'Service Types'!B173)</f>
        <v>CS - Emergency Management and Community Safety</v>
      </c>
      <c r="D299" s="5" t="n">
        <f aca="false">IF('Service Types'!E173="","",'Service Types'!E173)</f>
        <v>59</v>
      </c>
      <c r="E299" s="5" t="n">
        <f aca="false">IF('Service Types'!D173="","",'Service Types'!D173)</f>
        <v>201</v>
      </c>
      <c r="F299" s="5" t="n">
        <f aca="false">IF('Service Types'!F173="","",'Service Types'!F173)</f>
        <v>5</v>
      </c>
      <c r="G299" s="5" t="n">
        <f aca="false">IF('Service Types'!G173="","",'Service Types'!G173)</f>
        <v>5</v>
      </c>
      <c r="H299" s="5" t="n">
        <f aca="false">IF('Service Types'!H173="","",'Service Types'!H173)</f>
        <v>196</v>
      </c>
      <c r="I299" s="6" t="n">
        <f aca="false">IF('Service Types'!I173="","",'Service Types'!I173)</f>
        <v>1</v>
      </c>
      <c r="J299" s="6" t="n">
        <f aca="false">IF('Service Types'!J173="","",'Service Types'!J173)</f>
        <v>3.1</v>
      </c>
      <c r="K299" s="6" t="n">
        <f aca="false">IF('Service Types'!K173="","",'Service Types'!K173)</f>
        <v>8</v>
      </c>
    </row>
    <row r="300" customFormat="false" ht="15" hidden="false" customHeight="false" outlineLevel="0" collapsed="false">
      <c r="A300" s="16" t="n">
        <v>299</v>
      </c>
      <c r="B300" s="4" t="s">
        <v>744</v>
      </c>
      <c r="C300" s="4" t="str">
        <f aca="false">IF('Service Types'!B666="","",'Service Types'!B666)</f>
        <v>PDS - Development, Business and Building Services</v>
      </c>
      <c r="D300" s="5" t="n">
        <f aca="false">IF('Service Types'!E666="","",'Service Types'!E666)</f>
        <v>59</v>
      </c>
      <c r="E300" s="5" t="n">
        <f aca="false">IF('Service Types'!D666="","",'Service Types'!D666)</f>
        <v>196</v>
      </c>
      <c r="F300" s="5" t="n">
        <f aca="false">IF('Service Types'!F666="","",'Service Types'!F666)</f>
        <v>2</v>
      </c>
      <c r="G300" s="5" t="n">
        <f aca="false">IF('Service Types'!G666="","",'Service Types'!G666)</f>
        <v>1</v>
      </c>
      <c r="H300" s="5" t="n">
        <f aca="false">IF('Service Types'!H666="","",'Service Types'!H666)</f>
        <v>194</v>
      </c>
      <c r="I300" s="6" t="n">
        <f aca="false">IF('Service Types'!I666="","",'Service Types'!I666)</f>
        <v>2</v>
      </c>
      <c r="J300" s="6" t="n">
        <f aca="false">IF('Service Types'!J666="","",'Service Types'!J666)</f>
        <v>12.1</v>
      </c>
      <c r="K300" s="6" t="n">
        <f aca="false">IF('Service Types'!K666="","",'Service Types'!K666)</f>
        <v>18</v>
      </c>
    </row>
    <row r="301" customFormat="false" ht="15" hidden="false" customHeight="false" outlineLevel="0" collapsed="false">
      <c r="A301" s="16" t="n">
        <v>300</v>
      </c>
      <c r="B301" s="4" t="s">
        <v>482</v>
      </c>
      <c r="C301" s="4" t="str">
        <f aca="false">IF('Service Types'!B419="","",'Service Types'!B419)</f>
        <v>OS - Mobility</v>
      </c>
      <c r="D301" s="5" t="n">
        <f aca="false">IF('Service Types'!E419="","",'Service Types'!E419)</f>
        <v>59</v>
      </c>
      <c r="E301" s="5" t="n">
        <f aca="false">IF('Service Types'!D419="","",'Service Types'!D419)</f>
        <v>159</v>
      </c>
      <c r="F301" s="5" t="n">
        <f aca="false">IF('Service Types'!F419="","",'Service Types'!F419)</f>
        <v>6</v>
      </c>
      <c r="G301" s="5" t="n">
        <f aca="false">IF('Service Types'!G419="","",'Service Types'!G419)</f>
        <v>5</v>
      </c>
      <c r="H301" s="5" t="n">
        <f aca="false">IF('Service Types'!H419="","",'Service Types'!H419)</f>
        <v>153</v>
      </c>
      <c r="I301" s="6" t="n">
        <f aca="false">IF('Service Types'!I419="","",'Service Types'!I419)</f>
        <v>3</v>
      </c>
      <c r="J301" s="6" t="n">
        <f aca="false">IF('Service Types'!J419="","",'Service Types'!J419)</f>
        <v>5.2</v>
      </c>
      <c r="K301" s="6" t="n">
        <f aca="false">IF('Service Types'!K419="","",'Service Types'!K419)</f>
        <v>12</v>
      </c>
    </row>
    <row r="302" customFormat="false" ht="15" hidden="false" customHeight="false" outlineLevel="0" collapsed="false">
      <c r="A302" s="16" t="n">
        <v>301</v>
      </c>
      <c r="B302" s="4" t="s">
        <v>776</v>
      </c>
      <c r="C302" s="4" t="str">
        <f aca="false">IF('Service Types'!B694="","",'Service Types'!B694)</f>
        <v>PICS - Collaboration, Analytics and Innovation</v>
      </c>
      <c r="D302" s="5" t="n">
        <f aca="false">IF('Service Types'!E694="","",'Service Types'!E694)</f>
        <v>58</v>
      </c>
      <c r="E302" s="5" t="n">
        <f aca="false">IF('Service Types'!D694="","",'Service Types'!D694)</f>
        <v>72</v>
      </c>
      <c r="F302" s="5" t="n">
        <f aca="false">IF('Service Types'!F694="","",'Service Types'!F694)</f>
        <v>0</v>
      </c>
      <c r="G302" s="5" t="n">
        <f aca="false">IF('Service Types'!G694="","",'Service Types'!G694)</f>
        <v>0</v>
      </c>
      <c r="H302" s="5" t="n">
        <f aca="false">IF('Service Types'!H694="","",'Service Types'!H694)</f>
        <v>72</v>
      </c>
      <c r="I302" s="6" t="n">
        <f aca="false">IF('Service Types'!I694="","",'Service Types'!I694)</f>
        <v>4</v>
      </c>
      <c r="J302" s="6" t="n">
        <f aca="false">IF('Service Types'!J694="","",'Service Types'!J694)</f>
        <v>7.1</v>
      </c>
      <c r="K302" s="6" t="n">
        <f aca="false">IF('Service Types'!K694="","",'Service Types'!K694)</f>
        <v>15</v>
      </c>
    </row>
    <row r="303" customFormat="false" ht="15" hidden="false" customHeight="false" outlineLevel="0" collapsed="false">
      <c r="A303" s="16" t="n">
        <v>302</v>
      </c>
      <c r="B303" s="4" t="s">
        <v>283</v>
      </c>
      <c r="C303" s="4" t="str">
        <f aca="false">IF('Service Types'!B238="","",'Service Types'!B238)</f>
        <v>CS - Recreation and Social Programs</v>
      </c>
      <c r="D303" s="5" t="n">
        <f aca="false">IF('Service Types'!E238="","",'Service Types'!E238)</f>
        <v>56</v>
      </c>
      <c r="E303" s="5" t="n">
        <f aca="false">IF('Service Types'!D238="","",'Service Types'!D238)</f>
        <v>327</v>
      </c>
      <c r="F303" s="5" t="n">
        <f aca="false">IF('Service Types'!F238="","",'Service Types'!F238)</f>
        <v>0</v>
      </c>
      <c r="G303" s="5" t="n">
        <f aca="false">IF('Service Types'!G238="","",'Service Types'!G238)</f>
        <v>0</v>
      </c>
      <c r="H303" s="5" t="n">
        <f aca="false">IF('Service Types'!H238="","",'Service Types'!H238)</f>
        <v>327</v>
      </c>
      <c r="I303" s="6" t="n">
        <f aca="false">IF('Service Types'!I238="","",'Service Types'!I238)</f>
        <v>4</v>
      </c>
      <c r="J303" s="6" t="n">
        <f aca="false">IF('Service Types'!J238="","",'Service Types'!J238)</f>
        <v>9.4</v>
      </c>
      <c r="K303" s="6" t="n">
        <f aca="false">IF('Service Types'!K238="","",'Service Types'!K238)</f>
        <v>19</v>
      </c>
    </row>
    <row r="304" customFormat="false" ht="15" hidden="false" customHeight="false" outlineLevel="0" collapsed="false">
      <c r="A304" s="16" t="n">
        <v>303</v>
      </c>
      <c r="B304" s="4" t="s">
        <v>497</v>
      </c>
      <c r="C304" s="4" t="str">
        <f aca="false">IF('Service Types'!B434="","",'Service Types'!B434)</f>
        <v>OS - Mobility</v>
      </c>
      <c r="D304" s="5" t="n">
        <f aca="false">IF('Service Types'!E434="","",'Service Types'!E434)</f>
        <v>56</v>
      </c>
      <c r="E304" s="5" t="n">
        <f aca="false">IF('Service Types'!D434="","",'Service Types'!D434)</f>
        <v>56</v>
      </c>
      <c r="F304" s="5" t="n">
        <f aca="false">IF('Service Types'!F434="","",'Service Types'!F434)</f>
        <v>38</v>
      </c>
      <c r="G304" s="5" t="n">
        <f aca="false">IF('Service Types'!G434="","",'Service Types'!G434)</f>
        <v>0</v>
      </c>
      <c r="H304" s="5" t="n">
        <f aca="false">IF('Service Types'!H434="","",'Service Types'!H434)</f>
        <v>18</v>
      </c>
      <c r="I304" s="6" t="n">
        <f aca="false">IF('Service Types'!I434="","",'Service Types'!I434)</f>
        <v>0</v>
      </c>
      <c r="J304" s="6" t="n">
        <f aca="false">IF('Service Types'!J434="","",'Service Types'!J434)</f>
        <v>0.1</v>
      </c>
      <c r="K304" s="6" t="n">
        <f aca="false">IF('Service Types'!K434="","",'Service Types'!K434)</f>
        <v>0</v>
      </c>
    </row>
    <row r="305" customFormat="false" ht="15" hidden="false" customHeight="false" outlineLevel="0" collapsed="false">
      <c r="A305" s="16" t="n">
        <v>304</v>
      </c>
      <c r="B305" s="4" t="s">
        <v>333</v>
      </c>
      <c r="C305" s="4" t="str">
        <f aca="false">IF('Service Types'!B283="","",'Service Types'!B283)</f>
        <v>IS - Capital Planning and Business Services</v>
      </c>
      <c r="D305" s="5" t="n">
        <f aca="false">IF('Service Types'!E283="","",'Service Types'!E283)</f>
        <v>55</v>
      </c>
      <c r="E305" s="5" t="n">
        <f aca="false">IF('Service Types'!D283="","",'Service Types'!D283)</f>
        <v>131</v>
      </c>
      <c r="F305" s="5" t="n">
        <f aca="false">IF('Service Types'!F283="","",'Service Types'!F283)</f>
        <v>0</v>
      </c>
      <c r="G305" s="5" t="n">
        <f aca="false">IF('Service Types'!G283="","",'Service Types'!G283)</f>
        <v>0</v>
      </c>
      <c r="H305" s="5" t="n">
        <f aca="false">IF('Service Types'!H283="","",'Service Types'!H283)</f>
        <v>131</v>
      </c>
      <c r="I305" s="6" t="n">
        <f aca="false">IF('Service Types'!I283="","",'Service Types'!I283)</f>
        <v>3</v>
      </c>
      <c r="J305" s="6" t="n">
        <f aca="false">IF('Service Types'!J283="","",'Service Types'!J283)</f>
        <v>6.4</v>
      </c>
      <c r="K305" s="6" t="n">
        <f aca="false">IF('Service Types'!K283="","",'Service Types'!K283)</f>
        <v>7</v>
      </c>
    </row>
    <row r="306" customFormat="false" ht="15" hidden="false" customHeight="false" outlineLevel="0" collapsed="false">
      <c r="A306" s="16" t="n">
        <v>305</v>
      </c>
      <c r="B306" s="4" t="s">
        <v>486</v>
      </c>
      <c r="C306" s="4" t="str">
        <f aca="false">IF('Service Types'!B423="","",'Service Types'!B423)</f>
        <v>OS - Mobility</v>
      </c>
      <c r="D306" s="5" t="n">
        <f aca="false">IF('Service Types'!E423="","",'Service Types'!E423)</f>
        <v>55</v>
      </c>
      <c r="E306" s="5" t="n">
        <f aca="false">IF('Service Types'!D423="","",'Service Types'!D423)</f>
        <v>110</v>
      </c>
      <c r="F306" s="5" t="n">
        <f aca="false">IF('Service Types'!F423="","",'Service Types'!F423)</f>
        <v>56</v>
      </c>
      <c r="G306" s="5" t="n">
        <f aca="false">IF('Service Types'!G423="","",'Service Types'!G423)</f>
        <v>54</v>
      </c>
      <c r="H306" s="5" t="n">
        <f aca="false">IF('Service Types'!H423="","",'Service Types'!H423)</f>
        <v>54</v>
      </c>
      <c r="I306" s="6" t="n">
        <f aca="false">IF('Service Types'!I423="","",'Service Types'!I423)</f>
        <v>26</v>
      </c>
      <c r="J306" s="6" t="n">
        <f aca="false">IF('Service Types'!J423="","",'Service Types'!J423)</f>
        <v>103.2</v>
      </c>
      <c r="K306" s="6" t="n">
        <f aca="false">IF('Service Types'!K423="","",'Service Types'!K423)</f>
        <v>329</v>
      </c>
    </row>
    <row r="307" customFormat="false" ht="15" hidden="false" customHeight="false" outlineLevel="0" collapsed="false">
      <c r="A307" s="16" t="n">
        <v>306</v>
      </c>
      <c r="B307" s="4" t="s">
        <v>213</v>
      </c>
      <c r="C307" s="4" t="str">
        <f aca="false">IF('Service Types'!B170="","",'Service Types'!B170)</f>
        <v>CS - Emergency Management and Community Safety</v>
      </c>
      <c r="D307" s="5" t="n">
        <f aca="false">IF('Service Types'!E170="","",'Service Types'!E170)</f>
        <v>53</v>
      </c>
      <c r="E307" s="5" t="n">
        <f aca="false">IF('Service Types'!D170="","",'Service Types'!D170)</f>
        <v>244</v>
      </c>
      <c r="F307" s="5" t="n">
        <f aca="false">IF('Service Types'!F170="","",'Service Types'!F170)</f>
        <v>1</v>
      </c>
      <c r="G307" s="5" t="n">
        <f aca="false">IF('Service Types'!G170="","",'Service Types'!G170)</f>
        <v>1</v>
      </c>
      <c r="H307" s="5" t="n">
        <f aca="false">IF('Service Types'!H170="","",'Service Types'!H170)</f>
        <v>243</v>
      </c>
      <c r="I307" s="6" t="n">
        <f aca="false">IF('Service Types'!I170="","",'Service Types'!I170)</f>
        <v>0</v>
      </c>
      <c r="J307" s="6" t="n">
        <f aca="false">IF('Service Types'!J170="","",'Service Types'!J170)</f>
        <v>2.6</v>
      </c>
      <c r="K307" s="6" t="n">
        <f aca="false">IF('Service Types'!K170="","",'Service Types'!K170)</f>
        <v>8</v>
      </c>
    </row>
    <row r="308" customFormat="false" ht="15" hidden="false" customHeight="false" outlineLevel="0" collapsed="false">
      <c r="A308" s="16" t="n">
        <v>307</v>
      </c>
      <c r="B308" s="4" t="s">
        <v>292</v>
      </c>
      <c r="C308" s="4" t="str">
        <f aca="false">IF('Service Types'!B247="","",'Service Types'!B247)</f>
        <v>CS - Recreation and Social Programs</v>
      </c>
      <c r="D308" s="5" t="n">
        <f aca="false">IF('Service Types'!E247="","",'Service Types'!E247)</f>
        <v>53</v>
      </c>
      <c r="E308" s="5" t="n">
        <f aca="false">IF('Service Types'!D247="","",'Service Types'!D247)</f>
        <v>172</v>
      </c>
      <c r="F308" s="5" t="n">
        <f aca="false">IF('Service Types'!F247="","",'Service Types'!F247)</f>
        <v>2</v>
      </c>
      <c r="G308" s="5" t="n">
        <f aca="false">IF('Service Types'!G247="","",'Service Types'!G247)</f>
        <v>0</v>
      </c>
      <c r="H308" s="5" t="n">
        <f aca="false">IF('Service Types'!H247="","",'Service Types'!H247)</f>
        <v>170</v>
      </c>
      <c r="I308" s="6" t="n">
        <f aca="false">IF('Service Types'!I247="","",'Service Types'!I247)</f>
        <v>4</v>
      </c>
      <c r="J308" s="6" t="n">
        <f aca="false">IF('Service Types'!J247="","",'Service Types'!J247)</f>
        <v>7.1</v>
      </c>
      <c r="K308" s="6" t="n">
        <f aca="false">IF('Service Types'!K247="","",'Service Types'!K247)</f>
        <v>14</v>
      </c>
    </row>
    <row r="309" customFormat="false" ht="15" hidden="false" customHeight="false" outlineLevel="0" collapsed="false">
      <c r="A309" s="16" t="n">
        <v>308</v>
      </c>
      <c r="B309" s="4" t="s">
        <v>211</v>
      </c>
      <c r="C309" s="4" t="str">
        <f aca="false">IF('Service Types'!B168="","",'Service Types'!B168)</f>
        <v>CS - Emergency Management and Community Safety</v>
      </c>
      <c r="D309" s="5" t="n">
        <f aca="false">IF('Service Types'!E168="","",'Service Types'!E168)</f>
        <v>52</v>
      </c>
      <c r="E309" s="5" t="n">
        <f aca="false">IF('Service Types'!D168="","",'Service Types'!D168)</f>
        <v>259</v>
      </c>
      <c r="F309" s="5" t="n">
        <f aca="false">IF('Service Types'!F168="","",'Service Types'!F168)</f>
        <v>0</v>
      </c>
      <c r="G309" s="5" t="n">
        <f aca="false">IF('Service Types'!G168="","",'Service Types'!G168)</f>
        <v>0</v>
      </c>
      <c r="H309" s="5" t="n">
        <f aca="false">IF('Service Types'!H168="","",'Service Types'!H168)</f>
        <v>259</v>
      </c>
      <c r="I309" s="6" t="n">
        <f aca="false">IF('Service Types'!I168="","",'Service Types'!I168)</f>
        <v>2</v>
      </c>
      <c r="J309" s="6" t="n">
        <f aca="false">IF('Service Types'!J168="","",'Service Types'!J168)</f>
        <v>6.3</v>
      </c>
      <c r="K309" s="6" t="n">
        <f aca="false">IF('Service Types'!K168="","",'Service Types'!K168)</f>
        <v>12</v>
      </c>
    </row>
    <row r="310" customFormat="false" ht="15" hidden="false" customHeight="false" outlineLevel="0" collapsed="false">
      <c r="A310" s="16" t="n">
        <v>309</v>
      </c>
      <c r="B310" s="4" t="s">
        <v>217</v>
      </c>
      <c r="C310" s="4" t="str">
        <f aca="false">IF('Service Types'!B174="","",'Service Types'!B174)</f>
        <v>CS - Emergency Management and Community Safety</v>
      </c>
      <c r="D310" s="5" t="n">
        <f aca="false">IF('Service Types'!E174="","",'Service Types'!E174)</f>
        <v>51</v>
      </c>
      <c r="E310" s="5" t="n">
        <f aca="false">IF('Service Types'!D174="","",'Service Types'!D174)</f>
        <v>187</v>
      </c>
      <c r="F310" s="5" t="n">
        <f aca="false">IF('Service Types'!F174="","",'Service Types'!F174)</f>
        <v>25</v>
      </c>
      <c r="G310" s="5" t="n">
        <f aca="false">IF('Service Types'!G174="","",'Service Types'!G174)</f>
        <v>14</v>
      </c>
      <c r="H310" s="5" t="n">
        <f aca="false">IF('Service Types'!H174="","",'Service Types'!H174)</f>
        <v>162</v>
      </c>
      <c r="I310" s="6" t="n">
        <f aca="false">IF('Service Types'!I174="","",'Service Types'!I174)</f>
        <v>119.5</v>
      </c>
      <c r="J310" s="6" t="n">
        <f aca="false">IF('Service Types'!J174="","",'Service Types'!J174)</f>
        <v>116.2</v>
      </c>
      <c r="K310" s="6" t="n">
        <f aca="false">IF('Service Types'!K174="","",'Service Types'!K174)</f>
        <v>238</v>
      </c>
    </row>
    <row r="311" customFormat="false" ht="15" hidden="false" customHeight="false" outlineLevel="0" collapsed="false">
      <c r="A311" s="16" t="n">
        <v>310</v>
      </c>
      <c r="B311" s="4" t="s">
        <v>764</v>
      </c>
      <c r="C311" s="4" t="str">
        <f aca="false">IF('Service Types'!B684="","",'Service Types'!B684)</f>
        <v>PDS - Environmental Risk &amp; Resilience</v>
      </c>
      <c r="D311" s="5" t="n">
        <f aca="false">IF('Service Types'!E684="","",'Service Types'!E684)</f>
        <v>51</v>
      </c>
      <c r="E311" s="5" t="n">
        <f aca="false">IF('Service Types'!D684="","",'Service Types'!D684)</f>
        <v>51</v>
      </c>
      <c r="F311" s="5" t="n">
        <f aca="false">IF('Service Types'!F684="","",'Service Types'!F684)</f>
        <v>1</v>
      </c>
      <c r="G311" s="5" t="n">
        <f aca="false">IF('Service Types'!G684="","",'Service Types'!G684)</f>
        <v>0</v>
      </c>
      <c r="H311" s="5" t="n">
        <f aca="false">IF('Service Types'!H684="","",'Service Types'!H684)</f>
        <v>50</v>
      </c>
      <c r="I311" s="6" t="n">
        <f aca="false">IF('Service Types'!I684="","",'Service Types'!I684)</f>
        <v>6.5</v>
      </c>
      <c r="J311" s="6" t="n">
        <f aca="false">IF('Service Types'!J684="","",'Service Types'!J684)</f>
        <v>10</v>
      </c>
      <c r="K311" s="6" t="n">
        <f aca="false">IF('Service Types'!K684="","",'Service Types'!K684)</f>
        <v>21</v>
      </c>
    </row>
    <row r="312" customFormat="false" ht="15" hidden="false" customHeight="false" outlineLevel="0" collapsed="false">
      <c r="A312" s="16" t="n">
        <v>311</v>
      </c>
      <c r="B312" s="4" t="s">
        <v>589</v>
      </c>
      <c r="C312" s="4" t="str">
        <f aca="false">IF('Service Types'!B523="","",'Service Types'!B523)</f>
        <v>OS - Waste and Recycling Services</v>
      </c>
      <c r="D312" s="5" t="n">
        <f aca="false">IF('Service Types'!E523="","",'Service Types'!E523)</f>
        <v>49</v>
      </c>
      <c r="E312" s="5" t="n">
        <f aca="false">IF('Service Types'!D523="","",'Service Types'!D523)</f>
        <v>282</v>
      </c>
      <c r="F312" s="5" t="n">
        <f aca="false">IF('Service Types'!F523="","",'Service Types'!F523)</f>
        <v>0</v>
      </c>
      <c r="G312" s="5" t="n">
        <f aca="false">IF('Service Types'!G523="","",'Service Types'!G523)</f>
        <v>0</v>
      </c>
      <c r="H312" s="5" t="n">
        <f aca="false">IF('Service Types'!H523="","",'Service Types'!H523)</f>
        <v>282</v>
      </c>
      <c r="I312" s="6" t="n">
        <f aca="false">IF('Service Types'!I523="","",'Service Types'!I523)</f>
        <v>4</v>
      </c>
      <c r="J312" s="6" t="n">
        <f aca="false">IF('Service Types'!J523="","",'Service Types'!J523)</f>
        <v>5.9</v>
      </c>
      <c r="K312" s="6" t="n">
        <f aca="false">IF('Service Types'!K523="","",'Service Types'!K523)</f>
        <v>12</v>
      </c>
    </row>
    <row r="313" customFormat="false" ht="15" hidden="false" customHeight="false" outlineLevel="0" collapsed="false">
      <c r="A313" s="16" t="n">
        <v>312</v>
      </c>
      <c r="B313" s="4" t="s">
        <v>103</v>
      </c>
      <c r="C313" s="4" t="str">
        <f aca="false">IF('Service Types'!B64="","",'Service Types'!B64)</f>
        <v>CS - Calgary Fire</v>
      </c>
      <c r="D313" s="5" t="n">
        <f aca="false">IF('Service Types'!E64="","",'Service Types'!E64)</f>
        <v>49</v>
      </c>
      <c r="E313" s="5" t="n">
        <f aca="false">IF('Service Types'!D64="","",'Service Types'!D64)</f>
        <v>261</v>
      </c>
      <c r="F313" s="5" t="n">
        <f aca="false">IF('Service Types'!F64="","",'Service Types'!F64)</f>
        <v>4</v>
      </c>
      <c r="G313" s="5" t="n">
        <f aca="false">IF('Service Types'!G64="","",'Service Types'!G64)</f>
        <v>3</v>
      </c>
      <c r="H313" s="5" t="n">
        <f aca="false">IF('Service Types'!H64="","",'Service Types'!H64)</f>
        <v>257</v>
      </c>
      <c r="I313" s="6" t="n">
        <f aca="false">IF('Service Types'!I64="","",'Service Types'!I64)</f>
        <v>3</v>
      </c>
      <c r="J313" s="6" t="n">
        <f aca="false">IF('Service Types'!J64="","",'Service Types'!J64)</f>
        <v>22.8</v>
      </c>
      <c r="K313" s="6" t="n">
        <f aca="false">IF('Service Types'!K64="","",'Service Types'!K64)</f>
        <v>14</v>
      </c>
    </row>
    <row r="314" customFormat="false" ht="15" hidden="false" customHeight="false" outlineLevel="0" collapsed="false">
      <c r="A314" s="16" t="n">
        <v>313</v>
      </c>
      <c r="B314" s="4" t="s">
        <v>209</v>
      </c>
      <c r="C314" s="4" t="str">
        <f aca="false">IF('Service Types'!B166="","",'Service Types'!B166)</f>
        <v>CS - Emergency Management and Community Safety</v>
      </c>
      <c r="D314" s="5" t="n">
        <f aca="false">IF('Service Types'!E166="","",'Service Types'!E166)</f>
        <v>48</v>
      </c>
      <c r="E314" s="5" t="n">
        <f aca="false">IF('Service Types'!D166="","",'Service Types'!D166)</f>
        <v>284</v>
      </c>
      <c r="F314" s="5" t="n">
        <f aca="false">IF('Service Types'!F166="","",'Service Types'!F166)</f>
        <v>0</v>
      </c>
      <c r="G314" s="5" t="n">
        <f aca="false">IF('Service Types'!G166="","",'Service Types'!G166)</f>
        <v>0</v>
      </c>
      <c r="H314" s="5" t="n">
        <f aca="false">IF('Service Types'!H166="","",'Service Types'!H166)</f>
        <v>284</v>
      </c>
      <c r="I314" s="6" t="n">
        <f aca="false">IF('Service Types'!I166="","",'Service Types'!I166)</f>
        <v>4</v>
      </c>
      <c r="J314" s="6" t="n">
        <f aca="false">IF('Service Types'!J166="","",'Service Types'!J166)</f>
        <v>35.6</v>
      </c>
      <c r="K314" s="6" t="n">
        <f aca="false">IF('Service Types'!K166="","",'Service Types'!K166)</f>
        <v>115</v>
      </c>
    </row>
    <row r="315" customFormat="false" ht="15" hidden="false" customHeight="false" outlineLevel="0" collapsed="false">
      <c r="A315" s="16" t="n">
        <v>314</v>
      </c>
      <c r="B315" s="4" t="s">
        <v>105</v>
      </c>
      <c r="C315" s="4" t="str">
        <f aca="false">IF('Service Types'!B66="","",'Service Types'!B66)</f>
        <v>CS - Calgary Fire</v>
      </c>
      <c r="D315" s="5" t="n">
        <f aca="false">IF('Service Types'!E66="","",'Service Types'!E66)</f>
        <v>47</v>
      </c>
      <c r="E315" s="5" t="n">
        <f aca="false">IF('Service Types'!D66="","",'Service Types'!D66)</f>
        <v>208</v>
      </c>
      <c r="F315" s="5" t="n">
        <f aca="false">IF('Service Types'!F66="","",'Service Types'!F66)</f>
        <v>0</v>
      </c>
      <c r="G315" s="5" t="n">
        <f aca="false">IF('Service Types'!G66="","",'Service Types'!G66)</f>
        <v>0</v>
      </c>
      <c r="H315" s="5" t="n">
        <f aca="false">IF('Service Types'!H66="","",'Service Types'!H66)</f>
        <v>208</v>
      </c>
      <c r="I315" s="6" t="n">
        <f aca="false">IF('Service Types'!I66="","",'Service Types'!I66)</f>
        <v>1</v>
      </c>
      <c r="J315" s="6" t="n">
        <f aca="false">IF('Service Types'!J66="","",'Service Types'!J66)</f>
        <v>5.6</v>
      </c>
      <c r="K315" s="6" t="n">
        <f aca="false">IF('Service Types'!K66="","",'Service Types'!K66)</f>
        <v>4</v>
      </c>
    </row>
    <row r="316" customFormat="false" ht="15" hidden="false" customHeight="false" outlineLevel="0" collapsed="false">
      <c r="A316" s="16" t="n">
        <v>315</v>
      </c>
      <c r="B316" s="4" t="s">
        <v>704</v>
      </c>
      <c r="C316" s="4" t="str">
        <f aca="false">IF('Service Types'!B627="","",'Service Types'!B627)</f>
        <v>PDS - Community Planning</v>
      </c>
      <c r="D316" s="5" t="n">
        <f aca="false">IF('Service Types'!E627="","",'Service Types'!E627)</f>
        <v>47</v>
      </c>
      <c r="E316" s="5" t="n">
        <f aca="false">IF('Service Types'!D627="","",'Service Types'!D627)</f>
        <v>99</v>
      </c>
      <c r="F316" s="5" t="n">
        <f aca="false">IF('Service Types'!F627="","",'Service Types'!F627)</f>
        <v>2</v>
      </c>
      <c r="G316" s="5" t="n">
        <f aca="false">IF('Service Types'!G627="","",'Service Types'!G627)</f>
        <v>0</v>
      </c>
      <c r="H316" s="5" t="n">
        <f aca="false">IF('Service Types'!H627="","",'Service Types'!H627)</f>
        <v>97</v>
      </c>
      <c r="I316" s="6" t="n">
        <f aca="false">IF('Service Types'!I627="","",'Service Types'!I627)</f>
        <v>9</v>
      </c>
      <c r="J316" s="6" t="n">
        <f aca="false">IF('Service Types'!J627="","",'Service Types'!J627)</f>
        <v>12.7</v>
      </c>
      <c r="K316" s="6" t="n">
        <f aca="false">IF('Service Types'!K627="","",'Service Types'!K627)</f>
        <v>27</v>
      </c>
    </row>
    <row r="317" customFormat="false" ht="15" hidden="false" customHeight="false" outlineLevel="0" collapsed="false">
      <c r="A317" s="16" t="n">
        <v>316</v>
      </c>
      <c r="B317" s="4" t="s">
        <v>641</v>
      </c>
      <c r="C317" s="4" t="str">
        <f aca="false">IF('Service Types'!B573="","",'Service Types'!B573)</f>
        <v>OS - Water Services</v>
      </c>
      <c r="D317" s="5" t="n">
        <f aca="false">IF('Service Types'!E573="","",'Service Types'!E573)</f>
        <v>45</v>
      </c>
      <c r="E317" s="5" t="n">
        <f aca="false">IF('Service Types'!D573="","",'Service Types'!D573)</f>
        <v>265</v>
      </c>
      <c r="F317" s="5" t="n">
        <f aca="false">IF('Service Types'!F573="","",'Service Types'!F573)</f>
        <v>1</v>
      </c>
      <c r="G317" s="5" t="n">
        <f aca="false">IF('Service Types'!G573="","",'Service Types'!G573)</f>
        <v>0</v>
      </c>
      <c r="H317" s="5" t="n">
        <f aca="false">IF('Service Types'!H573="","",'Service Types'!H573)</f>
        <v>264</v>
      </c>
      <c r="I317" s="6" t="n">
        <f aca="false">IF('Service Types'!I573="","",'Service Types'!I573)</f>
        <v>3</v>
      </c>
      <c r="J317" s="6" t="n">
        <f aca="false">IF('Service Types'!J573="","",'Service Types'!J573)</f>
        <v>3.9</v>
      </c>
      <c r="K317" s="6" t="n">
        <f aca="false">IF('Service Types'!K573="","",'Service Types'!K573)</f>
        <v>7</v>
      </c>
    </row>
    <row r="318" customFormat="false" ht="15" hidden="false" customHeight="false" outlineLevel="0" collapsed="false">
      <c r="A318" s="16" t="n">
        <v>317</v>
      </c>
      <c r="B318" s="4" t="s">
        <v>646</v>
      </c>
      <c r="C318" s="4" t="str">
        <f aca="false">IF('Service Types'!B578="","",'Service Types'!B578)</f>
        <v>OS - Water Services</v>
      </c>
      <c r="D318" s="5" t="n">
        <f aca="false">IF('Service Types'!E578="","",'Service Types'!E578)</f>
        <v>45</v>
      </c>
      <c r="E318" s="5" t="n">
        <f aca="false">IF('Service Types'!D578="","",'Service Types'!D578)</f>
        <v>162</v>
      </c>
      <c r="F318" s="5" t="n">
        <f aca="false">IF('Service Types'!F578="","",'Service Types'!F578)</f>
        <v>28</v>
      </c>
      <c r="G318" s="5" t="n">
        <f aca="false">IF('Service Types'!G578="","",'Service Types'!G578)</f>
        <v>11</v>
      </c>
      <c r="H318" s="5" t="n">
        <f aca="false">IF('Service Types'!H578="","",'Service Types'!H578)</f>
        <v>134</v>
      </c>
      <c r="I318" s="6" t="n">
        <f aca="false">IF('Service Types'!I578="","",'Service Types'!I578)</f>
        <v>173.5</v>
      </c>
      <c r="J318" s="6" t="n">
        <f aca="false">IF('Service Types'!J578="","",'Service Types'!J578)</f>
        <v>259.8</v>
      </c>
      <c r="K318" s="6" t="n">
        <f aca="false">IF('Service Types'!K578="","",'Service Types'!K578)</f>
        <v>662</v>
      </c>
    </row>
    <row r="319" customFormat="false" ht="15" hidden="false" customHeight="false" outlineLevel="0" collapsed="false">
      <c r="A319" s="16" t="n">
        <v>318</v>
      </c>
      <c r="B319" s="4" t="s">
        <v>429</v>
      </c>
      <c r="C319" s="4" t="str">
        <f aca="false">IF('Service Types'!B368="","",'Service Types'!B368)</f>
        <v>OS - Fleet and Inventory</v>
      </c>
      <c r="D319" s="5" t="n">
        <f aca="false">IF('Service Types'!E368="","",'Service Types'!E368)</f>
        <v>45</v>
      </c>
      <c r="E319" s="5" t="n">
        <f aca="false">IF('Service Types'!D368="","",'Service Types'!D368)</f>
        <v>126</v>
      </c>
      <c r="F319" s="5" t="n">
        <f aca="false">IF('Service Types'!F368="","",'Service Types'!F368)</f>
        <v>0</v>
      </c>
      <c r="G319" s="5" t="n">
        <f aca="false">IF('Service Types'!G368="","",'Service Types'!G368)</f>
        <v>0</v>
      </c>
      <c r="H319" s="5" t="n">
        <f aca="false">IF('Service Types'!H368="","",'Service Types'!H368)</f>
        <v>126</v>
      </c>
      <c r="I319" s="6" t="n">
        <f aca="false">IF('Service Types'!I368="","",'Service Types'!I368)</f>
        <v>4</v>
      </c>
      <c r="J319" s="6" t="n">
        <f aca="false">IF('Service Types'!J368="","",'Service Types'!J368)</f>
        <v>14.6</v>
      </c>
      <c r="K319" s="6" t="n">
        <f aca="false">IF('Service Types'!K368="","",'Service Types'!K368)</f>
        <v>24</v>
      </c>
    </row>
    <row r="320" customFormat="false" ht="15" hidden="false" customHeight="false" outlineLevel="0" collapsed="false">
      <c r="A320" s="16" t="n">
        <v>319</v>
      </c>
      <c r="B320" s="4" t="s">
        <v>285</v>
      </c>
      <c r="C320" s="4" t="str">
        <f aca="false">IF('Service Types'!B240="","",'Service Types'!B240)</f>
        <v>CS - Recreation and Social Programs</v>
      </c>
      <c r="D320" s="5" t="n">
        <f aca="false">IF('Service Types'!E240="","",'Service Types'!E240)</f>
        <v>44</v>
      </c>
      <c r="E320" s="5" t="n">
        <f aca="false">IF('Service Types'!D240="","",'Service Types'!D240)</f>
        <v>290</v>
      </c>
      <c r="F320" s="5" t="n">
        <f aca="false">IF('Service Types'!F240="","",'Service Types'!F240)</f>
        <v>1</v>
      </c>
      <c r="G320" s="5" t="n">
        <f aca="false">IF('Service Types'!G240="","",'Service Types'!G240)</f>
        <v>1</v>
      </c>
      <c r="H320" s="5" t="n">
        <f aca="false">IF('Service Types'!H240="","",'Service Types'!H240)</f>
        <v>289</v>
      </c>
      <c r="I320" s="6" t="n">
        <f aca="false">IF('Service Types'!I240="","",'Service Types'!I240)</f>
        <v>3</v>
      </c>
      <c r="J320" s="6" t="n">
        <f aca="false">IF('Service Types'!J240="","",'Service Types'!J240)</f>
        <v>5.6</v>
      </c>
      <c r="K320" s="6" t="n">
        <f aca="false">IF('Service Types'!K240="","",'Service Types'!K240)</f>
        <v>13</v>
      </c>
    </row>
    <row r="321" customFormat="false" ht="15" hidden="false" customHeight="false" outlineLevel="0" collapsed="false">
      <c r="A321" s="16" t="n">
        <v>320</v>
      </c>
      <c r="B321" s="4" t="s">
        <v>286</v>
      </c>
      <c r="C321" s="4" t="str">
        <f aca="false">IF('Service Types'!B241="","",'Service Types'!B241)</f>
        <v>CS - Recreation and Social Programs</v>
      </c>
      <c r="D321" s="5" t="n">
        <f aca="false">IF('Service Types'!E241="","",'Service Types'!E241)</f>
        <v>44</v>
      </c>
      <c r="E321" s="5" t="n">
        <f aca="false">IF('Service Types'!D241="","",'Service Types'!D241)</f>
        <v>257</v>
      </c>
      <c r="F321" s="5" t="n">
        <f aca="false">IF('Service Types'!F241="","",'Service Types'!F241)</f>
        <v>3</v>
      </c>
      <c r="G321" s="5" t="n">
        <f aca="false">IF('Service Types'!G241="","",'Service Types'!G241)</f>
        <v>2</v>
      </c>
      <c r="H321" s="5" t="n">
        <f aca="false">IF('Service Types'!H241="","",'Service Types'!H241)</f>
        <v>254</v>
      </c>
      <c r="I321" s="6" t="n">
        <f aca="false">IF('Service Types'!I241="","",'Service Types'!I241)</f>
        <v>3</v>
      </c>
      <c r="J321" s="6" t="n">
        <f aca="false">IF('Service Types'!J241="","",'Service Types'!J241)</f>
        <v>6.2</v>
      </c>
      <c r="K321" s="6" t="n">
        <f aca="false">IF('Service Types'!K241="","",'Service Types'!K241)</f>
        <v>16</v>
      </c>
    </row>
    <row r="322" customFormat="false" ht="15" hidden="false" customHeight="false" outlineLevel="0" collapsed="false">
      <c r="A322" s="16" t="n">
        <v>321</v>
      </c>
      <c r="B322" s="4" t="s">
        <v>561</v>
      </c>
      <c r="C322" s="4" t="str">
        <f aca="false">IF('Service Types'!B496="","",'Service Types'!B496)</f>
        <v>OS - Parks and Open Spaces</v>
      </c>
      <c r="D322" s="5" t="n">
        <f aca="false">IF('Service Types'!E496="","",'Service Types'!E496)</f>
        <v>44</v>
      </c>
      <c r="E322" s="5" t="n">
        <f aca="false">IF('Service Types'!D496="","",'Service Types'!D496)</f>
        <v>91</v>
      </c>
      <c r="F322" s="5" t="n">
        <f aca="false">IF('Service Types'!F496="","",'Service Types'!F496)</f>
        <v>0</v>
      </c>
      <c r="G322" s="5" t="n">
        <f aca="false">IF('Service Types'!G496="","",'Service Types'!G496)</f>
        <v>0</v>
      </c>
      <c r="H322" s="5" t="n">
        <f aca="false">IF('Service Types'!H496="","",'Service Types'!H496)</f>
        <v>91</v>
      </c>
      <c r="I322" s="6" t="n">
        <f aca="false">IF('Service Types'!I496="","",'Service Types'!I496)</f>
        <v>54</v>
      </c>
      <c r="J322" s="6" t="n">
        <f aca="false">IF('Service Types'!J496="","",'Service Types'!J496)</f>
        <v>82.7</v>
      </c>
      <c r="K322" s="6" t="n">
        <f aca="false">IF('Service Types'!K496="","",'Service Types'!K496)</f>
        <v>178</v>
      </c>
    </row>
    <row r="323" customFormat="false" ht="15" hidden="false" customHeight="false" outlineLevel="0" collapsed="false">
      <c r="A323" s="16" t="n">
        <v>322</v>
      </c>
      <c r="B323" s="4" t="s">
        <v>289</v>
      </c>
      <c r="C323" s="4" t="str">
        <f aca="false">IF('Service Types'!B244="","",'Service Types'!B244)</f>
        <v>CS - Recreation and Social Programs</v>
      </c>
      <c r="D323" s="5" t="n">
        <f aca="false">IF('Service Types'!E244="","",'Service Types'!E244)</f>
        <v>41</v>
      </c>
      <c r="E323" s="5" t="n">
        <f aca="false">IF('Service Types'!D244="","",'Service Types'!D244)</f>
        <v>192</v>
      </c>
      <c r="F323" s="5" t="n">
        <f aca="false">IF('Service Types'!F244="","",'Service Types'!F244)</f>
        <v>3</v>
      </c>
      <c r="G323" s="5" t="n">
        <f aca="false">IF('Service Types'!G244="","",'Service Types'!G244)</f>
        <v>0</v>
      </c>
      <c r="H323" s="5" t="n">
        <f aca="false">IF('Service Types'!H244="","",'Service Types'!H244)</f>
        <v>189</v>
      </c>
      <c r="I323" s="6" t="n">
        <f aca="false">IF('Service Types'!I244="","",'Service Types'!I244)</f>
        <v>2</v>
      </c>
      <c r="J323" s="6" t="n">
        <f aca="false">IF('Service Types'!J244="","",'Service Types'!J244)</f>
        <v>5.4</v>
      </c>
      <c r="K323" s="6" t="n">
        <f aca="false">IF('Service Types'!K244="","",'Service Types'!K244)</f>
        <v>14</v>
      </c>
    </row>
    <row r="324" customFormat="false" ht="15" hidden="false" customHeight="false" outlineLevel="0" collapsed="false">
      <c r="A324" s="16" t="n">
        <v>323</v>
      </c>
      <c r="B324" s="4" t="s">
        <v>648</v>
      </c>
      <c r="C324" s="4" t="str">
        <f aca="false">IF('Service Types'!B580="","",'Service Types'!B580)</f>
        <v>OS - Water Services</v>
      </c>
      <c r="D324" s="5" t="n">
        <f aca="false">IF('Service Types'!E580="","",'Service Types'!E580)</f>
        <v>41</v>
      </c>
      <c r="E324" s="5" t="n">
        <f aca="false">IF('Service Types'!D580="","",'Service Types'!D580)</f>
        <v>84</v>
      </c>
      <c r="F324" s="5" t="n">
        <f aca="false">IF('Service Types'!F580="","",'Service Types'!F580)</f>
        <v>0</v>
      </c>
      <c r="G324" s="5" t="n">
        <f aca="false">IF('Service Types'!G580="","",'Service Types'!G580)</f>
        <v>0</v>
      </c>
      <c r="H324" s="5" t="n">
        <f aca="false">IF('Service Types'!H580="","",'Service Types'!H580)</f>
        <v>84</v>
      </c>
      <c r="I324" s="6" t="n">
        <f aca="false">IF('Service Types'!I580="","",'Service Types'!I580)</f>
        <v>1</v>
      </c>
      <c r="J324" s="6" t="n">
        <f aca="false">IF('Service Types'!J580="","",'Service Types'!J580)</f>
        <v>36.3</v>
      </c>
      <c r="K324" s="6" t="n">
        <f aca="false">IF('Service Types'!K580="","",'Service Types'!K580)</f>
        <v>198</v>
      </c>
    </row>
    <row r="325" customFormat="false" ht="15" hidden="false" customHeight="false" outlineLevel="0" collapsed="false">
      <c r="A325" s="16" t="n">
        <v>324</v>
      </c>
      <c r="B325" s="4" t="s">
        <v>558</v>
      </c>
      <c r="C325" s="4" t="str">
        <f aca="false">IF('Service Types'!B493="","",'Service Types'!B493)</f>
        <v>OS - Parks and Open Spaces</v>
      </c>
      <c r="D325" s="5" t="n">
        <f aca="false">IF('Service Types'!E493="","",'Service Types'!E493)</f>
        <v>39</v>
      </c>
      <c r="E325" s="5" t="n">
        <f aca="false">IF('Service Types'!D493="","",'Service Types'!D493)</f>
        <v>128</v>
      </c>
      <c r="F325" s="5" t="n">
        <f aca="false">IF('Service Types'!F493="","",'Service Types'!F493)</f>
        <v>1</v>
      </c>
      <c r="G325" s="5" t="n">
        <f aca="false">IF('Service Types'!G493="","",'Service Types'!G493)</f>
        <v>0</v>
      </c>
      <c r="H325" s="5" t="n">
        <f aca="false">IF('Service Types'!H493="","",'Service Types'!H493)</f>
        <v>127</v>
      </c>
      <c r="I325" s="6" t="n">
        <f aca="false">IF('Service Types'!I493="","",'Service Types'!I493)</f>
        <v>12</v>
      </c>
      <c r="J325" s="6" t="n">
        <f aca="false">IF('Service Types'!J493="","",'Service Types'!J493)</f>
        <v>11.5</v>
      </c>
      <c r="K325" s="6" t="n">
        <f aca="false">IF('Service Types'!K493="","",'Service Types'!K493)</f>
        <v>15</v>
      </c>
    </row>
    <row r="326" customFormat="false" ht="15" hidden="false" customHeight="false" outlineLevel="0" collapsed="false">
      <c r="A326" s="16" t="n">
        <v>325</v>
      </c>
      <c r="B326" s="4" t="s">
        <v>298</v>
      </c>
      <c r="C326" s="4" t="str">
        <f aca="false">IF('Service Types'!B253="","",'Service Types'!B253)</f>
        <v>CS - Recreation and Social Programs</v>
      </c>
      <c r="D326" s="5" t="n">
        <f aca="false">IF('Service Types'!E253="","",'Service Types'!E253)</f>
        <v>39</v>
      </c>
      <c r="E326" s="5" t="n">
        <f aca="false">IF('Service Types'!D253="","",'Service Types'!D253)</f>
        <v>112</v>
      </c>
      <c r="F326" s="5" t="n">
        <f aca="false">IF('Service Types'!F253="","",'Service Types'!F253)</f>
        <v>0</v>
      </c>
      <c r="G326" s="5" t="n">
        <f aca="false">IF('Service Types'!G253="","",'Service Types'!G253)</f>
        <v>0</v>
      </c>
      <c r="H326" s="5" t="n">
        <f aca="false">IF('Service Types'!H253="","",'Service Types'!H253)</f>
        <v>112</v>
      </c>
      <c r="I326" s="6" t="n">
        <f aca="false">IF('Service Types'!I253="","",'Service Types'!I253)</f>
        <v>2</v>
      </c>
      <c r="J326" s="6" t="n">
        <f aca="false">IF('Service Types'!J253="","",'Service Types'!J253)</f>
        <v>5.3</v>
      </c>
      <c r="K326" s="6" t="n">
        <f aca="false">IF('Service Types'!K253="","",'Service Types'!K253)</f>
        <v>17</v>
      </c>
    </row>
    <row r="327" customFormat="false" ht="15" hidden="false" customHeight="false" outlineLevel="0" collapsed="false">
      <c r="A327" s="16" t="n">
        <v>326</v>
      </c>
      <c r="B327" s="4" t="s">
        <v>590</v>
      </c>
      <c r="C327" s="4" t="str">
        <f aca="false">IF('Service Types'!B524="","",'Service Types'!B524)</f>
        <v>OS - Waste and Recycling Services</v>
      </c>
      <c r="D327" s="5" t="n">
        <f aca="false">IF('Service Types'!E524="","",'Service Types'!E524)</f>
        <v>38</v>
      </c>
      <c r="E327" s="5" t="n">
        <f aca="false">IF('Service Types'!D524="","",'Service Types'!D524)</f>
        <v>242</v>
      </c>
      <c r="F327" s="5" t="n">
        <f aca="false">IF('Service Types'!F524="","",'Service Types'!F524)</f>
        <v>1</v>
      </c>
      <c r="G327" s="5" t="n">
        <f aca="false">IF('Service Types'!G524="","",'Service Types'!G524)</f>
        <v>0</v>
      </c>
      <c r="H327" s="5" t="n">
        <f aca="false">IF('Service Types'!H524="","",'Service Types'!H524)</f>
        <v>241</v>
      </c>
      <c r="I327" s="6" t="n">
        <f aca="false">IF('Service Types'!I524="","",'Service Types'!I524)</f>
        <v>4</v>
      </c>
      <c r="J327" s="6" t="n">
        <f aca="false">IF('Service Types'!J524="","",'Service Types'!J524)</f>
        <v>11.1</v>
      </c>
      <c r="K327" s="6" t="n">
        <f aca="false">IF('Service Types'!K524="","",'Service Types'!K524)</f>
        <v>16</v>
      </c>
    </row>
    <row r="328" customFormat="false" ht="15" hidden="false" customHeight="false" outlineLevel="0" collapsed="false">
      <c r="A328" s="16" t="n">
        <v>327</v>
      </c>
      <c r="B328" s="4" t="s">
        <v>287</v>
      </c>
      <c r="C328" s="4" t="str">
        <f aca="false">IF('Service Types'!B242="","",'Service Types'!B242)</f>
        <v>CS - Recreation and Social Programs</v>
      </c>
      <c r="D328" s="5" t="n">
        <f aca="false">IF('Service Types'!E242="","",'Service Types'!E242)</f>
        <v>38</v>
      </c>
      <c r="E328" s="5" t="n">
        <f aca="false">IF('Service Types'!D242="","",'Service Types'!D242)</f>
        <v>240</v>
      </c>
      <c r="F328" s="5" t="n">
        <f aca="false">IF('Service Types'!F242="","",'Service Types'!F242)</f>
        <v>0</v>
      </c>
      <c r="G328" s="5" t="n">
        <f aca="false">IF('Service Types'!G242="","",'Service Types'!G242)</f>
        <v>0</v>
      </c>
      <c r="H328" s="5" t="n">
        <f aca="false">IF('Service Types'!H242="","",'Service Types'!H242)</f>
        <v>240</v>
      </c>
      <c r="I328" s="6" t="n">
        <f aca="false">IF('Service Types'!I242="","",'Service Types'!I242)</f>
        <v>4</v>
      </c>
      <c r="J328" s="6" t="n">
        <f aca="false">IF('Service Types'!J242="","",'Service Types'!J242)</f>
        <v>7.5</v>
      </c>
      <c r="K328" s="6" t="n">
        <f aca="false">IF('Service Types'!K242="","",'Service Types'!K242)</f>
        <v>15</v>
      </c>
    </row>
    <row r="329" customFormat="false" ht="15" hidden="false" customHeight="false" outlineLevel="0" collapsed="false">
      <c r="A329" s="16" t="n">
        <v>328</v>
      </c>
      <c r="B329" s="4" t="s">
        <v>299</v>
      </c>
      <c r="C329" s="4" t="str">
        <f aca="false">IF('Service Types'!B254="","",'Service Types'!B254)</f>
        <v>CS - Recreation and Social Programs</v>
      </c>
      <c r="D329" s="5" t="n">
        <f aca="false">IF('Service Types'!E254="","",'Service Types'!E254)</f>
        <v>38</v>
      </c>
      <c r="E329" s="5" t="n">
        <f aca="false">IF('Service Types'!D254="","",'Service Types'!D254)</f>
        <v>111</v>
      </c>
      <c r="F329" s="5" t="n">
        <f aca="false">IF('Service Types'!F254="","",'Service Types'!F254)</f>
        <v>4</v>
      </c>
      <c r="G329" s="5" t="n">
        <f aca="false">IF('Service Types'!G254="","",'Service Types'!G254)</f>
        <v>2</v>
      </c>
      <c r="H329" s="5" t="n">
        <f aca="false">IF('Service Types'!H254="","",'Service Types'!H254)</f>
        <v>107</v>
      </c>
      <c r="I329" s="6" t="n">
        <f aca="false">IF('Service Types'!I254="","",'Service Types'!I254)</f>
        <v>22</v>
      </c>
      <c r="J329" s="6" t="n">
        <f aca="false">IF('Service Types'!J254="","",'Service Types'!J254)</f>
        <v>36.1</v>
      </c>
      <c r="K329" s="6" t="n">
        <f aca="false">IF('Service Types'!K254="","",'Service Types'!K254)</f>
        <v>77</v>
      </c>
    </row>
    <row r="330" customFormat="false" ht="15" hidden="false" customHeight="false" outlineLevel="0" collapsed="false">
      <c r="A330" s="16" t="n">
        <v>329</v>
      </c>
      <c r="B330" s="4" t="s">
        <v>20</v>
      </c>
      <c r="C330" s="4" t="str">
        <f aca="false">IF('Service Types'!B3="","",'Service Types'!B3)</f>
        <v>AO - Calgary Housing</v>
      </c>
      <c r="D330" s="5" t="n">
        <f aca="false">IF('Service Types'!E3="","",'Service Types'!E3)</f>
        <v>37</v>
      </c>
      <c r="E330" s="5" t="n">
        <f aca="false">IF('Service Types'!D3="","",'Service Types'!D3)</f>
        <v>214</v>
      </c>
      <c r="F330" s="5" t="n">
        <f aca="false">IF('Service Types'!F3="","",'Service Types'!F3)</f>
        <v>5</v>
      </c>
      <c r="G330" s="5" t="n">
        <f aca="false">IF('Service Types'!G3="","",'Service Types'!G3)</f>
        <v>3</v>
      </c>
      <c r="H330" s="5" t="n">
        <f aca="false">IF('Service Types'!H3="","",'Service Types'!H3)</f>
        <v>206</v>
      </c>
      <c r="I330" s="6" t="n">
        <f aca="false">IF('Service Types'!I3="","",'Service Types'!I3)</f>
        <v>7</v>
      </c>
      <c r="J330" s="6" t="n">
        <f aca="false">IF('Service Types'!J3="","",'Service Types'!J3)</f>
        <v>18.2</v>
      </c>
      <c r="K330" s="6" t="n">
        <f aca="false">IF('Service Types'!K3="","",'Service Types'!K3)</f>
        <v>46</v>
      </c>
    </row>
    <row r="331" customFormat="false" ht="15" hidden="false" customHeight="false" outlineLevel="0" collapsed="false">
      <c r="A331" s="16" t="n">
        <v>330</v>
      </c>
      <c r="B331" s="4" t="s">
        <v>743</v>
      </c>
      <c r="C331" s="4" t="str">
        <f aca="false">IF('Service Types'!B665="","",'Service Types'!B665)</f>
        <v>PDS - Development, Business and Building Services</v>
      </c>
      <c r="D331" s="5" t="n">
        <f aca="false">IF('Service Types'!E665="","",'Service Types'!E665)</f>
        <v>37</v>
      </c>
      <c r="E331" s="5" t="n">
        <f aca="false">IF('Service Types'!D665="","",'Service Types'!D665)</f>
        <v>197</v>
      </c>
      <c r="F331" s="5" t="n">
        <f aca="false">IF('Service Types'!F665="","",'Service Types'!F665)</f>
        <v>1</v>
      </c>
      <c r="G331" s="5" t="n">
        <f aca="false">IF('Service Types'!G665="","",'Service Types'!G665)</f>
        <v>0</v>
      </c>
      <c r="H331" s="5" t="n">
        <f aca="false">IF('Service Types'!H665="","",'Service Types'!H665)</f>
        <v>196</v>
      </c>
      <c r="I331" s="6" t="n">
        <f aca="false">IF('Service Types'!I665="","",'Service Types'!I665)</f>
        <v>0</v>
      </c>
      <c r="J331" s="6" t="n">
        <f aca="false">IF('Service Types'!J665="","",'Service Types'!J665)</f>
        <v>2.6</v>
      </c>
      <c r="K331" s="6" t="n">
        <f aca="false">IF('Service Types'!K665="","",'Service Types'!K665)</f>
        <v>3</v>
      </c>
    </row>
    <row r="332" customFormat="false" ht="15" hidden="false" customHeight="false" outlineLevel="0" collapsed="false">
      <c r="A332" s="16" t="n">
        <v>331</v>
      </c>
      <c r="B332" s="4" t="s">
        <v>805</v>
      </c>
      <c r="C332" s="4" t="str">
        <f aca="false">IF('Service Types'!B719="","",'Service Types'!B719)</f>
        <v>PICS - Marketing and Communication</v>
      </c>
      <c r="D332" s="5" t="n">
        <f aca="false">IF('Service Types'!E719="","",'Service Types'!E719)</f>
        <v>37</v>
      </c>
      <c r="E332" s="5" t="n">
        <f aca="false">IF('Service Types'!D719="","",'Service Types'!D719)</f>
        <v>37</v>
      </c>
      <c r="F332" s="5" t="n">
        <f aca="false">IF('Service Types'!F719="","",'Service Types'!F719)</f>
        <v>0</v>
      </c>
      <c r="G332" s="5" t="n">
        <f aca="false">IF('Service Types'!G719="","",'Service Types'!G719)</f>
        <v>0</v>
      </c>
      <c r="H332" s="5" t="n">
        <f aca="false">IF('Service Types'!H719="","",'Service Types'!H719)</f>
        <v>37</v>
      </c>
      <c r="I332" s="6" t="n">
        <f aca="false">IF('Service Types'!I719="","",'Service Types'!I719)</f>
        <v>3</v>
      </c>
      <c r="J332" s="6" t="n">
        <f aca="false">IF('Service Types'!J719="","",'Service Types'!J719)</f>
        <v>4.6</v>
      </c>
      <c r="K332" s="6" t="n">
        <f aca="false">IF('Service Types'!K719="","",'Service Types'!K719)</f>
        <v>11</v>
      </c>
    </row>
    <row r="333" customFormat="false" ht="15" hidden="false" customHeight="false" outlineLevel="0" collapsed="false">
      <c r="A333" s="16" t="n">
        <v>332</v>
      </c>
      <c r="B333" s="4" t="s">
        <v>288</v>
      </c>
      <c r="C333" s="4" t="str">
        <f aca="false">IF('Service Types'!B243="","",'Service Types'!B243)</f>
        <v>CS - Recreation and Social Programs</v>
      </c>
      <c r="D333" s="5" t="n">
        <f aca="false">IF('Service Types'!E243="","",'Service Types'!E243)</f>
        <v>36</v>
      </c>
      <c r="E333" s="5" t="n">
        <f aca="false">IF('Service Types'!D243="","",'Service Types'!D243)</f>
        <v>239</v>
      </c>
      <c r="F333" s="5" t="n">
        <f aca="false">IF('Service Types'!F243="","",'Service Types'!F243)</f>
        <v>0</v>
      </c>
      <c r="G333" s="5" t="n">
        <f aca="false">IF('Service Types'!G243="","",'Service Types'!G243)</f>
        <v>0</v>
      </c>
      <c r="H333" s="5" t="n">
        <f aca="false">IF('Service Types'!H243="","",'Service Types'!H243)</f>
        <v>239</v>
      </c>
      <c r="I333" s="6" t="n">
        <f aca="false">IF('Service Types'!I243="","",'Service Types'!I243)</f>
        <v>2</v>
      </c>
      <c r="J333" s="6" t="n">
        <f aca="false">IF('Service Types'!J243="","",'Service Types'!J243)</f>
        <v>6.2</v>
      </c>
      <c r="K333" s="6" t="n">
        <f aca="false">IF('Service Types'!K243="","",'Service Types'!K243)</f>
        <v>14</v>
      </c>
    </row>
    <row r="334" customFormat="false" ht="15" hidden="false" customHeight="false" outlineLevel="0" collapsed="false">
      <c r="A334" s="16" t="n">
        <v>333</v>
      </c>
      <c r="B334" s="4" t="s">
        <v>773</v>
      </c>
      <c r="C334" s="4" t="str">
        <f aca="false">IF('Service Types'!B692="","",'Service Types'!B692)</f>
        <v>PICS - Collaboration, Analytics and Innovation</v>
      </c>
      <c r="D334" s="5" t="n">
        <f aca="false">IF('Service Types'!E692="","",'Service Types'!E692)</f>
        <v>35</v>
      </c>
      <c r="E334" s="5" t="n">
        <f aca="false">IF('Service Types'!D692="","",'Service Types'!D692)</f>
        <v>750</v>
      </c>
      <c r="F334" s="5" t="n">
        <f aca="false">IF('Service Types'!F692="","",'Service Types'!F692)</f>
        <v>2</v>
      </c>
      <c r="G334" s="5" t="n">
        <f aca="false">IF('Service Types'!G692="","",'Service Types'!G692)</f>
        <v>2</v>
      </c>
      <c r="H334" s="5" t="n">
        <f aca="false">IF('Service Types'!H692="","",'Service Types'!H692)</f>
        <v>748</v>
      </c>
      <c r="I334" s="6" t="n">
        <f aca="false">IF('Service Types'!I692="","",'Service Types'!I692)</f>
        <v>1</v>
      </c>
      <c r="J334" s="6" t="n">
        <f aca="false">IF('Service Types'!J692="","",'Service Types'!J692)</f>
        <v>1.6</v>
      </c>
      <c r="K334" s="6" t="n">
        <f aca="false">IF('Service Types'!K692="","",'Service Types'!K692)</f>
        <v>3</v>
      </c>
    </row>
    <row r="335" customFormat="false" ht="15" hidden="false" customHeight="false" outlineLevel="0" collapsed="false">
      <c r="A335" s="16" t="n">
        <v>334</v>
      </c>
      <c r="B335" s="4" t="s">
        <v>291</v>
      </c>
      <c r="C335" s="4" t="str">
        <f aca="false">IF('Service Types'!B246="","",'Service Types'!B246)</f>
        <v>CS - Recreation and Social Programs</v>
      </c>
      <c r="D335" s="5" t="n">
        <f aca="false">IF('Service Types'!E246="","",'Service Types'!E246)</f>
        <v>35</v>
      </c>
      <c r="E335" s="5" t="n">
        <f aca="false">IF('Service Types'!D246="","",'Service Types'!D246)</f>
        <v>180</v>
      </c>
      <c r="F335" s="5" t="n">
        <f aca="false">IF('Service Types'!F246="","",'Service Types'!F246)</f>
        <v>1</v>
      </c>
      <c r="G335" s="5" t="n">
        <f aca="false">IF('Service Types'!G246="","",'Service Types'!G246)</f>
        <v>0</v>
      </c>
      <c r="H335" s="5" t="n">
        <f aca="false">IF('Service Types'!H246="","",'Service Types'!H246)</f>
        <v>179</v>
      </c>
      <c r="I335" s="6" t="n">
        <f aca="false">IF('Service Types'!I246="","",'Service Types'!I246)</f>
        <v>9</v>
      </c>
      <c r="J335" s="6" t="n">
        <f aca="false">IF('Service Types'!J246="","",'Service Types'!J246)</f>
        <v>18.6</v>
      </c>
      <c r="K335" s="6" t="n">
        <f aca="false">IF('Service Types'!K246="","",'Service Types'!K246)</f>
        <v>51</v>
      </c>
    </row>
    <row r="336" customFormat="false" ht="15" hidden="false" customHeight="false" outlineLevel="0" collapsed="false">
      <c r="A336" s="16" t="n">
        <v>335</v>
      </c>
      <c r="B336" s="4" t="s">
        <v>703</v>
      </c>
      <c r="C336" s="4" t="str">
        <f aca="false">IF('Service Types'!B626="","",'Service Types'!B626)</f>
        <v>PDS - Community Planning</v>
      </c>
      <c r="D336" s="5" t="n">
        <f aca="false">IF('Service Types'!E626="","",'Service Types'!E626)</f>
        <v>35</v>
      </c>
      <c r="E336" s="5" t="n">
        <f aca="false">IF('Service Types'!D626="","",'Service Types'!D626)</f>
        <v>154</v>
      </c>
      <c r="F336" s="5" t="n">
        <f aca="false">IF('Service Types'!F626="","",'Service Types'!F626)</f>
        <v>0</v>
      </c>
      <c r="G336" s="5" t="n">
        <f aca="false">IF('Service Types'!G626="","",'Service Types'!G626)</f>
        <v>0</v>
      </c>
      <c r="H336" s="5" t="n">
        <f aca="false">IF('Service Types'!H626="","",'Service Types'!H626)</f>
        <v>154</v>
      </c>
      <c r="I336" s="6" t="n">
        <f aca="false">IF('Service Types'!I626="","",'Service Types'!I626)</f>
        <v>20</v>
      </c>
      <c r="J336" s="6" t="n">
        <f aca="false">IF('Service Types'!J626="","",'Service Types'!J626)</f>
        <v>26.1</v>
      </c>
      <c r="K336" s="6" t="n">
        <f aca="false">IF('Service Types'!K626="","",'Service Types'!K626)</f>
        <v>52</v>
      </c>
    </row>
    <row r="337" customFormat="false" ht="15" hidden="false" customHeight="false" outlineLevel="0" collapsed="false">
      <c r="A337" s="16" t="n">
        <v>336</v>
      </c>
      <c r="B337" s="4" t="s">
        <v>361</v>
      </c>
      <c r="C337" s="4" t="str">
        <f aca="false">IF('Service Types'!B308="","",'Service Types'!B308)</f>
        <v>IS - Public Spaces Delivery</v>
      </c>
      <c r="D337" s="5" t="n">
        <f aca="false">IF('Service Types'!E308="","",'Service Types'!E308)</f>
        <v>35</v>
      </c>
      <c r="E337" s="5" t="n">
        <f aca="false">IF('Service Types'!D308="","",'Service Types'!D308)</f>
        <v>100</v>
      </c>
      <c r="F337" s="5" t="n">
        <f aca="false">IF('Service Types'!F308="","",'Service Types'!F308)</f>
        <v>1</v>
      </c>
      <c r="G337" s="5" t="n">
        <f aca="false">IF('Service Types'!G308="","",'Service Types'!G308)</f>
        <v>0</v>
      </c>
      <c r="H337" s="5" t="n">
        <f aca="false">IF('Service Types'!H308="","",'Service Types'!H308)</f>
        <v>99</v>
      </c>
      <c r="I337" s="6" t="n">
        <f aca="false">IF('Service Types'!I308="","",'Service Types'!I308)</f>
        <v>2</v>
      </c>
      <c r="J337" s="6" t="n">
        <f aca="false">IF('Service Types'!J308="","",'Service Types'!J308)</f>
        <v>3.1</v>
      </c>
      <c r="K337" s="6" t="n">
        <f aca="false">IF('Service Types'!K308="","",'Service Types'!K308)</f>
        <v>7</v>
      </c>
    </row>
    <row r="338" customFormat="false" ht="15" hidden="false" customHeight="false" outlineLevel="0" collapsed="false">
      <c r="A338" s="16" t="n">
        <v>337</v>
      </c>
      <c r="B338" s="4" t="s">
        <v>212</v>
      </c>
      <c r="C338" s="4" t="str">
        <f aca="false">IF('Service Types'!B169="","",'Service Types'!B169)</f>
        <v>CS - Emergency Management and Community Safety</v>
      </c>
      <c r="D338" s="5" t="n">
        <f aca="false">IF('Service Types'!E169="","",'Service Types'!E169)</f>
        <v>34</v>
      </c>
      <c r="E338" s="5" t="n">
        <f aca="false">IF('Service Types'!D169="","",'Service Types'!D169)</f>
        <v>254</v>
      </c>
      <c r="F338" s="5" t="n">
        <f aca="false">IF('Service Types'!F169="","",'Service Types'!F169)</f>
        <v>2</v>
      </c>
      <c r="G338" s="5" t="n">
        <f aca="false">IF('Service Types'!G169="","",'Service Types'!G169)</f>
        <v>2</v>
      </c>
      <c r="H338" s="5" t="n">
        <f aca="false">IF('Service Types'!H169="","",'Service Types'!H169)</f>
        <v>252</v>
      </c>
      <c r="I338" s="6" t="n">
        <f aca="false">IF('Service Types'!I169="","",'Service Types'!I169)</f>
        <v>0</v>
      </c>
      <c r="J338" s="6" t="n">
        <f aca="false">IF('Service Types'!J169="","",'Service Types'!J169)</f>
        <v>2.1</v>
      </c>
      <c r="K338" s="6" t="n">
        <f aca="false">IF('Service Types'!K169="","",'Service Types'!K169)</f>
        <v>1</v>
      </c>
    </row>
    <row r="339" customFormat="false" ht="15" hidden="false" customHeight="false" outlineLevel="0" collapsed="false">
      <c r="A339" s="16" t="n">
        <v>338</v>
      </c>
      <c r="B339" s="4" t="s">
        <v>591</v>
      </c>
      <c r="C339" s="4" t="str">
        <f aca="false">IF('Service Types'!B525="","",'Service Types'!B525)</f>
        <v>OS - Waste and Recycling Services</v>
      </c>
      <c r="D339" s="5" t="n">
        <f aca="false">IF('Service Types'!E525="","",'Service Types'!E525)</f>
        <v>34</v>
      </c>
      <c r="E339" s="5" t="n">
        <f aca="false">IF('Service Types'!D525="","",'Service Types'!D525)</f>
        <v>210</v>
      </c>
      <c r="F339" s="5" t="n">
        <f aca="false">IF('Service Types'!F525="","",'Service Types'!F525)</f>
        <v>0</v>
      </c>
      <c r="G339" s="5" t="n">
        <f aca="false">IF('Service Types'!G525="","",'Service Types'!G525)</f>
        <v>0</v>
      </c>
      <c r="H339" s="5" t="n">
        <f aca="false">IF('Service Types'!H525="","",'Service Types'!H525)</f>
        <v>210</v>
      </c>
      <c r="I339" s="6" t="n">
        <f aca="false">IF('Service Types'!I525="","",'Service Types'!I525)</f>
        <v>1</v>
      </c>
      <c r="J339" s="6" t="n">
        <f aca="false">IF('Service Types'!J525="","",'Service Types'!J525)</f>
        <v>4.6</v>
      </c>
      <c r="K339" s="6" t="n">
        <f aca="false">IF('Service Types'!K525="","",'Service Types'!K525)</f>
        <v>11</v>
      </c>
    </row>
    <row r="340" customFormat="false" ht="15" hidden="false" customHeight="false" outlineLevel="0" collapsed="false">
      <c r="A340" s="16" t="n">
        <v>339</v>
      </c>
      <c r="B340" s="4" t="s">
        <v>300</v>
      </c>
      <c r="C340" s="4" t="str">
        <f aca="false">IF('Service Types'!B255="","",'Service Types'!B255)</f>
        <v>CS - Recreation and Social Programs</v>
      </c>
      <c r="D340" s="5" t="n">
        <f aca="false">IF('Service Types'!E255="","",'Service Types'!E255)</f>
        <v>34</v>
      </c>
      <c r="E340" s="5" t="n">
        <f aca="false">IF('Service Types'!D255="","",'Service Types'!D255)</f>
        <v>102</v>
      </c>
      <c r="F340" s="5" t="n">
        <f aca="false">IF('Service Types'!F255="","",'Service Types'!F255)</f>
        <v>0</v>
      </c>
      <c r="G340" s="5" t="n">
        <f aca="false">IF('Service Types'!G255="","",'Service Types'!G255)</f>
        <v>0</v>
      </c>
      <c r="H340" s="5" t="n">
        <f aca="false">IF('Service Types'!H255="","",'Service Types'!H255)</f>
        <v>102</v>
      </c>
      <c r="I340" s="6" t="n">
        <f aca="false">IF('Service Types'!I255="","",'Service Types'!I255)</f>
        <v>3.5</v>
      </c>
      <c r="J340" s="6" t="n">
        <f aca="false">IF('Service Types'!J255="","",'Service Types'!J255)</f>
        <v>14.2</v>
      </c>
      <c r="K340" s="6" t="n">
        <f aca="false">IF('Service Types'!K255="","",'Service Types'!K255)</f>
        <v>48</v>
      </c>
    </row>
    <row r="341" customFormat="false" ht="15" hidden="false" customHeight="false" outlineLevel="0" collapsed="false">
      <c r="A341" s="16" t="n">
        <v>340</v>
      </c>
      <c r="B341" s="4" t="s">
        <v>72</v>
      </c>
      <c r="C341" s="4" t="str">
        <f aca="false">IF('Service Types'!B37="","",'Service Types'!B37)</f>
        <v>CPFS - Supply Management</v>
      </c>
      <c r="D341" s="5" t="n">
        <f aca="false">IF('Service Types'!E37="","",'Service Types'!E37)</f>
        <v>33</v>
      </c>
      <c r="E341" s="5" t="n">
        <f aca="false">IF('Service Types'!D37="","",'Service Types'!D37)</f>
        <v>144</v>
      </c>
      <c r="F341" s="5" t="n">
        <f aca="false">IF('Service Types'!F37="","",'Service Types'!F37)</f>
        <v>1</v>
      </c>
      <c r="G341" s="5" t="n">
        <f aca="false">IF('Service Types'!G37="","",'Service Types'!G37)</f>
        <v>1</v>
      </c>
      <c r="H341" s="5" t="n">
        <f aca="false">IF('Service Types'!H37="","",'Service Types'!H37)</f>
        <v>143</v>
      </c>
      <c r="I341" s="6" t="n">
        <f aca="false">IF('Service Types'!I37="","",'Service Types'!I37)</f>
        <v>1</v>
      </c>
      <c r="J341" s="6" t="n">
        <f aca="false">IF('Service Types'!J37="","",'Service Types'!J37)</f>
        <v>7.6</v>
      </c>
      <c r="K341" s="6" t="n">
        <f aca="false">IF('Service Types'!K37="","",'Service Types'!K37)</f>
        <v>7</v>
      </c>
    </row>
    <row r="342" customFormat="false" ht="15" hidden="false" customHeight="false" outlineLevel="0" collapsed="false">
      <c r="A342" s="16" t="n">
        <v>341</v>
      </c>
      <c r="B342" s="4" t="s">
        <v>334</v>
      </c>
      <c r="C342" s="4" t="str">
        <f aca="false">IF('Service Types'!B284="","",'Service Types'!B284)</f>
        <v>IS - Capital Planning and Business Services</v>
      </c>
      <c r="D342" s="5" t="n">
        <f aca="false">IF('Service Types'!E284="","",'Service Types'!E284)</f>
        <v>33</v>
      </c>
      <c r="E342" s="5" t="n">
        <f aca="false">IF('Service Types'!D284="","",'Service Types'!D284)</f>
        <v>89</v>
      </c>
      <c r="F342" s="5" t="n">
        <f aca="false">IF('Service Types'!F284="","",'Service Types'!F284)</f>
        <v>0</v>
      </c>
      <c r="G342" s="5" t="n">
        <f aca="false">IF('Service Types'!G284="","",'Service Types'!G284)</f>
        <v>0</v>
      </c>
      <c r="H342" s="5" t="n">
        <f aca="false">IF('Service Types'!H284="","",'Service Types'!H284)</f>
        <v>89</v>
      </c>
      <c r="I342" s="6" t="n">
        <f aca="false">IF('Service Types'!I284="","",'Service Types'!I284)</f>
        <v>1</v>
      </c>
      <c r="J342" s="6" t="n">
        <f aca="false">IF('Service Types'!J284="","",'Service Types'!J284)</f>
        <v>24.4</v>
      </c>
      <c r="K342" s="6" t="n">
        <f aca="false">IF('Service Types'!K284="","",'Service Types'!K284)</f>
        <v>11</v>
      </c>
    </row>
    <row r="343" customFormat="false" ht="15" hidden="false" customHeight="false" outlineLevel="0" collapsed="false">
      <c r="A343" s="16" t="n">
        <v>342</v>
      </c>
      <c r="B343" s="4" t="s">
        <v>335</v>
      </c>
      <c r="C343" s="4" t="str">
        <f aca="false">IF('Service Types'!B285="","",'Service Types'!B285)</f>
        <v>IS - Capital Planning and Business Services</v>
      </c>
      <c r="D343" s="5" t="n">
        <f aca="false">IF('Service Types'!E285="","",'Service Types'!E285)</f>
        <v>33</v>
      </c>
      <c r="E343" s="5" t="n">
        <f aca="false">IF('Service Types'!D285="","",'Service Types'!D285)</f>
        <v>72</v>
      </c>
      <c r="F343" s="5" t="n">
        <f aca="false">IF('Service Types'!F285="","",'Service Types'!F285)</f>
        <v>3</v>
      </c>
      <c r="G343" s="5" t="n">
        <f aca="false">IF('Service Types'!G285="","",'Service Types'!G285)</f>
        <v>0</v>
      </c>
      <c r="H343" s="5" t="n">
        <f aca="false">IF('Service Types'!H285="","",'Service Types'!H285)</f>
        <v>69</v>
      </c>
      <c r="I343" s="6" t="n">
        <f aca="false">IF('Service Types'!I285="","",'Service Types'!I285)</f>
        <v>11</v>
      </c>
      <c r="J343" s="6" t="n">
        <f aca="false">IF('Service Types'!J285="","",'Service Types'!J285)</f>
        <v>146.2</v>
      </c>
      <c r="K343" s="6" t="n">
        <f aca="false">IF('Service Types'!K285="","",'Service Types'!K285)</f>
        <v>647</v>
      </c>
    </row>
    <row r="344" customFormat="false" ht="15" hidden="false" customHeight="false" outlineLevel="0" collapsed="false">
      <c r="A344" s="16" t="n">
        <v>343</v>
      </c>
      <c r="B344" s="4" t="s">
        <v>218</v>
      </c>
      <c r="C344" s="4" t="str">
        <f aca="false">IF('Service Types'!B175="","",'Service Types'!B175)</f>
        <v>CS - Emergency Management and Community Safety</v>
      </c>
      <c r="D344" s="5" t="n">
        <f aca="false">IF('Service Types'!E175="","",'Service Types'!E175)</f>
        <v>32</v>
      </c>
      <c r="E344" s="5" t="n">
        <f aca="false">IF('Service Types'!D175="","",'Service Types'!D175)</f>
        <v>165</v>
      </c>
      <c r="F344" s="5" t="n">
        <f aca="false">IF('Service Types'!F175="","",'Service Types'!F175)</f>
        <v>1</v>
      </c>
      <c r="G344" s="5" t="n">
        <f aca="false">IF('Service Types'!G175="","",'Service Types'!G175)</f>
        <v>0</v>
      </c>
      <c r="H344" s="5" t="n">
        <f aca="false">IF('Service Types'!H175="","",'Service Types'!H175)</f>
        <v>164</v>
      </c>
      <c r="I344" s="6" t="n">
        <f aca="false">IF('Service Types'!I175="","",'Service Types'!I175)</f>
        <v>0</v>
      </c>
      <c r="J344" s="6" t="n">
        <f aca="false">IF('Service Types'!J175="","",'Service Types'!J175)</f>
        <v>4.5</v>
      </c>
      <c r="K344" s="6" t="n">
        <f aca="false">IF('Service Types'!K175="","",'Service Types'!K175)</f>
        <v>6</v>
      </c>
    </row>
    <row r="345" customFormat="false" ht="15" hidden="false" customHeight="false" outlineLevel="0" collapsed="false">
      <c r="A345" s="16" t="n">
        <v>344</v>
      </c>
      <c r="B345" s="4" t="s">
        <v>419</v>
      </c>
      <c r="C345" s="4" t="str">
        <f aca="false">IF('Service Types'!B359="","",'Service Types'!B359)</f>
        <v>OS - Calgary Transit</v>
      </c>
      <c r="D345" s="5" t="n">
        <f aca="false">IF('Service Types'!E359="","",'Service Types'!E359)</f>
        <v>30</v>
      </c>
      <c r="E345" s="5" t="n">
        <f aca="false">IF('Service Types'!D359="","",'Service Types'!D359)</f>
        <v>204</v>
      </c>
      <c r="F345" s="5" t="n">
        <f aca="false">IF('Service Types'!F359="","",'Service Types'!F359)</f>
        <v>6</v>
      </c>
      <c r="G345" s="5" t="n">
        <f aca="false">IF('Service Types'!G359="","",'Service Types'!G359)</f>
        <v>1</v>
      </c>
      <c r="H345" s="5" t="n">
        <f aca="false">IF('Service Types'!H359="","",'Service Types'!H359)</f>
        <v>198</v>
      </c>
      <c r="I345" s="6" t="n">
        <f aca="false">IF('Service Types'!I359="","",'Service Types'!I359)</f>
        <v>4</v>
      </c>
      <c r="J345" s="6" t="n">
        <f aca="false">IF('Service Types'!J359="","",'Service Types'!J359)</f>
        <v>14.7</v>
      </c>
      <c r="K345" s="6" t="n">
        <f aca="false">IF('Service Types'!K359="","",'Service Types'!K359)</f>
        <v>53</v>
      </c>
    </row>
    <row r="346" customFormat="false" ht="15" hidden="false" customHeight="false" outlineLevel="0" collapsed="false">
      <c r="A346" s="16" t="n">
        <v>345</v>
      </c>
      <c r="B346" s="4" t="s">
        <v>293</v>
      </c>
      <c r="C346" s="4" t="str">
        <f aca="false">IF('Service Types'!B248="","",'Service Types'!B248)</f>
        <v>CS - Recreation and Social Programs</v>
      </c>
      <c r="D346" s="5" t="n">
        <f aca="false">IF('Service Types'!E248="","",'Service Types'!E248)</f>
        <v>30</v>
      </c>
      <c r="E346" s="5" t="n">
        <f aca="false">IF('Service Types'!D248="","",'Service Types'!D248)</f>
        <v>172</v>
      </c>
      <c r="F346" s="5" t="n">
        <f aca="false">IF('Service Types'!F248="","",'Service Types'!F248)</f>
        <v>0</v>
      </c>
      <c r="G346" s="5" t="n">
        <f aca="false">IF('Service Types'!G248="","",'Service Types'!G248)</f>
        <v>0</v>
      </c>
      <c r="H346" s="5" t="n">
        <f aca="false">IF('Service Types'!H248="","",'Service Types'!H248)</f>
        <v>172</v>
      </c>
      <c r="I346" s="6" t="n">
        <f aca="false">IF('Service Types'!I248="","",'Service Types'!I248)</f>
        <v>6</v>
      </c>
      <c r="J346" s="6" t="n">
        <f aca="false">IF('Service Types'!J248="","",'Service Types'!J248)</f>
        <v>8.9</v>
      </c>
      <c r="K346" s="6" t="n">
        <f aca="false">IF('Service Types'!K248="","",'Service Types'!K248)</f>
        <v>19</v>
      </c>
    </row>
    <row r="347" customFormat="false" ht="15" hidden="false" customHeight="false" outlineLevel="0" collapsed="false">
      <c r="A347" s="16" t="n">
        <v>346</v>
      </c>
      <c r="B347" s="4" t="s">
        <v>254</v>
      </c>
      <c r="C347" s="4" t="str">
        <f aca="false">IF('Service Types'!B210="","",'Service Types'!B210)</f>
        <v>CS - Partnerships</v>
      </c>
      <c r="D347" s="5" t="n">
        <f aca="false">IF('Service Types'!E210="","",'Service Types'!E210)</f>
        <v>30</v>
      </c>
      <c r="E347" s="5" t="n">
        <f aca="false">IF('Service Types'!D210="","",'Service Types'!D210)</f>
        <v>79</v>
      </c>
      <c r="F347" s="5" t="n">
        <f aca="false">IF('Service Types'!F210="","",'Service Types'!F210)</f>
        <v>1</v>
      </c>
      <c r="G347" s="5" t="n">
        <f aca="false">IF('Service Types'!G210="","",'Service Types'!G210)</f>
        <v>1</v>
      </c>
      <c r="H347" s="5" t="n">
        <f aca="false">IF('Service Types'!H210="","",'Service Types'!H210)</f>
        <v>78</v>
      </c>
      <c r="I347" s="6" t="n">
        <f aca="false">IF('Service Types'!I210="","",'Service Types'!I210)</f>
        <v>2</v>
      </c>
      <c r="J347" s="6" t="n">
        <f aca="false">IF('Service Types'!J210="","",'Service Types'!J210)</f>
        <v>5.6</v>
      </c>
      <c r="K347" s="6" t="n">
        <f aca="false">IF('Service Types'!K210="","",'Service Types'!K210)</f>
        <v>15</v>
      </c>
    </row>
    <row r="348" customFormat="false" ht="15" hidden="false" customHeight="false" outlineLevel="0" collapsed="false">
      <c r="A348" s="16" t="n">
        <v>347</v>
      </c>
      <c r="B348" s="4" t="s">
        <v>225</v>
      </c>
      <c r="C348" s="4" t="str">
        <f aca="false">IF('Service Types'!B182="","",'Service Types'!B182)</f>
        <v>CS - Emergency Management and Community Safety</v>
      </c>
      <c r="D348" s="5" t="n">
        <f aca="false">IF('Service Types'!E182="","",'Service Types'!E182)</f>
        <v>30</v>
      </c>
      <c r="E348" s="5" t="n">
        <f aca="false">IF('Service Types'!D182="","",'Service Types'!D182)</f>
        <v>78</v>
      </c>
      <c r="F348" s="5" t="n">
        <f aca="false">IF('Service Types'!F182="","",'Service Types'!F182)</f>
        <v>20</v>
      </c>
      <c r="G348" s="5" t="n">
        <f aca="false">IF('Service Types'!G182="","",'Service Types'!G182)</f>
        <v>10</v>
      </c>
      <c r="H348" s="5" t="n">
        <f aca="false">IF('Service Types'!H182="","",'Service Types'!H182)</f>
        <v>58</v>
      </c>
      <c r="I348" s="6" t="n">
        <f aca="false">IF('Service Types'!I182="","",'Service Types'!I182)</f>
        <v>3</v>
      </c>
      <c r="J348" s="6" t="n">
        <f aca="false">IF('Service Types'!J182="","",'Service Types'!J182)</f>
        <v>7.8</v>
      </c>
      <c r="K348" s="6" t="n">
        <f aca="false">IF('Service Types'!K182="","",'Service Types'!K182)</f>
        <v>26</v>
      </c>
    </row>
    <row r="349" customFormat="false" ht="15" hidden="false" customHeight="false" outlineLevel="0" collapsed="false">
      <c r="A349" s="16" t="n">
        <v>348</v>
      </c>
      <c r="B349" s="4" t="s">
        <v>389</v>
      </c>
      <c r="C349" s="4" t="str">
        <f aca="false">IF('Service Types'!B333="","",'Service Types'!B333)</f>
        <v>LLSS - City Clerk's Office</v>
      </c>
      <c r="D349" s="5" t="n">
        <f aca="false">IF('Service Types'!E333="","",'Service Types'!E333)</f>
        <v>28</v>
      </c>
      <c r="E349" s="5" t="n">
        <f aca="false">IF('Service Types'!D333="","",'Service Types'!D333)</f>
        <v>378</v>
      </c>
      <c r="F349" s="5" t="n">
        <f aca="false">IF('Service Types'!F333="","",'Service Types'!F333)</f>
        <v>0</v>
      </c>
      <c r="G349" s="5" t="n">
        <f aca="false">IF('Service Types'!G333="","",'Service Types'!G333)</f>
        <v>0</v>
      </c>
      <c r="H349" s="5" t="n">
        <f aca="false">IF('Service Types'!H333="","",'Service Types'!H333)</f>
        <v>378</v>
      </c>
      <c r="I349" s="6" t="n">
        <f aca="false">IF('Service Types'!I333="","",'Service Types'!I333)</f>
        <v>4</v>
      </c>
      <c r="J349" s="6" t="n">
        <f aca="false">IF('Service Types'!J333="","",'Service Types'!J333)</f>
        <v>5.9</v>
      </c>
      <c r="K349" s="6" t="n">
        <f aca="false">IF('Service Types'!K333="","",'Service Types'!K333)</f>
        <v>11</v>
      </c>
    </row>
    <row r="350" customFormat="false" ht="15" hidden="false" customHeight="false" outlineLevel="0" collapsed="false">
      <c r="A350" s="16" t="n">
        <v>349</v>
      </c>
      <c r="B350" s="4" t="s">
        <v>110</v>
      </c>
      <c r="C350" s="4" t="str">
        <f aca="false">IF('Service Types'!B71="","",'Service Types'!B71)</f>
        <v>CS - Calgary Fire</v>
      </c>
      <c r="D350" s="5" t="n">
        <f aca="false">IF('Service Types'!E71="","",'Service Types'!E71)</f>
        <v>27</v>
      </c>
      <c r="E350" s="5" t="n">
        <f aca="false">IF('Service Types'!D71="","",'Service Types'!D71)</f>
        <v>114</v>
      </c>
      <c r="F350" s="5" t="n">
        <f aca="false">IF('Service Types'!F71="","",'Service Types'!F71)</f>
        <v>4</v>
      </c>
      <c r="G350" s="5" t="n">
        <f aca="false">IF('Service Types'!G71="","",'Service Types'!G71)</f>
        <v>2</v>
      </c>
      <c r="H350" s="5" t="n">
        <f aca="false">IF('Service Types'!H71="","",'Service Types'!H71)</f>
        <v>110</v>
      </c>
      <c r="I350" s="6" t="n">
        <f aca="false">IF('Service Types'!I71="","",'Service Types'!I71)</f>
        <v>4.5</v>
      </c>
      <c r="J350" s="6" t="n">
        <f aca="false">IF('Service Types'!J71="","",'Service Types'!J71)</f>
        <v>7.3</v>
      </c>
      <c r="K350" s="6" t="n">
        <f aca="false">IF('Service Types'!K71="","",'Service Types'!K71)</f>
        <v>15</v>
      </c>
    </row>
    <row r="351" customFormat="false" ht="15" hidden="false" customHeight="false" outlineLevel="0" collapsed="false">
      <c r="A351" s="16" t="n">
        <v>350</v>
      </c>
      <c r="B351" s="4" t="s">
        <v>747</v>
      </c>
      <c r="C351" s="4" t="str">
        <f aca="false">IF('Service Types'!B669="","",'Service Types'!B669)</f>
        <v>PDS - Development, Business and Building Services</v>
      </c>
      <c r="D351" s="5" t="n">
        <f aca="false">IF('Service Types'!E669="","",'Service Types'!E669)</f>
        <v>27</v>
      </c>
      <c r="E351" s="5" t="n">
        <f aca="false">IF('Service Types'!D669="","",'Service Types'!D669)</f>
        <v>111</v>
      </c>
      <c r="F351" s="5" t="n">
        <f aca="false">IF('Service Types'!F669="","",'Service Types'!F669)</f>
        <v>4</v>
      </c>
      <c r="G351" s="5" t="n">
        <f aca="false">IF('Service Types'!G669="","",'Service Types'!G669)</f>
        <v>1</v>
      </c>
      <c r="H351" s="5" t="n">
        <f aca="false">IF('Service Types'!H669="","",'Service Types'!H669)</f>
        <v>107</v>
      </c>
      <c r="I351" s="6" t="n">
        <f aca="false">IF('Service Types'!I669="","",'Service Types'!I669)</f>
        <v>5</v>
      </c>
      <c r="J351" s="6" t="n">
        <f aca="false">IF('Service Types'!J669="","",'Service Types'!J669)</f>
        <v>19.4</v>
      </c>
      <c r="K351" s="6" t="n">
        <f aca="false">IF('Service Types'!K669="","",'Service Types'!K669)</f>
        <v>41</v>
      </c>
    </row>
    <row r="352" customFormat="false" ht="15" hidden="false" customHeight="false" outlineLevel="0" collapsed="false">
      <c r="A352" s="16" t="n">
        <v>351</v>
      </c>
      <c r="B352" s="4" t="s">
        <v>222</v>
      </c>
      <c r="C352" s="4" t="str">
        <f aca="false">IF('Service Types'!B179="","",'Service Types'!B179)</f>
        <v>CS - Emergency Management and Community Safety</v>
      </c>
      <c r="D352" s="5" t="n">
        <f aca="false">IF('Service Types'!E179="","",'Service Types'!E179)</f>
        <v>27</v>
      </c>
      <c r="E352" s="5" t="n">
        <f aca="false">IF('Service Types'!D179="","",'Service Types'!D179)</f>
        <v>101</v>
      </c>
      <c r="F352" s="5" t="n">
        <f aca="false">IF('Service Types'!F179="","",'Service Types'!F179)</f>
        <v>0</v>
      </c>
      <c r="G352" s="5" t="n">
        <f aca="false">IF('Service Types'!G179="","",'Service Types'!G179)</f>
        <v>0</v>
      </c>
      <c r="H352" s="5" t="n">
        <f aca="false">IF('Service Types'!H179="","",'Service Types'!H179)</f>
        <v>101</v>
      </c>
      <c r="I352" s="6" t="n">
        <f aca="false">IF('Service Types'!I179="","",'Service Types'!I179)</f>
        <v>3</v>
      </c>
      <c r="J352" s="6" t="n">
        <f aca="false">IF('Service Types'!J179="","",'Service Types'!J179)</f>
        <v>3.7</v>
      </c>
      <c r="K352" s="6" t="n">
        <f aca="false">IF('Service Types'!K179="","",'Service Types'!K179)</f>
        <v>7</v>
      </c>
    </row>
    <row r="353" customFormat="false" ht="15" hidden="false" customHeight="false" outlineLevel="0" collapsed="false">
      <c r="A353" s="16" t="n">
        <v>352</v>
      </c>
      <c r="B353" s="4" t="s">
        <v>488</v>
      </c>
      <c r="C353" s="4" t="str">
        <f aca="false">IF('Service Types'!B425="","",'Service Types'!B425)</f>
        <v>OS - Mobility</v>
      </c>
      <c r="D353" s="5" t="n">
        <f aca="false">IF('Service Types'!E425="","",'Service Types'!E425)</f>
        <v>27</v>
      </c>
      <c r="E353" s="5" t="n">
        <f aca="false">IF('Service Types'!D425="","",'Service Types'!D425)</f>
        <v>98</v>
      </c>
      <c r="F353" s="5" t="n">
        <f aca="false">IF('Service Types'!F425="","",'Service Types'!F425)</f>
        <v>1</v>
      </c>
      <c r="G353" s="5" t="n">
        <f aca="false">IF('Service Types'!G425="","",'Service Types'!G425)</f>
        <v>1</v>
      </c>
      <c r="H353" s="5" t="n">
        <f aca="false">IF('Service Types'!H425="","",'Service Types'!H425)</f>
        <v>97</v>
      </c>
      <c r="I353" s="6" t="n">
        <f aca="false">IF('Service Types'!I425="","",'Service Types'!I425)</f>
        <v>1</v>
      </c>
      <c r="J353" s="6" t="n">
        <f aca="false">IF('Service Types'!J425="","",'Service Types'!J425)</f>
        <v>4.7</v>
      </c>
      <c r="K353" s="6" t="n">
        <f aca="false">IF('Service Types'!K425="","",'Service Types'!K425)</f>
        <v>17</v>
      </c>
    </row>
    <row r="354" customFormat="false" ht="15" hidden="false" customHeight="false" outlineLevel="0" collapsed="false">
      <c r="A354" s="16" t="n">
        <v>353</v>
      </c>
      <c r="B354" s="4" t="s">
        <v>765</v>
      </c>
      <c r="C354" s="4" t="str">
        <f aca="false">IF('Service Types'!B685="","",'Service Types'!B685)</f>
        <v>PDS - Environmental Risk &amp; Resilience</v>
      </c>
      <c r="D354" s="5" t="n">
        <f aca="false">IF('Service Types'!E685="","",'Service Types'!E685)</f>
        <v>26</v>
      </c>
      <c r="E354" s="5" t="n">
        <f aca="false">IF('Service Types'!D685="","",'Service Types'!D685)</f>
        <v>26</v>
      </c>
      <c r="F354" s="5" t="n">
        <f aca="false">IF('Service Types'!F685="","",'Service Types'!F685)</f>
        <v>1</v>
      </c>
      <c r="G354" s="5" t="n">
        <f aca="false">IF('Service Types'!G685="","",'Service Types'!G685)</f>
        <v>1</v>
      </c>
      <c r="H354" s="5" t="n">
        <f aca="false">IF('Service Types'!H685="","",'Service Types'!H685)</f>
        <v>25</v>
      </c>
      <c r="I354" s="6" t="n">
        <f aca="false">IF('Service Types'!I685="","",'Service Types'!I685)</f>
        <v>3</v>
      </c>
      <c r="J354" s="6" t="n">
        <f aca="false">IF('Service Types'!J685="","",'Service Types'!J685)</f>
        <v>7.9</v>
      </c>
      <c r="K354" s="6" t="n">
        <f aca="false">IF('Service Types'!K685="","",'Service Types'!K685)</f>
        <v>12</v>
      </c>
    </row>
    <row r="355" customFormat="false" ht="15" hidden="false" customHeight="false" outlineLevel="0" collapsed="false">
      <c r="A355" s="16" t="n">
        <v>354</v>
      </c>
      <c r="B355" s="4" t="s">
        <v>477</v>
      </c>
      <c r="C355" s="4" t="str">
        <f aca="false">IF('Service Types'!B414="","",'Service Types'!B414)</f>
        <v>OS - Mobility</v>
      </c>
      <c r="D355" s="5" t="n">
        <f aca="false">IF('Service Types'!E414="","",'Service Types'!E414)</f>
        <v>25</v>
      </c>
      <c r="E355" s="5" t="n">
        <f aca="false">IF('Service Types'!D414="","",'Service Types'!D414)</f>
        <v>268</v>
      </c>
      <c r="F355" s="5" t="n">
        <f aca="false">IF('Service Types'!F414="","",'Service Types'!F414)</f>
        <v>8</v>
      </c>
      <c r="G355" s="5" t="n">
        <f aca="false">IF('Service Types'!G414="","",'Service Types'!G414)</f>
        <v>8</v>
      </c>
      <c r="H355" s="5" t="n">
        <f aca="false">IF('Service Types'!H414="","",'Service Types'!H414)</f>
        <v>260</v>
      </c>
      <c r="I355" s="6" t="n">
        <f aca="false">IF('Service Types'!I414="","",'Service Types'!I414)</f>
        <v>0</v>
      </c>
      <c r="J355" s="6" t="n">
        <f aca="false">IF('Service Types'!J414="","",'Service Types'!J414)</f>
        <v>1.5</v>
      </c>
      <c r="K355" s="6" t="n">
        <f aca="false">IF('Service Types'!K414="","",'Service Types'!K414)</f>
        <v>4</v>
      </c>
    </row>
    <row r="356" customFormat="false" ht="15" hidden="false" customHeight="false" outlineLevel="0" collapsed="false">
      <c r="A356" s="16" t="n">
        <v>355</v>
      </c>
      <c r="B356" s="4" t="s">
        <v>290</v>
      </c>
      <c r="C356" s="4" t="str">
        <f aca="false">IF('Service Types'!B245="","",'Service Types'!B245)</f>
        <v>CS - Recreation and Social Programs</v>
      </c>
      <c r="D356" s="5" t="n">
        <f aca="false">IF('Service Types'!E245="","",'Service Types'!E245)</f>
        <v>25</v>
      </c>
      <c r="E356" s="5" t="n">
        <f aca="false">IF('Service Types'!D245="","",'Service Types'!D245)</f>
        <v>180</v>
      </c>
      <c r="F356" s="5" t="n">
        <f aca="false">IF('Service Types'!F245="","",'Service Types'!F245)</f>
        <v>0</v>
      </c>
      <c r="G356" s="5" t="n">
        <f aca="false">IF('Service Types'!G245="","",'Service Types'!G245)</f>
        <v>0</v>
      </c>
      <c r="H356" s="5" t="n">
        <f aca="false">IF('Service Types'!H245="","",'Service Types'!H245)</f>
        <v>180</v>
      </c>
      <c r="I356" s="6" t="n">
        <f aca="false">IF('Service Types'!I245="","",'Service Types'!I245)</f>
        <v>5</v>
      </c>
      <c r="J356" s="6" t="n">
        <f aca="false">IF('Service Types'!J245="","",'Service Types'!J245)</f>
        <v>6.1</v>
      </c>
      <c r="K356" s="6" t="n">
        <f aca="false">IF('Service Types'!K245="","",'Service Types'!K245)</f>
        <v>11</v>
      </c>
    </row>
    <row r="357" customFormat="false" ht="15" hidden="false" customHeight="false" outlineLevel="0" collapsed="false">
      <c r="A357" s="16" t="n">
        <v>356</v>
      </c>
      <c r="B357" s="4" t="s">
        <v>107</v>
      </c>
      <c r="C357" s="4" t="str">
        <f aca="false">IF('Service Types'!B68="","",'Service Types'!B68)</f>
        <v>CS - Calgary Fire</v>
      </c>
      <c r="D357" s="5" t="n">
        <f aca="false">IF('Service Types'!E68="","",'Service Types'!E68)</f>
        <v>25</v>
      </c>
      <c r="E357" s="5" t="n">
        <f aca="false">IF('Service Types'!D68="","",'Service Types'!D68)</f>
        <v>164</v>
      </c>
      <c r="F357" s="5" t="n">
        <f aca="false">IF('Service Types'!F68="","",'Service Types'!F68)</f>
        <v>1</v>
      </c>
      <c r="G357" s="5" t="n">
        <f aca="false">IF('Service Types'!G68="","",'Service Types'!G68)</f>
        <v>0</v>
      </c>
      <c r="H357" s="5" t="n">
        <f aca="false">IF('Service Types'!H68="","",'Service Types'!H68)</f>
        <v>163</v>
      </c>
      <c r="I357" s="6" t="n">
        <f aca="false">IF('Service Types'!I68="","",'Service Types'!I68)</f>
        <v>4</v>
      </c>
      <c r="J357" s="6" t="n">
        <f aca="false">IF('Service Types'!J68="","",'Service Types'!J68)</f>
        <v>6.5</v>
      </c>
      <c r="K357" s="6" t="n">
        <f aca="false">IF('Service Types'!K68="","",'Service Types'!K68)</f>
        <v>13</v>
      </c>
    </row>
    <row r="358" customFormat="false" ht="15" hidden="false" customHeight="false" outlineLevel="0" collapsed="false">
      <c r="A358" s="16" t="n">
        <v>357</v>
      </c>
      <c r="B358" s="4" t="s">
        <v>562</v>
      </c>
      <c r="C358" s="4" t="str">
        <f aca="false">IF('Service Types'!B497="","",'Service Types'!B497)</f>
        <v>OS - Parks and Open Spaces</v>
      </c>
      <c r="D358" s="5" t="n">
        <f aca="false">IF('Service Types'!E497="","",'Service Types'!E497)</f>
        <v>25</v>
      </c>
      <c r="E358" s="5" t="n">
        <f aca="false">IF('Service Types'!D497="","",'Service Types'!D497)</f>
        <v>77</v>
      </c>
      <c r="F358" s="5" t="n">
        <f aca="false">IF('Service Types'!F497="","",'Service Types'!F497)</f>
        <v>1</v>
      </c>
      <c r="G358" s="5" t="n">
        <f aca="false">IF('Service Types'!G497="","",'Service Types'!G497)</f>
        <v>0</v>
      </c>
      <c r="H358" s="5" t="n">
        <f aca="false">IF('Service Types'!H497="","",'Service Types'!H497)</f>
        <v>76</v>
      </c>
      <c r="I358" s="6" t="n">
        <f aca="false">IF('Service Types'!I497="","",'Service Types'!I497)</f>
        <v>8</v>
      </c>
      <c r="J358" s="6" t="n">
        <f aca="false">IF('Service Types'!J497="","",'Service Types'!J497)</f>
        <v>11.5</v>
      </c>
      <c r="K358" s="6" t="n">
        <f aca="false">IF('Service Types'!K497="","",'Service Types'!K497)</f>
        <v>24</v>
      </c>
    </row>
    <row r="359" customFormat="false" ht="15" hidden="false" customHeight="false" outlineLevel="0" collapsed="false">
      <c r="A359" s="16" t="n">
        <v>358</v>
      </c>
      <c r="B359" s="4" t="s">
        <v>682</v>
      </c>
      <c r="C359" s="4" t="str">
        <f aca="false">IF('Service Types'!B607="","",'Service Types'!B607)</f>
        <v>PDS - City and Regional Planning</v>
      </c>
      <c r="D359" s="5" t="n">
        <f aca="false">IF('Service Types'!E607="","",'Service Types'!E607)</f>
        <v>25</v>
      </c>
      <c r="E359" s="5" t="n">
        <f aca="false">IF('Service Types'!D607="","",'Service Types'!D607)</f>
        <v>41</v>
      </c>
      <c r="F359" s="5" t="n">
        <f aca="false">IF('Service Types'!F607="","",'Service Types'!F607)</f>
        <v>1</v>
      </c>
      <c r="G359" s="5" t="n">
        <f aca="false">IF('Service Types'!G607="","",'Service Types'!G607)</f>
        <v>0</v>
      </c>
      <c r="H359" s="5" t="n">
        <f aca="false">IF('Service Types'!H607="","",'Service Types'!H607)</f>
        <v>40</v>
      </c>
      <c r="I359" s="6" t="n">
        <f aca="false">IF('Service Types'!I607="","",'Service Types'!I607)</f>
        <v>6</v>
      </c>
      <c r="J359" s="6" t="n">
        <f aca="false">IF('Service Types'!J607="","",'Service Types'!J607)</f>
        <v>36.4</v>
      </c>
      <c r="K359" s="6" t="n">
        <f aca="false">IF('Service Types'!K607="","",'Service Types'!K607)</f>
        <v>75</v>
      </c>
    </row>
    <row r="360" customFormat="false" ht="15" hidden="false" customHeight="false" outlineLevel="0" collapsed="false">
      <c r="A360" s="16" t="n">
        <v>359</v>
      </c>
      <c r="B360" s="4" t="s">
        <v>23</v>
      </c>
      <c r="C360" s="4" t="str">
        <f aca="false">IF('Service Types'!B4="","",'Service Types'!B4)</f>
        <v>CEO - Chief Housing Office</v>
      </c>
      <c r="D360" s="5" t="n">
        <f aca="false">IF('Service Types'!E4="","",'Service Types'!E4)</f>
        <v>25</v>
      </c>
      <c r="E360" s="5" t="n">
        <f aca="false">IF('Service Types'!D4="","",'Service Types'!D4)</f>
        <v>25</v>
      </c>
      <c r="F360" s="5" t="n">
        <f aca="false">IF('Service Types'!F4="","",'Service Types'!F4)</f>
        <v>0</v>
      </c>
      <c r="G360" s="5" t="n">
        <f aca="false">IF('Service Types'!G4="","",'Service Types'!G4)</f>
        <v>0</v>
      </c>
      <c r="H360" s="5" t="n">
        <f aca="false">IF('Service Types'!H4="","",'Service Types'!H4)</f>
        <v>25</v>
      </c>
      <c r="I360" s="6" t="n">
        <f aca="false">IF('Service Types'!I4="","",'Service Types'!I4)</f>
        <v>6</v>
      </c>
      <c r="J360" s="6" t="n">
        <f aca="false">IF('Service Types'!J4="","",'Service Types'!J4)</f>
        <v>21.6</v>
      </c>
      <c r="K360" s="6" t="n">
        <f aca="false">IF('Service Types'!K4="","",'Service Types'!K4)</f>
        <v>62</v>
      </c>
    </row>
    <row r="361" customFormat="false" ht="15" hidden="false" customHeight="false" outlineLevel="0" collapsed="false">
      <c r="A361" s="16" t="n">
        <v>360</v>
      </c>
      <c r="B361" s="4" t="s">
        <v>528</v>
      </c>
      <c r="C361" s="4" t="str">
        <f aca="false">IF('Service Types'!B463="","",'Service Types'!B463)</f>
        <v>OS - Parks and Open Spaces</v>
      </c>
      <c r="D361" s="5" t="n">
        <f aca="false">IF('Service Types'!E463="","",'Service Types'!E463)</f>
        <v>24</v>
      </c>
      <c r="E361" s="5" t="n">
        <f aca="false">IF('Service Types'!D463="","",'Service Types'!D463)</f>
        <v>1760</v>
      </c>
      <c r="F361" s="5" t="n">
        <f aca="false">IF('Service Types'!F463="","",'Service Types'!F463)</f>
        <v>24</v>
      </c>
      <c r="G361" s="5" t="n">
        <f aca="false">IF('Service Types'!G463="","",'Service Types'!G463)</f>
        <v>24</v>
      </c>
      <c r="H361" s="5" t="n">
        <f aca="false">IF('Service Types'!H463="","",'Service Types'!H463)</f>
        <v>1736</v>
      </c>
      <c r="I361" s="6" t="n">
        <f aca="false">IF('Service Types'!I463="","",'Service Types'!I463)</f>
        <v>1</v>
      </c>
      <c r="J361" s="6" t="n">
        <f aca="false">IF('Service Types'!J463="","",'Service Types'!J463)</f>
        <v>3.6</v>
      </c>
      <c r="K361" s="6" t="n">
        <f aca="false">IF('Service Types'!K463="","",'Service Types'!K463)</f>
        <v>6</v>
      </c>
    </row>
    <row r="362" customFormat="false" ht="15" hidden="false" customHeight="false" outlineLevel="0" collapsed="false">
      <c r="A362" s="16" t="n">
        <v>361</v>
      </c>
      <c r="B362" s="4" t="s">
        <v>294</v>
      </c>
      <c r="C362" s="4" t="str">
        <f aca="false">IF('Service Types'!B249="","",'Service Types'!B249)</f>
        <v>CS - Recreation and Social Programs</v>
      </c>
      <c r="D362" s="5" t="n">
        <f aca="false">IF('Service Types'!E249="","",'Service Types'!E249)</f>
        <v>24</v>
      </c>
      <c r="E362" s="5" t="n">
        <f aca="false">IF('Service Types'!D249="","",'Service Types'!D249)</f>
        <v>170</v>
      </c>
      <c r="F362" s="5" t="n">
        <f aca="false">IF('Service Types'!F249="","",'Service Types'!F249)</f>
        <v>0</v>
      </c>
      <c r="G362" s="5" t="n">
        <f aca="false">IF('Service Types'!G249="","",'Service Types'!G249)</f>
        <v>0</v>
      </c>
      <c r="H362" s="5" t="n">
        <f aca="false">IF('Service Types'!H249="","",'Service Types'!H249)</f>
        <v>170</v>
      </c>
      <c r="I362" s="6" t="n">
        <f aca="false">IF('Service Types'!I249="","",'Service Types'!I249)</f>
        <v>2.5</v>
      </c>
      <c r="J362" s="6" t="n">
        <f aca="false">IF('Service Types'!J249="","",'Service Types'!J249)</f>
        <v>8.4</v>
      </c>
      <c r="K362" s="6" t="n">
        <f aca="false">IF('Service Types'!K249="","",'Service Types'!K249)</f>
        <v>19</v>
      </c>
    </row>
    <row r="363" customFormat="false" ht="15" hidden="false" customHeight="false" outlineLevel="0" collapsed="false">
      <c r="A363" s="16" t="n">
        <v>362</v>
      </c>
      <c r="B363" s="4" t="s">
        <v>689</v>
      </c>
      <c r="C363" s="4" t="str">
        <f aca="false">IF('Service Types'!B613="","",'Service Types'!B613)</f>
        <v>PDS - Climate and Environment</v>
      </c>
      <c r="D363" s="5" t="n">
        <f aca="false">IF('Service Types'!E613="","",'Service Types'!E613)</f>
        <v>24</v>
      </c>
      <c r="E363" s="5" t="n">
        <f aca="false">IF('Service Types'!D613="","",'Service Types'!D613)</f>
        <v>120</v>
      </c>
      <c r="F363" s="5" t="n">
        <f aca="false">IF('Service Types'!F613="","",'Service Types'!F613)</f>
        <v>0</v>
      </c>
      <c r="G363" s="5" t="n">
        <f aca="false">IF('Service Types'!G613="","",'Service Types'!G613)</f>
        <v>0</v>
      </c>
      <c r="H363" s="5" t="n">
        <f aca="false">IF('Service Types'!H613="","",'Service Types'!H613)</f>
        <v>120</v>
      </c>
      <c r="I363" s="6" t="n">
        <f aca="false">IF('Service Types'!I613="","",'Service Types'!I613)</f>
        <v>3</v>
      </c>
      <c r="J363" s="6" t="n">
        <f aca="false">IF('Service Types'!J613="","",'Service Types'!J613)</f>
        <v>7</v>
      </c>
      <c r="K363" s="6" t="n">
        <f aca="false">IF('Service Types'!K613="","",'Service Types'!K613)</f>
        <v>11</v>
      </c>
    </row>
    <row r="364" customFormat="false" ht="15" hidden="false" customHeight="false" outlineLevel="0" collapsed="false">
      <c r="A364" s="16" t="n">
        <v>363</v>
      </c>
      <c r="B364" s="4" t="s">
        <v>223</v>
      </c>
      <c r="C364" s="4" t="str">
        <f aca="false">IF('Service Types'!B180="","",'Service Types'!B180)</f>
        <v>CS - Emergency Management and Community Safety</v>
      </c>
      <c r="D364" s="5" t="n">
        <f aca="false">IF('Service Types'!E180="","",'Service Types'!E180)</f>
        <v>24</v>
      </c>
      <c r="E364" s="5" t="n">
        <f aca="false">IF('Service Types'!D180="","",'Service Types'!D180)</f>
        <v>97</v>
      </c>
      <c r="F364" s="5" t="n">
        <f aca="false">IF('Service Types'!F180="","",'Service Types'!F180)</f>
        <v>0</v>
      </c>
      <c r="G364" s="5" t="n">
        <f aca="false">IF('Service Types'!G180="","",'Service Types'!G180)</f>
        <v>0</v>
      </c>
      <c r="H364" s="5" t="n">
        <f aca="false">IF('Service Types'!H180="","",'Service Types'!H180)</f>
        <v>97</v>
      </c>
      <c r="I364" s="6" t="n">
        <f aca="false">IF('Service Types'!I180="","",'Service Types'!I180)</f>
        <v>0</v>
      </c>
      <c r="J364" s="6" t="n">
        <f aca="false">IF('Service Types'!J180="","",'Service Types'!J180)</f>
        <v>10.5</v>
      </c>
      <c r="K364" s="6" t="n">
        <f aca="false">IF('Service Types'!K180="","",'Service Types'!K180)</f>
        <v>28</v>
      </c>
    </row>
    <row r="365" customFormat="false" ht="15" hidden="false" customHeight="false" outlineLevel="0" collapsed="false">
      <c r="A365" s="16" t="n">
        <v>364</v>
      </c>
      <c r="B365" s="4" t="s">
        <v>365</v>
      </c>
      <c r="C365" s="4" t="str">
        <f aca="false">IF('Service Types'!B312="","",'Service Types'!B312)</f>
        <v>IS - Public Spaces Delivery</v>
      </c>
      <c r="D365" s="5" t="n">
        <f aca="false">IF('Service Types'!E312="","",'Service Types'!E312)</f>
        <v>24</v>
      </c>
      <c r="E365" s="5" t="n">
        <f aca="false">IF('Service Types'!D312="","",'Service Types'!D312)</f>
        <v>39</v>
      </c>
      <c r="F365" s="5" t="n">
        <f aca="false">IF('Service Types'!F312="","",'Service Types'!F312)</f>
        <v>1</v>
      </c>
      <c r="G365" s="5" t="n">
        <f aca="false">IF('Service Types'!G312="","",'Service Types'!G312)</f>
        <v>0</v>
      </c>
      <c r="H365" s="5" t="n">
        <f aca="false">IF('Service Types'!H312="","",'Service Types'!H312)</f>
        <v>38</v>
      </c>
      <c r="I365" s="6" t="n">
        <f aca="false">IF('Service Types'!I312="","",'Service Types'!I312)</f>
        <v>6</v>
      </c>
      <c r="J365" s="6" t="n">
        <f aca="false">IF('Service Types'!J312="","",'Service Types'!J312)</f>
        <v>9.7</v>
      </c>
      <c r="K365" s="6" t="n">
        <f aca="false">IF('Service Types'!K312="","",'Service Types'!K312)</f>
        <v>16</v>
      </c>
    </row>
    <row r="366" customFormat="false" ht="15" hidden="false" customHeight="false" outlineLevel="0" collapsed="false">
      <c r="A366" s="16" t="n">
        <v>365</v>
      </c>
      <c r="B366" s="4" t="s">
        <v>385</v>
      </c>
      <c r="C366" s="4" t="str">
        <f aca="false">IF('Service Types'!B330="","",'Service Types'!B330)</f>
        <v>IS - Utilities Delivery</v>
      </c>
      <c r="D366" s="5" t="n">
        <f aca="false">IF('Service Types'!E330="","",'Service Types'!E330)</f>
        <v>23</v>
      </c>
      <c r="E366" s="5" t="n">
        <f aca="false">IF('Service Types'!D330="","",'Service Types'!D330)</f>
        <v>185</v>
      </c>
      <c r="F366" s="5" t="n">
        <f aca="false">IF('Service Types'!F330="","",'Service Types'!F330)</f>
        <v>0</v>
      </c>
      <c r="G366" s="5" t="n">
        <f aca="false">IF('Service Types'!G330="","",'Service Types'!G330)</f>
        <v>0</v>
      </c>
      <c r="H366" s="5" t="n">
        <f aca="false">IF('Service Types'!H330="","",'Service Types'!H330)</f>
        <v>185</v>
      </c>
      <c r="I366" s="6" t="n">
        <f aca="false">IF('Service Types'!I330="","",'Service Types'!I330)</f>
        <v>6</v>
      </c>
      <c r="J366" s="6" t="n">
        <f aca="false">IF('Service Types'!J330="","",'Service Types'!J330)</f>
        <v>20</v>
      </c>
      <c r="K366" s="6" t="n">
        <f aca="false">IF('Service Types'!K330="","",'Service Types'!K330)</f>
        <v>21</v>
      </c>
    </row>
    <row r="367" customFormat="false" ht="15" hidden="false" customHeight="false" outlineLevel="0" collapsed="false">
      <c r="A367" s="16" t="n">
        <v>366</v>
      </c>
      <c r="B367" s="4" t="s">
        <v>687</v>
      </c>
      <c r="C367" s="4" t="str">
        <f aca="false">IF('Service Types'!B611="","",'Service Types'!B611)</f>
        <v>PDS - Climate and Environment</v>
      </c>
      <c r="D367" s="5" t="n">
        <f aca="false">IF('Service Types'!E611="","",'Service Types'!E611)</f>
        <v>23</v>
      </c>
      <c r="E367" s="5" t="n">
        <f aca="false">IF('Service Types'!D611="","",'Service Types'!D611)</f>
        <v>174</v>
      </c>
      <c r="F367" s="5" t="n">
        <f aca="false">IF('Service Types'!F611="","",'Service Types'!F611)</f>
        <v>0</v>
      </c>
      <c r="G367" s="5" t="n">
        <f aca="false">IF('Service Types'!G611="","",'Service Types'!G611)</f>
        <v>0</v>
      </c>
      <c r="H367" s="5" t="n">
        <f aca="false">IF('Service Types'!H611="","",'Service Types'!H611)</f>
        <v>174</v>
      </c>
      <c r="I367" s="6" t="n">
        <f aca="false">IF('Service Types'!I611="","",'Service Types'!I611)</f>
        <v>4</v>
      </c>
      <c r="J367" s="6" t="n">
        <f aca="false">IF('Service Types'!J611="","",'Service Types'!J611)</f>
        <v>12.4</v>
      </c>
      <c r="K367" s="6" t="n">
        <f aca="false">IF('Service Types'!K611="","",'Service Types'!K611)</f>
        <v>16</v>
      </c>
    </row>
    <row r="368" customFormat="false" ht="15" hidden="false" customHeight="false" outlineLevel="0" collapsed="false">
      <c r="A368" s="16" t="n">
        <v>367</v>
      </c>
      <c r="B368" s="4" t="s">
        <v>487</v>
      </c>
      <c r="C368" s="4" t="str">
        <f aca="false">IF('Service Types'!B424="","",'Service Types'!B424)</f>
        <v>OS - Mobility</v>
      </c>
      <c r="D368" s="5" t="n">
        <f aca="false">IF('Service Types'!E424="","",'Service Types'!E424)</f>
        <v>23</v>
      </c>
      <c r="E368" s="5" t="n">
        <f aca="false">IF('Service Types'!D424="","",'Service Types'!D424)</f>
        <v>103</v>
      </c>
      <c r="F368" s="5" t="n">
        <f aca="false">IF('Service Types'!F424="","",'Service Types'!F424)</f>
        <v>18</v>
      </c>
      <c r="G368" s="5" t="n">
        <f aca="false">IF('Service Types'!G424="","",'Service Types'!G424)</f>
        <v>17</v>
      </c>
      <c r="H368" s="5" t="n">
        <f aca="false">IF('Service Types'!H424="","",'Service Types'!H424)</f>
        <v>85</v>
      </c>
      <c r="I368" s="6" t="n">
        <f aca="false">IF('Service Types'!I424="","",'Service Types'!I424)</f>
        <v>2</v>
      </c>
      <c r="J368" s="6" t="n">
        <f aca="false">IF('Service Types'!J424="","",'Service Types'!J424)</f>
        <v>33</v>
      </c>
      <c r="K368" s="6" t="n">
        <f aca="false">IF('Service Types'!K424="","",'Service Types'!K424)</f>
        <v>26</v>
      </c>
    </row>
    <row r="369" customFormat="false" ht="15" hidden="false" customHeight="false" outlineLevel="0" collapsed="false">
      <c r="A369" s="16" t="n">
        <v>368</v>
      </c>
      <c r="B369" s="4" t="s">
        <v>489</v>
      </c>
      <c r="C369" s="4" t="str">
        <f aca="false">IF('Service Types'!B426="","",'Service Types'!B426)</f>
        <v>OS - Mobility</v>
      </c>
      <c r="D369" s="5" t="n">
        <f aca="false">IF('Service Types'!E426="","",'Service Types'!E426)</f>
        <v>23</v>
      </c>
      <c r="E369" s="5" t="n">
        <f aca="false">IF('Service Types'!D426="","",'Service Types'!D426)</f>
        <v>95</v>
      </c>
      <c r="F369" s="5" t="n">
        <f aca="false">IF('Service Types'!F426="","",'Service Types'!F426)</f>
        <v>70</v>
      </c>
      <c r="G369" s="5" t="n">
        <f aca="false">IF('Service Types'!G426="","",'Service Types'!G426)</f>
        <v>65</v>
      </c>
      <c r="H369" s="5" t="n">
        <f aca="false">IF('Service Types'!H426="","",'Service Types'!H426)</f>
        <v>25</v>
      </c>
      <c r="I369" s="6" t="n">
        <f aca="false">IF('Service Types'!I426="","",'Service Types'!I426)</f>
        <v>143</v>
      </c>
      <c r="J369" s="6" t="n">
        <f aca="false">IF('Service Types'!J426="","",'Service Types'!J426)</f>
        <v>208.9</v>
      </c>
      <c r="K369" s="6" t="n">
        <f aca="false">IF('Service Types'!K426="","",'Service Types'!K426)</f>
        <v>595</v>
      </c>
    </row>
    <row r="370" customFormat="false" ht="15" hidden="false" customHeight="false" outlineLevel="0" collapsed="false">
      <c r="A370" s="16" t="n">
        <v>369</v>
      </c>
      <c r="B370" s="4" t="s">
        <v>752</v>
      </c>
      <c r="C370" s="4" t="str">
        <f aca="false">IF('Service Types'!B674="","",'Service Types'!B674)</f>
        <v>PDS - Development, Business and Building Services</v>
      </c>
      <c r="D370" s="5" t="n">
        <f aca="false">IF('Service Types'!E674="","",'Service Types'!E674)</f>
        <v>23</v>
      </c>
      <c r="E370" s="5" t="n">
        <f aca="false">IF('Service Types'!D674="","",'Service Types'!D674)</f>
        <v>25</v>
      </c>
      <c r="F370" s="5" t="n">
        <f aca="false">IF('Service Types'!F674="","",'Service Types'!F674)</f>
        <v>0</v>
      </c>
      <c r="G370" s="5" t="n">
        <f aca="false">IF('Service Types'!G674="","",'Service Types'!G674)</f>
        <v>0</v>
      </c>
      <c r="H370" s="5" t="n">
        <f aca="false">IF('Service Types'!H674="","",'Service Types'!H674)</f>
        <v>25</v>
      </c>
      <c r="I370" s="6" t="n">
        <f aca="false">IF('Service Types'!I674="","",'Service Types'!I674)</f>
        <v>0</v>
      </c>
      <c r="J370" s="6" t="n">
        <f aca="false">IF('Service Types'!J674="","",'Service Types'!J674)</f>
        <v>0.5</v>
      </c>
      <c r="K370" s="6" t="n">
        <f aca="false">IF('Service Types'!K674="","",'Service Types'!K674)</f>
        <v>1</v>
      </c>
    </row>
    <row r="371" customFormat="false" ht="15" hidden="false" customHeight="false" outlineLevel="0" collapsed="false">
      <c r="A371" s="16" t="n">
        <v>370</v>
      </c>
      <c r="B371" s="4" t="s">
        <v>219</v>
      </c>
      <c r="C371" s="4" t="str">
        <f aca="false">IF('Service Types'!B176="","",'Service Types'!B176)</f>
        <v>CS - Emergency Management and Community Safety</v>
      </c>
      <c r="D371" s="5" t="n">
        <f aca="false">IF('Service Types'!E176="","",'Service Types'!E176)</f>
        <v>22</v>
      </c>
      <c r="E371" s="5" t="n">
        <f aca="false">IF('Service Types'!D176="","",'Service Types'!D176)</f>
        <v>123</v>
      </c>
      <c r="F371" s="5" t="n">
        <f aca="false">IF('Service Types'!F176="","",'Service Types'!F176)</f>
        <v>0</v>
      </c>
      <c r="G371" s="5" t="n">
        <f aca="false">IF('Service Types'!G176="","",'Service Types'!G176)</f>
        <v>0</v>
      </c>
      <c r="H371" s="5" t="n">
        <f aca="false">IF('Service Types'!H176="","",'Service Types'!H176)</f>
        <v>123</v>
      </c>
      <c r="I371" s="6" t="n">
        <f aca="false">IF('Service Types'!I176="","",'Service Types'!I176)</f>
        <v>2</v>
      </c>
      <c r="J371" s="6" t="n">
        <f aca="false">IF('Service Types'!J176="","",'Service Types'!J176)</f>
        <v>5.8</v>
      </c>
      <c r="K371" s="6" t="n">
        <f aca="false">IF('Service Types'!K176="","",'Service Types'!K176)</f>
        <v>12</v>
      </c>
    </row>
    <row r="372" customFormat="false" ht="15" hidden="false" customHeight="false" outlineLevel="0" collapsed="false">
      <c r="A372" s="16" t="n">
        <v>371</v>
      </c>
      <c r="B372" s="4" t="s">
        <v>230</v>
      </c>
      <c r="C372" s="4" t="str">
        <f aca="false">IF('Service Types'!B187="","",'Service Types'!B187)</f>
        <v>CS - Emergency Management and Community Safety</v>
      </c>
      <c r="D372" s="5" t="n">
        <f aca="false">IF('Service Types'!E187="","",'Service Types'!E187)</f>
        <v>22</v>
      </c>
      <c r="E372" s="5" t="n">
        <f aca="false">IF('Service Types'!D187="","",'Service Types'!D187)</f>
        <v>46</v>
      </c>
      <c r="F372" s="5" t="n">
        <f aca="false">IF('Service Types'!F187="","",'Service Types'!F187)</f>
        <v>1</v>
      </c>
      <c r="G372" s="5" t="n">
        <f aca="false">IF('Service Types'!G187="","",'Service Types'!G187)</f>
        <v>0</v>
      </c>
      <c r="H372" s="5" t="n">
        <f aca="false">IF('Service Types'!H187="","",'Service Types'!H187)</f>
        <v>45</v>
      </c>
      <c r="I372" s="6" t="n">
        <f aca="false">IF('Service Types'!I187="","",'Service Types'!I187)</f>
        <v>3</v>
      </c>
      <c r="J372" s="6" t="n">
        <f aca="false">IF('Service Types'!J187="","",'Service Types'!J187)</f>
        <v>4.3</v>
      </c>
      <c r="K372" s="6" t="n">
        <f aca="false">IF('Service Types'!K187="","",'Service Types'!K187)</f>
        <v>8</v>
      </c>
    </row>
    <row r="373" customFormat="false" ht="15" hidden="false" customHeight="false" outlineLevel="0" collapsed="false">
      <c r="A373" s="16" t="n">
        <v>372</v>
      </c>
      <c r="B373" s="4" t="s">
        <v>592</v>
      </c>
      <c r="C373" s="4" t="str">
        <f aca="false">IF('Service Types'!B526="","",'Service Types'!B526)</f>
        <v>OS - Waste and Recycling Services</v>
      </c>
      <c r="D373" s="5" t="n">
        <f aca="false">IF('Service Types'!E526="","",'Service Types'!E526)</f>
        <v>21</v>
      </c>
      <c r="E373" s="5" t="n">
        <f aca="false">IF('Service Types'!D526="","",'Service Types'!D526)</f>
        <v>129</v>
      </c>
      <c r="F373" s="5" t="n">
        <f aca="false">IF('Service Types'!F526="","",'Service Types'!F526)</f>
        <v>0</v>
      </c>
      <c r="G373" s="5" t="n">
        <f aca="false">IF('Service Types'!G526="","",'Service Types'!G526)</f>
        <v>0</v>
      </c>
      <c r="H373" s="5" t="n">
        <f aca="false">IF('Service Types'!H526="","",'Service Types'!H526)</f>
        <v>129</v>
      </c>
      <c r="I373" s="6" t="n">
        <f aca="false">IF('Service Types'!I526="","",'Service Types'!I526)</f>
        <v>1</v>
      </c>
      <c r="J373" s="6" t="n">
        <f aca="false">IF('Service Types'!J526="","",'Service Types'!J526)</f>
        <v>1.8</v>
      </c>
      <c r="K373" s="6" t="n">
        <f aca="false">IF('Service Types'!K526="","",'Service Types'!K526)</f>
        <v>4</v>
      </c>
    </row>
    <row r="374" customFormat="false" ht="15" hidden="false" customHeight="false" outlineLevel="0" collapsed="false">
      <c r="A374" s="16" t="n">
        <v>373</v>
      </c>
      <c r="B374" s="4" t="s">
        <v>503</v>
      </c>
      <c r="C374" s="4" t="str">
        <f aca="false">IF('Service Types'!B440="","",'Service Types'!B440)</f>
        <v>OS - Operational Excellence</v>
      </c>
      <c r="D374" s="5" t="n">
        <f aca="false">IF('Service Types'!E440="","",'Service Types'!E440)</f>
        <v>21</v>
      </c>
      <c r="E374" s="5" t="n">
        <f aca="false">IF('Service Types'!D440="","",'Service Types'!D440)</f>
        <v>92</v>
      </c>
      <c r="F374" s="5" t="n">
        <f aca="false">IF('Service Types'!F440="","",'Service Types'!F440)</f>
        <v>2</v>
      </c>
      <c r="G374" s="5" t="n">
        <f aca="false">IF('Service Types'!G440="","",'Service Types'!G440)</f>
        <v>0</v>
      </c>
      <c r="H374" s="5" t="n">
        <f aca="false">IF('Service Types'!H440="","",'Service Types'!H440)</f>
        <v>90</v>
      </c>
      <c r="I374" s="6" t="n">
        <f aca="false">IF('Service Types'!I440="","",'Service Types'!I440)</f>
        <v>1</v>
      </c>
      <c r="J374" s="6" t="n">
        <f aca="false">IF('Service Types'!J440="","",'Service Types'!J440)</f>
        <v>5.2</v>
      </c>
      <c r="K374" s="6" t="n">
        <f aca="false">IF('Service Types'!K440="","",'Service Types'!K440)</f>
        <v>5</v>
      </c>
    </row>
    <row r="375" customFormat="false" ht="15" hidden="false" customHeight="false" outlineLevel="0" collapsed="false">
      <c r="A375" s="16" t="n">
        <v>374</v>
      </c>
      <c r="B375" s="4" t="s">
        <v>650</v>
      </c>
      <c r="C375" s="4" t="str">
        <f aca="false">IF('Service Types'!B582="","",'Service Types'!B582)</f>
        <v>OS - Water Services</v>
      </c>
      <c r="D375" s="5" t="n">
        <f aca="false">IF('Service Types'!E582="","",'Service Types'!E582)</f>
        <v>21</v>
      </c>
      <c r="E375" s="5" t="n">
        <f aca="false">IF('Service Types'!D582="","",'Service Types'!D582)</f>
        <v>40</v>
      </c>
      <c r="F375" s="5" t="n">
        <f aca="false">IF('Service Types'!F582="","",'Service Types'!F582)</f>
        <v>0</v>
      </c>
      <c r="G375" s="5" t="n">
        <f aca="false">IF('Service Types'!G582="","",'Service Types'!G582)</f>
        <v>0</v>
      </c>
      <c r="H375" s="5" t="n">
        <f aca="false">IF('Service Types'!H582="","",'Service Types'!H582)</f>
        <v>40</v>
      </c>
      <c r="I375" s="6" t="n">
        <f aca="false">IF('Service Types'!I582="","",'Service Types'!I582)</f>
        <v>1</v>
      </c>
      <c r="J375" s="6" t="n">
        <f aca="false">IF('Service Types'!J582="","",'Service Types'!J582)</f>
        <v>2.8</v>
      </c>
      <c r="K375" s="6" t="n">
        <f aca="false">IF('Service Types'!K582="","",'Service Types'!K582)</f>
        <v>5</v>
      </c>
    </row>
    <row r="376" customFormat="false" ht="15" hidden="false" customHeight="false" outlineLevel="0" collapsed="false">
      <c r="A376" s="16" t="n">
        <v>375</v>
      </c>
      <c r="B376" s="4" t="s">
        <v>366</v>
      </c>
      <c r="C376" s="4" t="str">
        <f aca="false">IF('Service Types'!B313="","",'Service Types'!B313)</f>
        <v>IS - Public Spaces Delivery</v>
      </c>
      <c r="D376" s="5" t="n">
        <f aca="false">IF('Service Types'!E313="","",'Service Types'!E313)</f>
        <v>21</v>
      </c>
      <c r="E376" s="5" t="n">
        <f aca="false">IF('Service Types'!D313="","",'Service Types'!D313)</f>
        <v>37</v>
      </c>
      <c r="F376" s="5" t="n">
        <f aca="false">IF('Service Types'!F313="","",'Service Types'!F313)</f>
        <v>0</v>
      </c>
      <c r="G376" s="5" t="n">
        <f aca="false">IF('Service Types'!G313="","",'Service Types'!G313)</f>
        <v>0</v>
      </c>
      <c r="H376" s="5" t="n">
        <f aca="false">IF('Service Types'!H313="","",'Service Types'!H313)</f>
        <v>37</v>
      </c>
      <c r="I376" s="6" t="n">
        <f aca="false">IF('Service Types'!I313="","",'Service Types'!I313)</f>
        <v>8</v>
      </c>
      <c r="J376" s="6" t="n">
        <f aca="false">IF('Service Types'!J313="","",'Service Types'!J313)</f>
        <v>14.6</v>
      </c>
      <c r="K376" s="6" t="n">
        <f aca="false">IF('Service Types'!K313="","",'Service Types'!K313)</f>
        <v>38</v>
      </c>
    </row>
    <row r="377" customFormat="false" ht="15" hidden="false" customHeight="false" outlineLevel="0" collapsed="false">
      <c r="A377" s="16" t="n">
        <v>376</v>
      </c>
      <c r="B377" s="4" t="s">
        <v>368</v>
      </c>
      <c r="C377" s="4" t="str">
        <f aca="false">IF('Service Types'!B315="","",'Service Types'!B315)</f>
        <v>IS - Public Spaces Delivery</v>
      </c>
      <c r="D377" s="5" t="n">
        <f aca="false">IF('Service Types'!E315="","",'Service Types'!E315)</f>
        <v>21</v>
      </c>
      <c r="E377" s="5" t="n">
        <f aca="false">IF('Service Types'!D315="","",'Service Types'!D315)</f>
        <v>28</v>
      </c>
      <c r="F377" s="5" t="n">
        <f aca="false">IF('Service Types'!F315="","",'Service Types'!F315)</f>
        <v>0</v>
      </c>
      <c r="G377" s="5" t="n">
        <f aca="false">IF('Service Types'!G315="","",'Service Types'!G315)</f>
        <v>0</v>
      </c>
      <c r="H377" s="5" t="n">
        <f aca="false">IF('Service Types'!H315="","",'Service Types'!H315)</f>
        <v>28</v>
      </c>
      <c r="I377" s="6" t="n">
        <f aca="false">IF('Service Types'!I315="","",'Service Types'!I315)</f>
        <v>2</v>
      </c>
      <c r="J377" s="6" t="n">
        <f aca="false">IF('Service Types'!J315="","",'Service Types'!J315)</f>
        <v>10.8</v>
      </c>
      <c r="K377" s="6" t="n">
        <f aca="false">IF('Service Types'!K315="","",'Service Types'!K315)</f>
        <v>24</v>
      </c>
    </row>
    <row r="378" customFormat="false" ht="15" hidden="false" customHeight="false" outlineLevel="0" collapsed="false">
      <c r="A378" s="16" t="n">
        <v>377</v>
      </c>
      <c r="B378" s="4" t="s">
        <v>221</v>
      </c>
      <c r="C378" s="4" t="str">
        <f aca="false">IF('Service Types'!B178="","",'Service Types'!B178)</f>
        <v>CS - Emergency Management and Community Safety</v>
      </c>
      <c r="D378" s="5" t="n">
        <f aca="false">IF('Service Types'!E178="","",'Service Types'!E178)</f>
        <v>20</v>
      </c>
      <c r="E378" s="5" t="n">
        <f aca="false">IF('Service Types'!D178="","",'Service Types'!D178)</f>
        <v>116</v>
      </c>
      <c r="F378" s="5" t="n">
        <f aca="false">IF('Service Types'!F178="","",'Service Types'!F178)</f>
        <v>1</v>
      </c>
      <c r="G378" s="5" t="n">
        <f aca="false">IF('Service Types'!G178="","",'Service Types'!G178)</f>
        <v>1</v>
      </c>
      <c r="H378" s="5" t="n">
        <f aca="false">IF('Service Types'!H178="","",'Service Types'!H178)</f>
        <v>115</v>
      </c>
      <c r="I378" s="6" t="n">
        <f aca="false">IF('Service Types'!I178="","",'Service Types'!I178)</f>
        <v>1</v>
      </c>
      <c r="J378" s="6" t="n">
        <f aca="false">IF('Service Types'!J178="","",'Service Types'!J178)</f>
        <v>6.7</v>
      </c>
      <c r="K378" s="6" t="n">
        <f aca="false">IF('Service Types'!K178="","",'Service Types'!K178)</f>
        <v>8</v>
      </c>
    </row>
    <row r="379" customFormat="false" ht="15" hidden="false" customHeight="false" outlineLevel="0" collapsed="false">
      <c r="A379" s="16" t="n">
        <v>378</v>
      </c>
      <c r="B379" s="4" t="s">
        <v>494</v>
      </c>
      <c r="C379" s="4" t="str">
        <f aca="false">IF('Service Types'!B431="","",'Service Types'!B431)</f>
        <v>OS - Mobility</v>
      </c>
      <c r="D379" s="5" t="n">
        <f aca="false">IF('Service Types'!E431="","",'Service Types'!E431)</f>
        <v>20</v>
      </c>
      <c r="E379" s="5" t="n">
        <f aca="false">IF('Service Types'!D431="","",'Service Types'!D431)</f>
        <v>69</v>
      </c>
      <c r="F379" s="5" t="n">
        <f aca="false">IF('Service Types'!F431="","",'Service Types'!F431)</f>
        <v>10</v>
      </c>
      <c r="G379" s="5" t="n">
        <f aca="false">IF('Service Types'!G431="","",'Service Types'!G431)</f>
        <v>9</v>
      </c>
      <c r="H379" s="5" t="n">
        <f aca="false">IF('Service Types'!H431="","",'Service Types'!H431)</f>
        <v>59</v>
      </c>
      <c r="I379" s="6" t="n">
        <f aca="false">IF('Service Types'!I431="","",'Service Types'!I431)</f>
        <v>4</v>
      </c>
      <c r="J379" s="6" t="n">
        <f aca="false">IF('Service Types'!J431="","",'Service Types'!J431)</f>
        <v>58.8</v>
      </c>
      <c r="K379" s="6" t="n">
        <f aca="false">IF('Service Types'!K431="","",'Service Types'!K431)</f>
        <v>220</v>
      </c>
    </row>
    <row r="380" customFormat="false" ht="15" hidden="false" customHeight="false" outlineLevel="0" collapsed="false">
      <c r="A380" s="16" t="n">
        <v>379</v>
      </c>
      <c r="B380" s="4" t="s">
        <v>114</v>
      </c>
      <c r="C380" s="4" t="str">
        <f aca="false">IF('Service Types'!B75="","",'Service Types'!B75)</f>
        <v>CS - Calgary Fire</v>
      </c>
      <c r="D380" s="5" t="n">
        <f aca="false">IF('Service Types'!E75="","",'Service Types'!E75)</f>
        <v>20</v>
      </c>
      <c r="E380" s="5" t="n">
        <f aca="false">IF('Service Types'!D75="","",'Service Types'!D75)</f>
        <v>50</v>
      </c>
      <c r="F380" s="5" t="n">
        <f aca="false">IF('Service Types'!F75="","",'Service Types'!F75)</f>
        <v>1</v>
      </c>
      <c r="G380" s="5" t="n">
        <f aca="false">IF('Service Types'!G75="","",'Service Types'!G75)</f>
        <v>1</v>
      </c>
      <c r="H380" s="5" t="n">
        <f aca="false">IF('Service Types'!H75="","",'Service Types'!H75)</f>
        <v>49</v>
      </c>
      <c r="I380" s="6" t="n">
        <f aca="false">IF('Service Types'!I75="","",'Service Types'!I75)</f>
        <v>2</v>
      </c>
      <c r="J380" s="6" t="n">
        <f aca="false">IF('Service Types'!J75="","",'Service Types'!J75)</f>
        <v>6.7</v>
      </c>
      <c r="K380" s="6" t="n">
        <f aca="false">IF('Service Types'!K75="","",'Service Types'!K75)</f>
        <v>8</v>
      </c>
    </row>
    <row r="381" customFormat="false" ht="15" hidden="false" customHeight="false" outlineLevel="0" collapsed="false">
      <c r="A381" s="16" t="n">
        <v>380</v>
      </c>
      <c r="B381" s="4" t="s">
        <v>346</v>
      </c>
      <c r="C381" s="4" t="str">
        <f aca="false">IF('Service Types'!B294="","",'Service Types'!B294)</f>
        <v>IS - Project Development</v>
      </c>
      <c r="D381" s="5" t="n">
        <f aca="false">IF('Service Types'!E294="","",'Service Types'!E294)</f>
        <v>20</v>
      </c>
      <c r="E381" s="5" t="n">
        <f aca="false">IF('Service Types'!D294="","",'Service Types'!D294)</f>
        <v>43</v>
      </c>
      <c r="F381" s="5" t="n">
        <f aca="false">IF('Service Types'!F294="","",'Service Types'!F294)</f>
        <v>0</v>
      </c>
      <c r="G381" s="5" t="n">
        <f aca="false">IF('Service Types'!G294="","",'Service Types'!G294)</f>
        <v>0</v>
      </c>
      <c r="H381" s="5" t="n">
        <f aca="false">IF('Service Types'!H294="","",'Service Types'!H294)</f>
        <v>43</v>
      </c>
      <c r="I381" s="6" t="n">
        <f aca="false">IF('Service Types'!I294="","",'Service Types'!I294)</f>
        <v>3</v>
      </c>
      <c r="J381" s="6" t="n">
        <f aca="false">IF('Service Types'!J294="","",'Service Types'!J294)</f>
        <v>9.6</v>
      </c>
      <c r="K381" s="6" t="n">
        <f aca="false">IF('Service Types'!K294="","",'Service Types'!K294)</f>
        <v>12</v>
      </c>
    </row>
    <row r="382" customFormat="false" ht="15" hidden="false" customHeight="false" outlineLevel="0" collapsed="false">
      <c r="A382" s="16" t="n">
        <v>381</v>
      </c>
      <c r="B382" s="4" t="s">
        <v>106</v>
      </c>
      <c r="C382" s="4" t="str">
        <f aca="false">IF('Service Types'!B67="","",'Service Types'!B67)</f>
        <v>CS - Calgary Fire</v>
      </c>
      <c r="D382" s="5" t="n">
        <f aca="false">IF('Service Types'!E67="","",'Service Types'!E67)</f>
        <v>19</v>
      </c>
      <c r="E382" s="5" t="n">
        <f aca="false">IF('Service Types'!D67="","",'Service Types'!D67)</f>
        <v>190</v>
      </c>
      <c r="F382" s="5" t="n">
        <f aca="false">IF('Service Types'!F67="","",'Service Types'!F67)</f>
        <v>1</v>
      </c>
      <c r="G382" s="5" t="n">
        <f aca="false">IF('Service Types'!G67="","",'Service Types'!G67)</f>
        <v>0</v>
      </c>
      <c r="H382" s="5" t="n">
        <f aca="false">IF('Service Types'!H67="","",'Service Types'!H67)</f>
        <v>189</v>
      </c>
      <c r="I382" s="6" t="n">
        <f aca="false">IF('Service Types'!I67="","",'Service Types'!I67)</f>
        <v>5</v>
      </c>
      <c r="J382" s="6" t="n">
        <f aca="false">IF('Service Types'!J67="","",'Service Types'!J67)</f>
        <v>13.3</v>
      </c>
      <c r="K382" s="6" t="n">
        <f aca="false">IF('Service Types'!K67="","",'Service Types'!K67)</f>
        <v>35</v>
      </c>
    </row>
    <row r="383" customFormat="false" ht="15" hidden="false" customHeight="false" outlineLevel="0" collapsed="false">
      <c r="A383" s="16" t="n">
        <v>382</v>
      </c>
      <c r="B383" s="4" t="s">
        <v>253</v>
      </c>
      <c r="C383" s="4" t="str">
        <f aca="false">IF('Service Types'!B209="","",'Service Types'!B209)</f>
        <v>CS - Partnerships</v>
      </c>
      <c r="D383" s="5" t="n">
        <f aca="false">IF('Service Types'!E209="","",'Service Types'!E209)</f>
        <v>19</v>
      </c>
      <c r="E383" s="5" t="n">
        <f aca="false">IF('Service Types'!D209="","",'Service Types'!D209)</f>
        <v>137</v>
      </c>
      <c r="F383" s="5" t="n">
        <f aca="false">IF('Service Types'!F209="","",'Service Types'!F209)</f>
        <v>0</v>
      </c>
      <c r="G383" s="5" t="n">
        <f aca="false">IF('Service Types'!G209="","",'Service Types'!G209)</f>
        <v>0</v>
      </c>
      <c r="H383" s="5" t="n">
        <f aca="false">IF('Service Types'!H209="","",'Service Types'!H209)</f>
        <v>137</v>
      </c>
      <c r="I383" s="6" t="n">
        <f aca="false">IF('Service Types'!I209="","",'Service Types'!I209)</f>
        <v>2</v>
      </c>
      <c r="J383" s="6" t="n">
        <f aca="false">IF('Service Types'!J209="","",'Service Types'!J209)</f>
        <v>5.9</v>
      </c>
      <c r="K383" s="6" t="n">
        <f aca="false">IF('Service Types'!K209="","",'Service Types'!K209)</f>
        <v>15</v>
      </c>
    </row>
    <row r="384" customFormat="false" ht="15" hidden="false" customHeight="false" outlineLevel="0" collapsed="false">
      <c r="A384" s="16" t="n">
        <v>383</v>
      </c>
      <c r="B384" s="4" t="s">
        <v>493</v>
      </c>
      <c r="C384" s="4" t="str">
        <f aca="false">IF('Service Types'!B430="","",'Service Types'!B430)</f>
        <v>OS - Mobility</v>
      </c>
      <c r="D384" s="5" t="n">
        <f aca="false">IF('Service Types'!E430="","",'Service Types'!E430)</f>
        <v>19</v>
      </c>
      <c r="E384" s="5" t="n">
        <f aca="false">IF('Service Types'!D430="","",'Service Types'!D430)</f>
        <v>72</v>
      </c>
      <c r="F384" s="5" t="n">
        <f aca="false">IF('Service Types'!F430="","",'Service Types'!F430)</f>
        <v>3</v>
      </c>
      <c r="G384" s="5" t="n">
        <f aca="false">IF('Service Types'!G430="","",'Service Types'!G430)</f>
        <v>1</v>
      </c>
      <c r="H384" s="5" t="n">
        <f aca="false">IF('Service Types'!H430="","",'Service Types'!H430)</f>
        <v>69</v>
      </c>
      <c r="I384" s="6" t="n">
        <f aca="false">IF('Service Types'!I430="","",'Service Types'!I430)</f>
        <v>7</v>
      </c>
      <c r="J384" s="6" t="n">
        <f aca="false">IF('Service Types'!J430="","",'Service Types'!J430)</f>
        <v>16.3</v>
      </c>
      <c r="K384" s="6" t="n">
        <f aca="false">IF('Service Types'!K430="","",'Service Types'!K430)</f>
        <v>21</v>
      </c>
    </row>
    <row r="385" customFormat="false" ht="15" hidden="false" customHeight="false" outlineLevel="0" collapsed="false">
      <c r="A385" s="16" t="n">
        <v>384</v>
      </c>
      <c r="B385" s="4" t="s">
        <v>387</v>
      </c>
      <c r="C385" s="4" t="str">
        <f aca="false">IF('Service Types'!B332="","",'Service Types'!B332)</f>
        <v>LLSS - Chief Administrators Office</v>
      </c>
      <c r="D385" s="5" t="n">
        <f aca="false">IF('Service Types'!E332="","",'Service Types'!E332)</f>
        <v>19</v>
      </c>
      <c r="E385" s="5" t="n">
        <f aca="false">IF('Service Types'!D332="","",'Service Types'!D332)</f>
        <v>38</v>
      </c>
      <c r="F385" s="5" t="n">
        <f aca="false">IF('Service Types'!F332="","",'Service Types'!F332)</f>
        <v>0</v>
      </c>
      <c r="G385" s="5" t="n">
        <f aca="false">IF('Service Types'!G332="","",'Service Types'!G332)</f>
        <v>0</v>
      </c>
      <c r="H385" s="5" t="n">
        <f aca="false">IF('Service Types'!H332="","",'Service Types'!H332)</f>
        <v>38</v>
      </c>
      <c r="I385" s="6" t="n">
        <f aca="false">IF('Service Types'!I332="","",'Service Types'!I332)</f>
        <v>0</v>
      </c>
      <c r="J385" s="6" t="n">
        <f aca="false">IF('Service Types'!J332="","",'Service Types'!J332)</f>
        <v>9.4</v>
      </c>
      <c r="K385" s="6" t="n">
        <f aca="false">IF('Service Types'!K332="","",'Service Types'!K332)</f>
        <v>2</v>
      </c>
    </row>
    <row r="386" customFormat="false" ht="15" hidden="false" customHeight="false" outlineLevel="0" collapsed="false">
      <c r="A386" s="16" t="n">
        <v>385</v>
      </c>
      <c r="B386" s="4" t="s">
        <v>321</v>
      </c>
      <c r="C386" s="4" t="str">
        <f aca="false">IF('Service Types'!B272="","",'Service Types'!B272)</f>
        <v>Elected Officials</v>
      </c>
      <c r="D386" s="5" t="n">
        <f aca="false">IF('Service Types'!E272="","",'Service Types'!E272)</f>
        <v>19</v>
      </c>
      <c r="E386" s="5" t="n">
        <f aca="false">IF('Service Types'!D272="","",'Service Types'!D272)</f>
        <v>20</v>
      </c>
      <c r="F386" s="5" t="n">
        <f aca="false">IF('Service Types'!F272="","",'Service Types'!F272)</f>
        <v>0</v>
      </c>
      <c r="G386" s="5" t="n">
        <f aca="false">IF('Service Types'!G272="","",'Service Types'!G272)</f>
        <v>0</v>
      </c>
      <c r="H386" s="5" t="n">
        <f aca="false">IF('Service Types'!H272="","",'Service Types'!H272)</f>
        <v>20</v>
      </c>
      <c r="I386" s="6" t="n">
        <f aca="false">IF('Service Types'!I272="","",'Service Types'!I272)</f>
        <v>0</v>
      </c>
      <c r="J386" s="6" t="n">
        <f aca="false">IF('Service Types'!J272="","",'Service Types'!J272)</f>
        <v>0</v>
      </c>
      <c r="K386" s="6" t="n">
        <f aca="false">IF('Service Types'!K272="","",'Service Types'!K272)</f>
        <v>0</v>
      </c>
    </row>
    <row r="387" customFormat="false" ht="15" hidden="false" customHeight="false" outlineLevel="0" collapsed="false">
      <c r="A387" s="16" t="n">
        <v>386</v>
      </c>
      <c r="B387" s="4" t="s">
        <v>421</v>
      </c>
      <c r="C387" s="4" t="str">
        <f aca="false">IF('Service Types'!B361="","",'Service Types'!B361)</f>
        <v>OS - Calgary Transit</v>
      </c>
      <c r="D387" s="5" t="n">
        <f aca="false">IF('Service Types'!E361="","",'Service Types'!E361)</f>
        <v>18</v>
      </c>
      <c r="E387" s="5" t="n">
        <f aca="false">IF('Service Types'!D361="","",'Service Types'!D361)</f>
        <v>124</v>
      </c>
      <c r="F387" s="5" t="n">
        <f aca="false">IF('Service Types'!F361="","",'Service Types'!F361)</f>
        <v>4</v>
      </c>
      <c r="G387" s="5" t="n">
        <f aca="false">IF('Service Types'!G361="","",'Service Types'!G361)</f>
        <v>0</v>
      </c>
      <c r="H387" s="5" t="n">
        <f aca="false">IF('Service Types'!H361="","",'Service Types'!H361)</f>
        <v>120</v>
      </c>
      <c r="I387" s="6" t="n">
        <f aca="false">IF('Service Types'!I361="","",'Service Types'!I361)</f>
        <v>18.5</v>
      </c>
      <c r="J387" s="6" t="n">
        <f aca="false">IF('Service Types'!J361="","",'Service Types'!J361)</f>
        <v>28.1</v>
      </c>
      <c r="K387" s="6" t="n">
        <f aca="false">IF('Service Types'!K361="","",'Service Types'!K361)</f>
        <v>67</v>
      </c>
    </row>
    <row r="388" customFormat="false" ht="15" hidden="false" customHeight="false" outlineLevel="0" collapsed="false">
      <c r="A388" s="16" t="n">
        <v>387</v>
      </c>
      <c r="B388" s="4" t="s">
        <v>362</v>
      </c>
      <c r="C388" s="4" t="str">
        <f aca="false">IF('Service Types'!B309="","",'Service Types'!B309)</f>
        <v>IS - Public Spaces Delivery</v>
      </c>
      <c r="D388" s="5" t="n">
        <f aca="false">IF('Service Types'!E309="","",'Service Types'!E309)</f>
        <v>18</v>
      </c>
      <c r="E388" s="5" t="n">
        <f aca="false">IF('Service Types'!D309="","",'Service Types'!D309)</f>
        <v>71</v>
      </c>
      <c r="F388" s="5" t="n">
        <f aca="false">IF('Service Types'!F309="","",'Service Types'!F309)</f>
        <v>0</v>
      </c>
      <c r="G388" s="5" t="n">
        <f aca="false">IF('Service Types'!G309="","",'Service Types'!G309)</f>
        <v>0</v>
      </c>
      <c r="H388" s="5" t="n">
        <f aca="false">IF('Service Types'!H309="","",'Service Types'!H309)</f>
        <v>71</v>
      </c>
      <c r="I388" s="6" t="n">
        <f aca="false">IF('Service Types'!I309="","",'Service Types'!I309)</f>
        <v>2</v>
      </c>
      <c r="J388" s="6" t="n">
        <f aca="false">IF('Service Types'!J309="","",'Service Types'!J309)</f>
        <v>12</v>
      </c>
      <c r="K388" s="6" t="n">
        <f aca="false">IF('Service Types'!K309="","",'Service Types'!K309)</f>
        <v>15</v>
      </c>
    </row>
    <row r="389" customFormat="false" ht="15" hidden="false" customHeight="false" outlineLevel="0" collapsed="false">
      <c r="A389" s="16" t="n">
        <v>388</v>
      </c>
      <c r="B389" s="4" t="s">
        <v>305</v>
      </c>
      <c r="C389" s="4" t="str">
        <f aca="false">IF('Service Types'!B260="","",'Service Types'!B260)</f>
        <v>CS - Recreation and Social Programs</v>
      </c>
      <c r="D389" s="5" t="n">
        <f aca="false">IF('Service Types'!E260="","",'Service Types'!E260)</f>
        <v>18</v>
      </c>
      <c r="E389" s="5" t="n">
        <f aca="false">IF('Service Types'!D260="","",'Service Types'!D260)</f>
        <v>49</v>
      </c>
      <c r="F389" s="5" t="n">
        <f aca="false">IF('Service Types'!F260="","",'Service Types'!F260)</f>
        <v>0</v>
      </c>
      <c r="G389" s="5" t="n">
        <f aca="false">IF('Service Types'!G260="","",'Service Types'!G260)</f>
        <v>0</v>
      </c>
      <c r="H389" s="5" t="n">
        <f aca="false">IF('Service Types'!H260="","",'Service Types'!H260)</f>
        <v>49</v>
      </c>
      <c r="I389" s="6" t="n">
        <f aca="false">IF('Service Types'!I260="","",'Service Types'!I260)</f>
        <v>6</v>
      </c>
      <c r="J389" s="6" t="n">
        <f aca="false">IF('Service Types'!J260="","",'Service Types'!J260)</f>
        <v>19.9</v>
      </c>
      <c r="K389" s="6" t="n">
        <f aca="false">IF('Service Types'!K260="","",'Service Types'!K260)</f>
        <v>57</v>
      </c>
    </row>
    <row r="390" customFormat="false" ht="15" hidden="false" customHeight="false" outlineLevel="0" collapsed="false">
      <c r="A390" s="16" t="n">
        <v>389</v>
      </c>
      <c r="B390" s="4" t="s">
        <v>364</v>
      </c>
      <c r="C390" s="4" t="str">
        <f aca="false">IF('Service Types'!B311="","",'Service Types'!B311)</f>
        <v>IS - Public Spaces Delivery</v>
      </c>
      <c r="D390" s="5" t="n">
        <f aca="false">IF('Service Types'!E311="","",'Service Types'!E311)</f>
        <v>18</v>
      </c>
      <c r="E390" s="5" t="n">
        <f aca="false">IF('Service Types'!D311="","",'Service Types'!D311)</f>
        <v>45</v>
      </c>
      <c r="F390" s="5" t="n">
        <f aca="false">IF('Service Types'!F311="","",'Service Types'!F311)</f>
        <v>0</v>
      </c>
      <c r="G390" s="5" t="n">
        <f aca="false">IF('Service Types'!G311="","",'Service Types'!G311)</f>
        <v>0</v>
      </c>
      <c r="H390" s="5" t="n">
        <f aca="false">IF('Service Types'!H311="","",'Service Types'!H311)</f>
        <v>45</v>
      </c>
      <c r="I390" s="6" t="n">
        <f aca="false">IF('Service Types'!I311="","",'Service Types'!I311)</f>
        <v>1</v>
      </c>
      <c r="J390" s="6" t="n">
        <f aca="false">IF('Service Types'!J311="","",'Service Types'!J311)</f>
        <v>9.8</v>
      </c>
      <c r="K390" s="6" t="n">
        <f aca="false">IF('Service Types'!K311="","",'Service Types'!K311)</f>
        <v>5</v>
      </c>
    </row>
    <row r="391" customFormat="false" ht="15" hidden="false" customHeight="false" outlineLevel="0" collapsed="false">
      <c r="A391" s="16" t="n">
        <v>390</v>
      </c>
      <c r="B391" s="4" t="s">
        <v>584</v>
      </c>
      <c r="C391" s="4" t="str">
        <f aca="false">IF('Service Types'!B518="","",'Service Types'!B518)</f>
        <v>OS - Waste and Recycling Services</v>
      </c>
      <c r="D391" s="5" t="n">
        <f aca="false">IF('Service Types'!E518="","",'Service Types'!E518)</f>
        <v>17</v>
      </c>
      <c r="E391" s="5" t="n">
        <f aca="false">IF('Service Types'!D518="","",'Service Types'!D518)</f>
        <v>436</v>
      </c>
      <c r="F391" s="5" t="n">
        <f aca="false">IF('Service Types'!F518="","",'Service Types'!F518)</f>
        <v>0</v>
      </c>
      <c r="G391" s="5" t="n">
        <f aca="false">IF('Service Types'!G518="","",'Service Types'!G518)</f>
        <v>0</v>
      </c>
      <c r="H391" s="5" t="n">
        <f aca="false">IF('Service Types'!H518="","",'Service Types'!H518)</f>
        <v>436</v>
      </c>
      <c r="I391" s="6" t="n">
        <f aca="false">IF('Service Types'!I518="","",'Service Types'!I518)</f>
        <v>2</v>
      </c>
      <c r="J391" s="6" t="n">
        <f aca="false">IF('Service Types'!J518="","",'Service Types'!J518)</f>
        <v>4</v>
      </c>
      <c r="K391" s="6" t="n">
        <f aca="false">IF('Service Types'!K518="","",'Service Types'!K518)</f>
        <v>8</v>
      </c>
    </row>
    <row r="392" customFormat="false" ht="15" hidden="false" customHeight="false" outlineLevel="0" collapsed="false">
      <c r="A392" s="16" t="n">
        <v>391</v>
      </c>
      <c r="B392" s="4" t="s">
        <v>474</v>
      </c>
      <c r="C392" s="4" t="str">
        <f aca="false">IF('Service Types'!B411="","",'Service Types'!B411)</f>
        <v>OS - Mobility</v>
      </c>
      <c r="D392" s="5" t="n">
        <f aca="false">IF('Service Types'!E411="","",'Service Types'!E411)</f>
        <v>17</v>
      </c>
      <c r="E392" s="5" t="n">
        <f aca="false">IF('Service Types'!D411="","",'Service Types'!D411)</f>
        <v>329</v>
      </c>
      <c r="F392" s="5" t="n">
        <f aca="false">IF('Service Types'!F411="","",'Service Types'!F411)</f>
        <v>1</v>
      </c>
      <c r="G392" s="5" t="n">
        <f aca="false">IF('Service Types'!G411="","",'Service Types'!G411)</f>
        <v>1</v>
      </c>
      <c r="H392" s="5" t="n">
        <f aca="false">IF('Service Types'!H411="","",'Service Types'!H411)</f>
        <v>328</v>
      </c>
      <c r="I392" s="6" t="n">
        <f aca="false">IF('Service Types'!I411="","",'Service Types'!I411)</f>
        <v>27</v>
      </c>
      <c r="J392" s="6" t="n">
        <f aca="false">IF('Service Types'!J411="","",'Service Types'!J411)</f>
        <v>29.1</v>
      </c>
      <c r="K392" s="6" t="n">
        <f aca="false">IF('Service Types'!K411="","",'Service Types'!K411)</f>
        <v>50</v>
      </c>
    </row>
    <row r="393" customFormat="false" ht="15" hidden="false" customHeight="false" outlineLevel="0" collapsed="false">
      <c r="A393" s="16" t="n">
        <v>392</v>
      </c>
      <c r="B393" s="4" t="s">
        <v>240</v>
      </c>
      <c r="C393" s="4" t="str">
        <f aca="false">IF('Service Types'!B197="","",'Service Types'!B197)</f>
        <v>CS - Emergency Management and Community Safety</v>
      </c>
      <c r="D393" s="5" t="n">
        <f aca="false">IF('Service Types'!E197="","",'Service Types'!E197)</f>
        <v>17</v>
      </c>
      <c r="E393" s="5" t="n">
        <f aca="false">IF('Service Types'!D197="","",'Service Types'!D197)</f>
        <v>17</v>
      </c>
      <c r="F393" s="5" t="n">
        <f aca="false">IF('Service Types'!F197="","",'Service Types'!F197)</f>
        <v>7</v>
      </c>
      <c r="G393" s="5" t="n">
        <f aca="false">IF('Service Types'!G197="","",'Service Types'!G197)</f>
        <v>0</v>
      </c>
      <c r="H393" s="5" t="n">
        <f aca="false">IF('Service Types'!H197="","",'Service Types'!H197)</f>
        <v>10</v>
      </c>
      <c r="I393" s="6" t="n">
        <f aca="false">IF('Service Types'!I197="","",'Service Types'!I197)</f>
        <v>11</v>
      </c>
      <c r="J393" s="6" t="n">
        <f aca="false">IF('Service Types'!J197="","",'Service Types'!J197)</f>
        <v>13.7</v>
      </c>
      <c r="K393" s="6" t="n">
        <f aca="false">IF('Service Types'!K197="","",'Service Types'!K197)</f>
        <v>35</v>
      </c>
    </row>
    <row r="394" customFormat="false" ht="15" hidden="false" customHeight="false" outlineLevel="0" collapsed="false">
      <c r="A394" s="16" t="n">
        <v>393</v>
      </c>
      <c r="B394" s="4" t="s">
        <v>220</v>
      </c>
      <c r="C394" s="4" t="str">
        <f aca="false">IF('Service Types'!B177="","",'Service Types'!B177)</f>
        <v>CS - Emergency Management and Community Safety</v>
      </c>
      <c r="D394" s="5" t="n">
        <f aca="false">IF('Service Types'!E177="","",'Service Types'!E177)</f>
        <v>16</v>
      </c>
      <c r="E394" s="5" t="n">
        <f aca="false">IF('Service Types'!D177="","",'Service Types'!D177)</f>
        <v>120</v>
      </c>
      <c r="F394" s="5" t="n">
        <f aca="false">IF('Service Types'!F177="","",'Service Types'!F177)</f>
        <v>0</v>
      </c>
      <c r="G394" s="5" t="n">
        <f aca="false">IF('Service Types'!G177="","",'Service Types'!G177)</f>
        <v>0</v>
      </c>
      <c r="H394" s="5" t="n">
        <f aca="false">IF('Service Types'!H177="","",'Service Types'!H177)</f>
        <v>120</v>
      </c>
      <c r="I394" s="6" t="n">
        <f aca="false">IF('Service Types'!I177="","",'Service Types'!I177)</f>
        <v>3</v>
      </c>
      <c r="J394" s="6" t="n">
        <f aca="false">IF('Service Types'!J177="","",'Service Types'!J177)</f>
        <v>7.8</v>
      </c>
      <c r="K394" s="6" t="n">
        <f aca="false">IF('Service Types'!K177="","",'Service Types'!K177)</f>
        <v>15</v>
      </c>
    </row>
    <row r="395" customFormat="false" ht="15" hidden="false" customHeight="false" outlineLevel="0" collapsed="false">
      <c r="A395" s="16" t="n">
        <v>394</v>
      </c>
      <c r="B395" s="4" t="s">
        <v>304</v>
      </c>
      <c r="C395" s="4" t="str">
        <f aca="false">IF('Service Types'!B259="","",'Service Types'!B259)</f>
        <v>CS - Recreation and Social Programs</v>
      </c>
      <c r="D395" s="5" t="n">
        <f aca="false">IF('Service Types'!E259="","",'Service Types'!E259)</f>
        <v>16</v>
      </c>
      <c r="E395" s="5" t="n">
        <f aca="false">IF('Service Types'!D259="","",'Service Types'!D259)</f>
        <v>59</v>
      </c>
      <c r="F395" s="5" t="n">
        <f aca="false">IF('Service Types'!F259="","",'Service Types'!F259)</f>
        <v>1</v>
      </c>
      <c r="G395" s="5" t="n">
        <f aca="false">IF('Service Types'!G259="","",'Service Types'!G259)</f>
        <v>0</v>
      </c>
      <c r="H395" s="5" t="n">
        <f aca="false">IF('Service Types'!H259="","",'Service Types'!H259)</f>
        <v>58</v>
      </c>
      <c r="I395" s="6" t="n">
        <f aca="false">IF('Service Types'!I259="","",'Service Types'!I259)</f>
        <v>8</v>
      </c>
      <c r="J395" s="6" t="n">
        <f aca="false">IF('Service Types'!J259="","",'Service Types'!J259)</f>
        <v>16.4</v>
      </c>
      <c r="K395" s="6" t="n">
        <f aca="false">IF('Service Types'!K259="","",'Service Types'!K259)</f>
        <v>43</v>
      </c>
    </row>
    <row r="396" customFormat="false" ht="15" hidden="false" customHeight="false" outlineLevel="0" collapsed="false">
      <c r="A396" s="16" t="n">
        <v>395</v>
      </c>
      <c r="B396" s="4" t="s">
        <v>593</v>
      </c>
      <c r="C396" s="4" t="str">
        <f aca="false">IF('Service Types'!B527="","",'Service Types'!B527)</f>
        <v>OS - Waste and Recycling Services</v>
      </c>
      <c r="D396" s="5" t="n">
        <f aca="false">IF('Service Types'!E527="","",'Service Types'!E527)</f>
        <v>16</v>
      </c>
      <c r="E396" s="5" t="n">
        <f aca="false">IF('Service Types'!D527="","",'Service Types'!D527)</f>
        <v>45</v>
      </c>
      <c r="F396" s="5" t="n">
        <f aca="false">IF('Service Types'!F527="","",'Service Types'!F527)</f>
        <v>0</v>
      </c>
      <c r="G396" s="5" t="n">
        <f aca="false">IF('Service Types'!G527="","",'Service Types'!G527)</f>
        <v>0</v>
      </c>
      <c r="H396" s="5" t="n">
        <f aca="false">IF('Service Types'!H527="","",'Service Types'!H527)</f>
        <v>45</v>
      </c>
      <c r="I396" s="6" t="n">
        <f aca="false">IF('Service Types'!I527="","",'Service Types'!I527)</f>
        <v>2</v>
      </c>
      <c r="J396" s="6" t="n">
        <f aca="false">IF('Service Types'!J527="","",'Service Types'!J527)</f>
        <v>3.6</v>
      </c>
      <c r="K396" s="6" t="n">
        <f aca="false">IF('Service Types'!K527="","",'Service Types'!K527)</f>
        <v>10</v>
      </c>
    </row>
    <row r="397" customFormat="false" ht="15" hidden="false" customHeight="false" outlineLevel="0" collapsed="false">
      <c r="A397" s="16" t="n">
        <v>396</v>
      </c>
      <c r="B397" s="4" t="s">
        <v>111</v>
      </c>
      <c r="C397" s="4" t="str">
        <f aca="false">IF('Service Types'!B72="","",'Service Types'!B72)</f>
        <v>CS - Calgary Fire</v>
      </c>
      <c r="D397" s="5" t="n">
        <f aca="false">IF('Service Types'!E72="","",'Service Types'!E72)</f>
        <v>14</v>
      </c>
      <c r="E397" s="5" t="n">
        <f aca="false">IF('Service Types'!D72="","",'Service Types'!D72)</f>
        <v>103</v>
      </c>
      <c r="F397" s="5" t="n">
        <f aca="false">IF('Service Types'!F72="","",'Service Types'!F72)</f>
        <v>2</v>
      </c>
      <c r="G397" s="5" t="n">
        <f aca="false">IF('Service Types'!G72="","",'Service Types'!G72)</f>
        <v>0</v>
      </c>
      <c r="H397" s="5" t="n">
        <f aca="false">IF('Service Types'!H72="","",'Service Types'!H72)</f>
        <v>101</v>
      </c>
      <c r="I397" s="6" t="n">
        <f aca="false">IF('Service Types'!I72="","",'Service Types'!I72)</f>
        <v>14</v>
      </c>
      <c r="J397" s="6" t="n">
        <f aca="false">IF('Service Types'!J72="","",'Service Types'!J72)</f>
        <v>174.6</v>
      </c>
      <c r="K397" s="6" t="n">
        <f aca="false">IF('Service Types'!K72="","",'Service Types'!K72)</f>
        <v>714</v>
      </c>
    </row>
    <row r="398" customFormat="false" ht="15" hidden="false" customHeight="false" outlineLevel="0" collapsed="false">
      <c r="A398" s="16" t="n">
        <v>397</v>
      </c>
      <c r="B398" s="4" t="s">
        <v>301</v>
      </c>
      <c r="C398" s="4" t="str">
        <f aca="false">IF('Service Types'!B256="","",'Service Types'!B256)</f>
        <v>CS - Recreation and Social Programs</v>
      </c>
      <c r="D398" s="5" t="n">
        <f aca="false">IF('Service Types'!E256="","",'Service Types'!E256)</f>
        <v>14</v>
      </c>
      <c r="E398" s="5" t="n">
        <f aca="false">IF('Service Types'!D256="","",'Service Types'!D256)</f>
        <v>86</v>
      </c>
      <c r="F398" s="5" t="n">
        <f aca="false">IF('Service Types'!F256="","",'Service Types'!F256)</f>
        <v>0</v>
      </c>
      <c r="G398" s="5" t="n">
        <f aca="false">IF('Service Types'!G256="","",'Service Types'!G256)</f>
        <v>0</v>
      </c>
      <c r="H398" s="5" t="n">
        <f aca="false">IF('Service Types'!H256="","",'Service Types'!H256)</f>
        <v>86</v>
      </c>
      <c r="I398" s="6" t="n">
        <f aca="false">IF('Service Types'!I256="","",'Service Types'!I256)</f>
        <v>3.5</v>
      </c>
      <c r="J398" s="6" t="n">
        <f aca="false">IF('Service Types'!J256="","",'Service Types'!J256)</f>
        <v>12.9</v>
      </c>
      <c r="K398" s="6" t="n">
        <f aca="false">IF('Service Types'!K256="","",'Service Types'!K256)</f>
        <v>54</v>
      </c>
    </row>
    <row r="399" customFormat="false" ht="15" hidden="false" customHeight="false" outlineLevel="0" collapsed="false">
      <c r="A399" s="16" t="n">
        <v>398</v>
      </c>
      <c r="B399" s="4" t="s">
        <v>112</v>
      </c>
      <c r="C399" s="4" t="str">
        <f aca="false">IF('Service Types'!B73="","",'Service Types'!B73)</f>
        <v>CS - Calgary Fire</v>
      </c>
      <c r="D399" s="5" t="n">
        <f aca="false">IF('Service Types'!E73="","",'Service Types'!E73)</f>
        <v>14</v>
      </c>
      <c r="E399" s="5" t="n">
        <f aca="false">IF('Service Types'!D73="","",'Service Types'!D73)</f>
        <v>68</v>
      </c>
      <c r="F399" s="5" t="n">
        <f aca="false">IF('Service Types'!F73="","",'Service Types'!F73)</f>
        <v>3</v>
      </c>
      <c r="G399" s="5" t="n">
        <f aca="false">IF('Service Types'!G73="","",'Service Types'!G73)</f>
        <v>1</v>
      </c>
      <c r="H399" s="5" t="n">
        <f aca="false">IF('Service Types'!H73="","",'Service Types'!H73)</f>
        <v>65</v>
      </c>
      <c r="I399" s="6" t="n">
        <f aca="false">IF('Service Types'!I73="","",'Service Types'!I73)</f>
        <v>4</v>
      </c>
      <c r="J399" s="6" t="n">
        <f aca="false">IF('Service Types'!J73="","",'Service Types'!J73)</f>
        <v>46.7</v>
      </c>
      <c r="K399" s="6" t="n">
        <f aca="false">IF('Service Types'!K73="","",'Service Types'!K73)</f>
        <v>220</v>
      </c>
    </row>
    <row r="400" customFormat="false" ht="15" hidden="false" customHeight="false" outlineLevel="0" collapsed="false">
      <c r="A400" s="16" t="n">
        <v>399</v>
      </c>
      <c r="B400" s="4" t="s">
        <v>319</v>
      </c>
      <c r="C400" s="4" t="str">
        <f aca="false">IF('Service Types'!B270="","",'Service Types'!B270)</f>
        <v>Elected Officials</v>
      </c>
      <c r="D400" s="5" t="n">
        <f aca="false">IF('Service Types'!E270="","",'Service Types'!E270)</f>
        <v>14</v>
      </c>
      <c r="E400" s="5" t="n">
        <f aca="false">IF('Service Types'!D270="","",'Service Types'!D270)</f>
        <v>25</v>
      </c>
      <c r="F400" s="5" t="n">
        <f aca="false">IF('Service Types'!F270="","",'Service Types'!F270)</f>
        <v>0</v>
      </c>
      <c r="G400" s="5" t="n">
        <f aca="false">IF('Service Types'!G270="","",'Service Types'!G270)</f>
        <v>0</v>
      </c>
      <c r="H400" s="5" t="n">
        <f aca="false">IF('Service Types'!H270="","",'Service Types'!H270)</f>
        <v>25</v>
      </c>
      <c r="I400" s="6" t="n">
        <f aca="false">IF('Service Types'!I270="","",'Service Types'!I270)</f>
        <v>0</v>
      </c>
      <c r="J400" s="6" t="n">
        <f aca="false">IF('Service Types'!J270="","",'Service Types'!J270)</f>
        <v>0</v>
      </c>
      <c r="K400" s="6" t="n">
        <f aca="false">IF('Service Types'!K270="","",'Service Types'!K270)</f>
        <v>0</v>
      </c>
    </row>
    <row r="401" customFormat="false" ht="15" hidden="false" customHeight="false" outlineLevel="0" collapsed="false">
      <c r="A401" s="16" t="n">
        <v>400</v>
      </c>
      <c r="B401" s="4" t="s">
        <v>395</v>
      </c>
      <c r="C401" s="4" t="str">
        <f aca="false">IF('Service Types'!B338="","",'Service Types'!B338)</f>
        <v>LLSS - City Clerk's Office</v>
      </c>
      <c r="D401" s="5" t="n">
        <f aca="false">IF('Service Types'!E338="","",'Service Types'!E338)</f>
        <v>14</v>
      </c>
      <c r="E401" s="5" t="n">
        <f aca="false">IF('Service Types'!D338="","",'Service Types'!D338)</f>
        <v>24</v>
      </c>
      <c r="F401" s="5" t="n">
        <f aca="false">IF('Service Types'!F338="","",'Service Types'!F338)</f>
        <v>3</v>
      </c>
      <c r="G401" s="5" t="n">
        <f aca="false">IF('Service Types'!G338="","",'Service Types'!G338)</f>
        <v>0</v>
      </c>
      <c r="H401" s="5" t="n">
        <f aca="false">IF('Service Types'!H338="","",'Service Types'!H338)</f>
        <v>21</v>
      </c>
      <c r="I401" s="6" t="n">
        <f aca="false">IF('Service Types'!I338="","",'Service Types'!I338)</f>
        <v>17</v>
      </c>
      <c r="J401" s="6" t="n">
        <f aca="false">IF('Service Types'!J338="","",'Service Types'!J338)</f>
        <v>40.9</v>
      </c>
      <c r="K401" s="6" t="n">
        <f aca="false">IF('Service Types'!K338="","",'Service Types'!K338)</f>
        <v>94</v>
      </c>
    </row>
    <row r="402" customFormat="false" ht="15" hidden="false" customHeight="false" outlineLevel="0" collapsed="false">
      <c r="A402" s="16" t="n">
        <v>401</v>
      </c>
      <c r="B402" s="4" t="s">
        <v>499</v>
      </c>
      <c r="C402" s="4" t="str">
        <f aca="false">IF('Service Types'!B436="","",'Service Types'!B436)</f>
        <v>OS - Mobility</v>
      </c>
      <c r="D402" s="5" t="n">
        <f aca="false">IF('Service Types'!E436="","",'Service Types'!E436)</f>
        <v>14</v>
      </c>
      <c r="E402" s="5" t="n">
        <f aca="false">IF('Service Types'!D436="","",'Service Types'!D436)</f>
        <v>14</v>
      </c>
      <c r="F402" s="5" t="n">
        <f aca="false">IF('Service Types'!F436="","",'Service Types'!F436)</f>
        <v>10</v>
      </c>
      <c r="G402" s="5" t="n">
        <f aca="false">IF('Service Types'!G436="","",'Service Types'!G436)</f>
        <v>0</v>
      </c>
      <c r="H402" s="5" t="n">
        <f aca="false">IF('Service Types'!H436="","",'Service Types'!H436)</f>
        <v>4</v>
      </c>
      <c r="I402" s="6" t="n">
        <f aca="false">IF('Service Types'!I436="","",'Service Types'!I436)</f>
        <v>0</v>
      </c>
      <c r="J402" s="6" t="n">
        <f aca="false">IF('Service Types'!J436="","",'Service Types'!J436)</f>
        <v>0</v>
      </c>
      <c r="K402" s="6" t="n">
        <f aca="false">IF('Service Types'!K436="","",'Service Types'!K436)</f>
        <v>0</v>
      </c>
    </row>
    <row r="403" customFormat="false" ht="15" hidden="false" customHeight="false" outlineLevel="0" collapsed="false">
      <c r="A403" s="16" t="n">
        <v>402</v>
      </c>
      <c r="B403" s="4" t="s">
        <v>97</v>
      </c>
      <c r="C403" s="4" t="str">
        <f aca="false">IF('Service Types'!B58="","",'Service Types'!B58)</f>
        <v>CS - Calgary Fire</v>
      </c>
      <c r="D403" s="5" t="n">
        <f aca="false">IF('Service Types'!E58="","",'Service Types'!E58)</f>
        <v>13</v>
      </c>
      <c r="E403" s="5" t="n">
        <f aca="false">IF('Service Types'!D58="","",'Service Types'!D58)</f>
        <v>483</v>
      </c>
      <c r="F403" s="5" t="n">
        <f aca="false">IF('Service Types'!F58="","",'Service Types'!F58)</f>
        <v>0</v>
      </c>
      <c r="G403" s="5" t="n">
        <f aca="false">IF('Service Types'!G58="","",'Service Types'!G58)</f>
        <v>0</v>
      </c>
      <c r="H403" s="5" t="n">
        <f aca="false">IF('Service Types'!H58="","",'Service Types'!H58)</f>
        <v>483</v>
      </c>
      <c r="I403" s="6" t="n">
        <f aca="false">IF('Service Types'!I58="","",'Service Types'!I58)</f>
        <v>1</v>
      </c>
      <c r="J403" s="6" t="n">
        <f aca="false">IF('Service Types'!J58="","",'Service Types'!J58)</f>
        <v>3.4</v>
      </c>
      <c r="K403" s="6" t="n">
        <f aca="false">IF('Service Types'!K58="","",'Service Types'!K58)</f>
        <v>6</v>
      </c>
    </row>
    <row r="404" customFormat="false" ht="15" hidden="false" customHeight="false" outlineLevel="0" collapsed="false">
      <c r="A404" s="16" t="n">
        <v>403</v>
      </c>
      <c r="B404" s="4" t="s">
        <v>109</v>
      </c>
      <c r="C404" s="4" t="str">
        <f aca="false">IF('Service Types'!B70="","",'Service Types'!B70)</f>
        <v>CS - Calgary Fire</v>
      </c>
      <c r="D404" s="5" t="n">
        <f aca="false">IF('Service Types'!E70="","",'Service Types'!E70)</f>
        <v>13</v>
      </c>
      <c r="E404" s="5" t="n">
        <f aca="false">IF('Service Types'!D70="","",'Service Types'!D70)</f>
        <v>135</v>
      </c>
      <c r="F404" s="5" t="n">
        <f aca="false">IF('Service Types'!F70="","",'Service Types'!F70)</f>
        <v>4</v>
      </c>
      <c r="G404" s="5" t="n">
        <f aca="false">IF('Service Types'!G70="","",'Service Types'!G70)</f>
        <v>1</v>
      </c>
      <c r="H404" s="5" t="n">
        <f aca="false">IF('Service Types'!H70="","",'Service Types'!H70)</f>
        <v>131</v>
      </c>
      <c r="I404" s="6" t="n">
        <f aca="false">IF('Service Types'!I70="","",'Service Types'!I70)</f>
        <v>6</v>
      </c>
      <c r="J404" s="6" t="n">
        <f aca="false">IF('Service Types'!J70="","",'Service Types'!J70)</f>
        <v>44.8</v>
      </c>
      <c r="K404" s="6" t="n">
        <f aca="false">IF('Service Types'!K70="","",'Service Types'!K70)</f>
        <v>105</v>
      </c>
    </row>
    <row r="405" customFormat="false" ht="15" hidden="false" customHeight="false" outlineLevel="0" collapsed="false">
      <c r="A405" s="16" t="n">
        <v>404</v>
      </c>
      <c r="B405" s="4" t="s">
        <v>380</v>
      </c>
      <c r="C405" s="4" t="str">
        <f aca="false">IF('Service Types'!B326="","",'Service Types'!B326)</f>
        <v>IS - Real Estate and Development Services</v>
      </c>
      <c r="D405" s="5" t="n">
        <f aca="false">IF('Service Types'!E326="","",'Service Types'!E326)</f>
        <v>13</v>
      </c>
      <c r="E405" s="5" t="n">
        <f aca="false">IF('Service Types'!D326="","",'Service Types'!D326)</f>
        <v>88</v>
      </c>
      <c r="F405" s="5" t="n">
        <f aca="false">IF('Service Types'!F326="","",'Service Types'!F326)</f>
        <v>0</v>
      </c>
      <c r="G405" s="5" t="n">
        <f aca="false">IF('Service Types'!G326="","",'Service Types'!G326)</f>
        <v>0</v>
      </c>
      <c r="H405" s="5" t="n">
        <f aca="false">IF('Service Types'!H326="","",'Service Types'!H326)</f>
        <v>88</v>
      </c>
      <c r="I405" s="6" t="n">
        <f aca="false">IF('Service Types'!I326="","",'Service Types'!I326)</f>
        <v>3</v>
      </c>
      <c r="J405" s="6" t="n">
        <f aca="false">IF('Service Types'!J326="","",'Service Types'!J326)</f>
        <v>6</v>
      </c>
      <c r="K405" s="6" t="n">
        <f aca="false">IF('Service Types'!K326="","",'Service Types'!K326)</f>
        <v>11</v>
      </c>
    </row>
    <row r="406" customFormat="false" ht="15" hidden="false" customHeight="false" outlineLevel="0" collapsed="false">
      <c r="A406" s="16" t="n">
        <v>405</v>
      </c>
      <c r="B406" s="4" t="s">
        <v>113</v>
      </c>
      <c r="C406" s="4" t="str">
        <f aca="false">IF('Service Types'!B74="","",'Service Types'!B74)</f>
        <v>CS - Calgary Fire</v>
      </c>
      <c r="D406" s="5" t="n">
        <f aca="false">IF('Service Types'!E74="","",'Service Types'!E74)</f>
        <v>13</v>
      </c>
      <c r="E406" s="5" t="n">
        <f aca="false">IF('Service Types'!D74="","",'Service Types'!D74)</f>
        <v>67</v>
      </c>
      <c r="F406" s="5" t="n">
        <f aca="false">IF('Service Types'!F74="","",'Service Types'!F74)</f>
        <v>2</v>
      </c>
      <c r="G406" s="5" t="n">
        <f aca="false">IF('Service Types'!G74="","",'Service Types'!G74)</f>
        <v>0</v>
      </c>
      <c r="H406" s="5" t="n">
        <f aca="false">IF('Service Types'!H74="","",'Service Types'!H74)</f>
        <v>65</v>
      </c>
      <c r="I406" s="6" t="n">
        <f aca="false">IF('Service Types'!I74="","",'Service Types'!I74)</f>
        <v>4</v>
      </c>
      <c r="J406" s="6" t="n">
        <f aca="false">IF('Service Types'!J74="","",'Service Types'!J74)</f>
        <v>6.4</v>
      </c>
      <c r="K406" s="6" t="n">
        <f aca="false">IF('Service Types'!K74="","",'Service Types'!K74)</f>
        <v>13</v>
      </c>
    </row>
    <row r="407" customFormat="false" ht="15" hidden="false" customHeight="false" outlineLevel="0" collapsed="false">
      <c r="A407" s="16" t="n">
        <v>406</v>
      </c>
      <c r="B407" s="4" t="s">
        <v>381</v>
      </c>
      <c r="C407" s="4" t="str">
        <f aca="false">IF('Service Types'!B327="","",'Service Types'!B327)</f>
        <v>IS - Real Estate and Development Services</v>
      </c>
      <c r="D407" s="5" t="n">
        <f aca="false">IF('Service Types'!E327="","",'Service Types'!E327)</f>
        <v>13</v>
      </c>
      <c r="E407" s="5" t="n">
        <f aca="false">IF('Service Types'!D327="","",'Service Types'!D327)</f>
        <v>60</v>
      </c>
      <c r="F407" s="5" t="n">
        <f aca="false">IF('Service Types'!F327="","",'Service Types'!F327)</f>
        <v>0</v>
      </c>
      <c r="G407" s="5" t="n">
        <f aca="false">IF('Service Types'!G327="","",'Service Types'!G327)</f>
        <v>0</v>
      </c>
      <c r="H407" s="5" t="n">
        <f aca="false">IF('Service Types'!H327="","",'Service Types'!H327)</f>
        <v>60</v>
      </c>
      <c r="I407" s="6" t="n">
        <f aca="false">IF('Service Types'!I327="","",'Service Types'!I327)</f>
        <v>3</v>
      </c>
      <c r="J407" s="6" t="n">
        <f aca="false">IF('Service Types'!J327="","",'Service Types'!J327)</f>
        <v>3.7</v>
      </c>
      <c r="K407" s="6" t="n">
        <f aca="false">IF('Service Types'!K327="","",'Service Types'!K327)</f>
        <v>7</v>
      </c>
    </row>
    <row r="408" customFormat="false" ht="15" hidden="false" customHeight="false" outlineLevel="0" collapsed="false">
      <c r="A408" s="16" t="n">
        <v>407</v>
      </c>
      <c r="B408" s="4" t="s">
        <v>393</v>
      </c>
      <c r="C408" s="4" t="str">
        <f aca="false">IF('Service Types'!B336="","",'Service Types'!B336)</f>
        <v>LLSS - City Clerk's Office</v>
      </c>
      <c r="D408" s="5" t="n">
        <f aca="false">IF('Service Types'!E336="","",'Service Types'!E336)</f>
        <v>13</v>
      </c>
      <c r="E408" s="5" t="n">
        <f aca="false">IF('Service Types'!D336="","",'Service Types'!D336)</f>
        <v>36</v>
      </c>
      <c r="F408" s="5" t="n">
        <f aca="false">IF('Service Types'!F336="","",'Service Types'!F336)</f>
        <v>0</v>
      </c>
      <c r="G408" s="5" t="n">
        <f aca="false">IF('Service Types'!G336="","",'Service Types'!G336)</f>
        <v>0</v>
      </c>
      <c r="H408" s="5" t="n">
        <f aca="false">IF('Service Types'!H336="","",'Service Types'!H336)</f>
        <v>36</v>
      </c>
      <c r="I408" s="6" t="n">
        <f aca="false">IF('Service Types'!I336="","",'Service Types'!I336)</f>
        <v>2</v>
      </c>
      <c r="J408" s="6" t="n">
        <f aca="false">IF('Service Types'!J336="","",'Service Types'!J336)</f>
        <v>3.2</v>
      </c>
      <c r="K408" s="6" t="n">
        <f aca="false">IF('Service Types'!K336="","",'Service Types'!K336)</f>
        <v>6</v>
      </c>
    </row>
    <row r="409" customFormat="false" ht="15" hidden="false" customHeight="false" outlineLevel="0" collapsed="false">
      <c r="A409" s="16" t="n">
        <v>408</v>
      </c>
      <c r="B409" s="4" t="s">
        <v>155</v>
      </c>
      <c r="C409" s="4" t="str">
        <f aca="false">IF('Service Types'!B114="","",'Service Types'!B114)</f>
        <v>CS - Community Strategies</v>
      </c>
      <c r="D409" s="5" t="n">
        <f aca="false">IF('Service Types'!E114="","",'Service Types'!E114)</f>
        <v>12</v>
      </c>
      <c r="E409" s="5" t="n">
        <f aca="false">IF('Service Types'!D114="","",'Service Types'!D114)</f>
        <v>30</v>
      </c>
      <c r="F409" s="5" t="n">
        <f aca="false">IF('Service Types'!F114="","",'Service Types'!F114)</f>
        <v>0</v>
      </c>
      <c r="G409" s="5" t="n">
        <f aca="false">IF('Service Types'!G114="","",'Service Types'!G114)</f>
        <v>0</v>
      </c>
      <c r="H409" s="5" t="n">
        <f aca="false">IF('Service Types'!H114="","",'Service Types'!H114)</f>
        <v>30</v>
      </c>
      <c r="I409" s="6" t="n">
        <f aca="false">IF('Service Types'!I114="","",'Service Types'!I114)</f>
        <v>4.5</v>
      </c>
      <c r="J409" s="6" t="n">
        <f aca="false">IF('Service Types'!J114="","",'Service Types'!J114)</f>
        <v>4.4</v>
      </c>
      <c r="K409" s="6" t="n">
        <f aca="false">IF('Service Types'!K114="","",'Service Types'!K114)</f>
        <v>7</v>
      </c>
    </row>
    <row r="410" customFormat="false" ht="15" hidden="false" customHeight="false" outlineLevel="0" collapsed="false">
      <c r="A410" s="16" t="n">
        <v>409</v>
      </c>
      <c r="B410" s="4" t="s">
        <v>799</v>
      </c>
      <c r="C410" s="4" t="str">
        <f aca="false">IF('Service Types'!B714="","",'Service Types'!B714)</f>
        <v>PICS - Information Technology</v>
      </c>
      <c r="D410" s="5" t="n">
        <f aca="false">IF('Service Types'!E714="","",'Service Types'!E714)</f>
        <v>12</v>
      </c>
      <c r="E410" s="5" t="n">
        <f aca="false">IF('Service Types'!D714="","",'Service Types'!D714)</f>
        <v>22</v>
      </c>
      <c r="F410" s="5" t="n">
        <f aca="false">IF('Service Types'!F714="","",'Service Types'!F714)</f>
        <v>0</v>
      </c>
      <c r="G410" s="5" t="n">
        <f aca="false">IF('Service Types'!G714="","",'Service Types'!G714)</f>
        <v>0</v>
      </c>
      <c r="H410" s="5" t="n">
        <f aca="false">IF('Service Types'!H714="","",'Service Types'!H714)</f>
        <v>22</v>
      </c>
      <c r="I410" s="6" t="n">
        <f aca="false">IF('Service Types'!I714="","",'Service Types'!I714)</f>
        <v>4</v>
      </c>
      <c r="J410" s="6" t="n">
        <f aca="false">IF('Service Types'!J714="","",'Service Types'!J714)</f>
        <v>11.2</v>
      </c>
      <c r="K410" s="6" t="n">
        <f aca="false">IF('Service Types'!K714="","",'Service Types'!K714)</f>
        <v>7</v>
      </c>
    </row>
    <row r="411" customFormat="false" ht="15" hidden="false" customHeight="false" outlineLevel="0" collapsed="false">
      <c r="A411" s="16" t="n">
        <v>410</v>
      </c>
      <c r="B411" s="4" t="s">
        <v>771</v>
      </c>
      <c r="C411" s="4" t="str">
        <f aca="false">IF('Service Types'!B691="","",'Service Types'!B691)</f>
        <v>PICS - 311 and Insights</v>
      </c>
      <c r="D411" s="5" t="n">
        <f aca="false">IF('Service Types'!E691="","",'Service Types'!E691)</f>
        <v>12</v>
      </c>
      <c r="E411" s="5" t="n">
        <f aca="false">IF('Service Types'!D691="","",'Service Types'!D691)</f>
        <v>17</v>
      </c>
      <c r="F411" s="5" t="n">
        <f aca="false">IF('Service Types'!F691="","",'Service Types'!F691)</f>
        <v>2</v>
      </c>
      <c r="G411" s="5" t="n">
        <f aca="false">IF('Service Types'!G691="","",'Service Types'!G691)</f>
        <v>2</v>
      </c>
      <c r="H411" s="5" t="n">
        <f aca="false">IF('Service Types'!H691="","",'Service Types'!H691)</f>
        <v>15</v>
      </c>
      <c r="I411" s="6" t="n">
        <f aca="false">IF('Service Types'!I691="","",'Service Types'!I691)</f>
        <v>3</v>
      </c>
      <c r="J411" s="6" t="n">
        <f aca="false">IF('Service Types'!J691="","",'Service Types'!J691)</f>
        <v>3.3</v>
      </c>
      <c r="K411" s="6" t="n">
        <f aca="false">IF('Service Types'!K691="","",'Service Types'!K691)</f>
        <v>6</v>
      </c>
    </row>
    <row r="412" customFormat="false" ht="15" hidden="false" customHeight="false" outlineLevel="0" collapsed="false">
      <c r="A412" s="16" t="n">
        <v>411</v>
      </c>
      <c r="B412" s="4" t="s">
        <v>760</v>
      </c>
      <c r="C412" s="4" t="str">
        <f aca="false">IF('Service Types'!B682="","",'Service Types'!B682)</f>
        <v>PDS - Downtown Strategy</v>
      </c>
      <c r="D412" s="5" t="n">
        <f aca="false">IF('Service Types'!E682="","",'Service Types'!E682)</f>
        <v>12</v>
      </c>
      <c r="E412" s="5" t="n">
        <f aca="false">IF('Service Types'!D682="","",'Service Types'!D682)</f>
        <v>12</v>
      </c>
      <c r="F412" s="5" t="n">
        <f aca="false">IF('Service Types'!F682="","",'Service Types'!F682)</f>
        <v>1</v>
      </c>
      <c r="G412" s="5" t="n">
        <f aca="false">IF('Service Types'!G682="","",'Service Types'!G682)</f>
        <v>0</v>
      </c>
      <c r="H412" s="5" t="n">
        <f aca="false">IF('Service Types'!H682="","",'Service Types'!H682)</f>
        <v>11</v>
      </c>
      <c r="I412" s="6" t="n">
        <f aca="false">IF('Service Types'!I682="","",'Service Types'!I682)</f>
        <v>6</v>
      </c>
      <c r="J412" s="6" t="n">
        <f aca="false">IF('Service Types'!J682="","",'Service Types'!J682)</f>
        <v>19.7</v>
      </c>
      <c r="K412" s="6" t="n">
        <f aca="false">IF('Service Types'!K682="","",'Service Types'!K682)</f>
        <v>54</v>
      </c>
    </row>
    <row r="413" customFormat="false" ht="15" hidden="false" customHeight="false" outlineLevel="0" collapsed="false">
      <c r="A413" s="16" t="n">
        <v>412</v>
      </c>
      <c r="B413" s="4" t="s">
        <v>226</v>
      </c>
      <c r="C413" s="4" t="str">
        <f aca="false">IF('Service Types'!B183="","",'Service Types'!B183)</f>
        <v>CS - Emergency Management and Community Safety</v>
      </c>
      <c r="D413" s="5" t="n">
        <f aca="false">IF('Service Types'!E183="","",'Service Types'!E183)</f>
        <v>11</v>
      </c>
      <c r="E413" s="5" t="n">
        <f aca="false">IF('Service Types'!D183="","",'Service Types'!D183)</f>
        <v>73</v>
      </c>
      <c r="F413" s="5" t="n">
        <f aca="false">IF('Service Types'!F183="","",'Service Types'!F183)</f>
        <v>0</v>
      </c>
      <c r="G413" s="5" t="n">
        <f aca="false">IF('Service Types'!G183="","",'Service Types'!G183)</f>
        <v>0</v>
      </c>
      <c r="H413" s="5" t="n">
        <f aca="false">IF('Service Types'!H183="","",'Service Types'!H183)</f>
        <v>73</v>
      </c>
      <c r="I413" s="6" t="n">
        <f aca="false">IF('Service Types'!I183="","",'Service Types'!I183)</f>
        <v>4</v>
      </c>
      <c r="J413" s="6" t="n">
        <f aca="false">IF('Service Types'!J183="","",'Service Types'!J183)</f>
        <v>7.4</v>
      </c>
      <c r="K413" s="6" t="n">
        <f aca="false">IF('Service Types'!K183="","",'Service Types'!K183)</f>
        <v>15</v>
      </c>
    </row>
    <row r="414" customFormat="false" ht="15" hidden="false" customHeight="false" outlineLevel="0" collapsed="false">
      <c r="A414" s="16" t="n">
        <v>413</v>
      </c>
      <c r="B414" s="4" t="s">
        <v>496</v>
      </c>
      <c r="C414" s="4" t="str">
        <f aca="false">IF('Service Types'!B433="","",'Service Types'!B433)</f>
        <v>OS - Mobility</v>
      </c>
      <c r="D414" s="5" t="n">
        <f aca="false">IF('Service Types'!E433="","",'Service Types'!E433)</f>
        <v>11</v>
      </c>
      <c r="E414" s="5" t="n">
        <f aca="false">IF('Service Types'!D433="","",'Service Types'!D433)</f>
        <v>61</v>
      </c>
      <c r="F414" s="5" t="n">
        <f aca="false">IF('Service Types'!F433="","",'Service Types'!F433)</f>
        <v>4</v>
      </c>
      <c r="G414" s="5" t="n">
        <f aca="false">IF('Service Types'!G433="","",'Service Types'!G433)</f>
        <v>4</v>
      </c>
      <c r="H414" s="5" t="n">
        <f aca="false">IF('Service Types'!H433="","",'Service Types'!H433)</f>
        <v>57</v>
      </c>
      <c r="I414" s="6" t="n">
        <f aca="false">IF('Service Types'!I433="","",'Service Types'!I433)</f>
        <v>6</v>
      </c>
      <c r="J414" s="6" t="n">
        <f aca="false">IF('Service Types'!J433="","",'Service Types'!J433)</f>
        <v>46</v>
      </c>
      <c r="K414" s="6" t="n">
        <f aca="false">IF('Service Types'!K433="","",'Service Types'!K433)</f>
        <v>181</v>
      </c>
    </row>
    <row r="415" customFormat="false" ht="15" hidden="false" customHeight="false" outlineLevel="0" collapsed="false">
      <c r="A415" s="16" t="n">
        <v>414</v>
      </c>
      <c r="B415" s="4" t="s">
        <v>766</v>
      </c>
      <c r="C415" s="4" t="str">
        <f aca="false">IF('Service Types'!B686="","",'Service Types'!B686)</f>
        <v>PDS - Environmental Risk &amp; Resilience</v>
      </c>
      <c r="D415" s="5" t="n">
        <f aca="false">IF('Service Types'!E686="","",'Service Types'!E686)</f>
        <v>11</v>
      </c>
      <c r="E415" s="5" t="n">
        <f aca="false">IF('Service Types'!D686="","",'Service Types'!D686)</f>
        <v>11</v>
      </c>
      <c r="F415" s="5" t="n">
        <f aca="false">IF('Service Types'!F686="","",'Service Types'!F686)</f>
        <v>1</v>
      </c>
      <c r="G415" s="5" t="n">
        <f aca="false">IF('Service Types'!G686="","",'Service Types'!G686)</f>
        <v>0</v>
      </c>
      <c r="H415" s="5" t="n">
        <f aca="false">IF('Service Types'!H686="","",'Service Types'!H686)</f>
        <v>10</v>
      </c>
      <c r="I415" s="6" t="n">
        <f aca="false">IF('Service Types'!I686="","",'Service Types'!I686)</f>
        <v>5.5</v>
      </c>
      <c r="J415" s="6" t="n">
        <f aca="false">IF('Service Types'!J686="","",'Service Types'!J686)</f>
        <v>10.1</v>
      </c>
      <c r="K415" s="6" t="n">
        <f aca="false">IF('Service Types'!K686="","",'Service Types'!K686)</f>
        <v>22</v>
      </c>
    </row>
    <row r="416" customFormat="false" ht="15" hidden="false" customHeight="false" outlineLevel="0" collapsed="false">
      <c r="A416" s="16" t="n">
        <v>415</v>
      </c>
      <c r="B416" s="4" t="s">
        <v>767</v>
      </c>
      <c r="C416" s="4" t="str">
        <f aca="false">IF('Service Types'!B687="","",'Service Types'!B687)</f>
        <v>PDS - Environmental Risk &amp; Resilience</v>
      </c>
      <c r="D416" s="5" t="n">
        <f aca="false">IF('Service Types'!E687="","",'Service Types'!E687)</f>
        <v>11</v>
      </c>
      <c r="E416" s="5" t="n">
        <f aca="false">IF('Service Types'!D687="","",'Service Types'!D687)</f>
        <v>11</v>
      </c>
      <c r="F416" s="5" t="n">
        <f aca="false">IF('Service Types'!F687="","",'Service Types'!F687)</f>
        <v>1</v>
      </c>
      <c r="G416" s="5" t="n">
        <f aca="false">IF('Service Types'!G687="","",'Service Types'!G687)</f>
        <v>0</v>
      </c>
      <c r="H416" s="5" t="n">
        <f aca="false">IF('Service Types'!H687="","",'Service Types'!H687)</f>
        <v>10</v>
      </c>
      <c r="I416" s="6" t="n">
        <f aca="false">IF('Service Types'!I687="","",'Service Types'!I687)</f>
        <v>2.5</v>
      </c>
      <c r="J416" s="6" t="n">
        <f aca="false">IF('Service Types'!J687="","",'Service Types'!J687)</f>
        <v>4.5</v>
      </c>
      <c r="K416" s="6" t="n">
        <f aca="false">IF('Service Types'!K687="","",'Service Types'!K687)</f>
        <v>11</v>
      </c>
    </row>
    <row r="417" customFormat="false" ht="15" hidden="false" customHeight="false" outlineLevel="0" collapsed="false">
      <c r="A417" s="16" t="n">
        <v>416</v>
      </c>
      <c r="B417" s="4" t="s">
        <v>282</v>
      </c>
      <c r="C417" s="4" t="str">
        <f aca="false">IF('Service Types'!B237="","",'Service Types'!B237)</f>
        <v>CS - Recreation and Social Programs</v>
      </c>
      <c r="D417" s="5" t="n">
        <f aca="false">IF('Service Types'!E237="","",'Service Types'!E237)</f>
        <v>10</v>
      </c>
      <c r="E417" s="5" t="n">
        <f aca="false">IF('Service Types'!D237="","",'Service Types'!D237)</f>
        <v>379</v>
      </c>
      <c r="F417" s="5" t="n">
        <f aca="false">IF('Service Types'!F237="","",'Service Types'!F237)</f>
        <v>1</v>
      </c>
      <c r="G417" s="5" t="n">
        <f aca="false">IF('Service Types'!G237="","",'Service Types'!G237)</f>
        <v>1</v>
      </c>
      <c r="H417" s="5" t="n">
        <f aca="false">IF('Service Types'!H237="","",'Service Types'!H237)</f>
        <v>378</v>
      </c>
      <c r="I417" s="6" t="n">
        <f aca="false">IF('Service Types'!I237="","",'Service Types'!I237)</f>
        <v>23</v>
      </c>
      <c r="J417" s="6" t="n">
        <f aca="false">IF('Service Types'!J237="","",'Service Types'!J237)</f>
        <v>48.5</v>
      </c>
      <c r="K417" s="6" t="n">
        <f aca="false">IF('Service Types'!K237="","",'Service Types'!K237)</f>
        <v>134</v>
      </c>
    </row>
    <row r="418" customFormat="false" ht="15" hidden="false" customHeight="false" outlineLevel="0" collapsed="false">
      <c r="A418" s="16" t="n">
        <v>417</v>
      </c>
      <c r="B418" s="4" t="s">
        <v>306</v>
      </c>
      <c r="C418" s="4" t="str">
        <f aca="false">IF('Service Types'!B261="","",'Service Types'!B261)</f>
        <v>CS - Recreation and Social Programs</v>
      </c>
      <c r="D418" s="5" t="n">
        <f aca="false">IF('Service Types'!E261="","",'Service Types'!E261)</f>
        <v>10</v>
      </c>
      <c r="E418" s="5" t="n">
        <f aca="false">IF('Service Types'!D261="","",'Service Types'!D261)</f>
        <v>41</v>
      </c>
      <c r="F418" s="5" t="n">
        <f aca="false">IF('Service Types'!F261="","",'Service Types'!F261)</f>
        <v>0</v>
      </c>
      <c r="G418" s="5" t="n">
        <f aca="false">IF('Service Types'!G261="","",'Service Types'!G261)</f>
        <v>0</v>
      </c>
      <c r="H418" s="5" t="n">
        <f aca="false">IF('Service Types'!H261="","",'Service Types'!H261)</f>
        <v>41</v>
      </c>
      <c r="I418" s="6" t="n">
        <f aca="false">IF('Service Types'!I261="","",'Service Types'!I261)</f>
        <v>4</v>
      </c>
      <c r="J418" s="6" t="n">
        <f aca="false">IF('Service Types'!J261="","",'Service Types'!J261)</f>
        <v>6.1</v>
      </c>
      <c r="K418" s="6" t="n">
        <f aca="false">IF('Service Types'!K261="","",'Service Types'!K261)</f>
        <v>11</v>
      </c>
    </row>
    <row r="419" customFormat="false" ht="15" hidden="false" customHeight="false" outlineLevel="0" collapsed="false">
      <c r="A419" s="16" t="n">
        <v>418</v>
      </c>
      <c r="B419" s="4" t="s">
        <v>308</v>
      </c>
      <c r="C419" s="4" t="str">
        <f aca="false">IF('Service Types'!B263="","",'Service Types'!B263)</f>
        <v>CS - Recreation and Social Programs</v>
      </c>
      <c r="D419" s="5" t="n">
        <f aca="false">IF('Service Types'!E263="","",'Service Types'!E263)</f>
        <v>10</v>
      </c>
      <c r="E419" s="5" t="n">
        <f aca="false">IF('Service Types'!D263="","",'Service Types'!D263)</f>
        <v>11</v>
      </c>
      <c r="F419" s="5" t="n">
        <f aca="false">IF('Service Types'!F263="","",'Service Types'!F263)</f>
        <v>0</v>
      </c>
      <c r="G419" s="5" t="n">
        <f aca="false">IF('Service Types'!G263="","",'Service Types'!G263)</f>
        <v>0</v>
      </c>
      <c r="H419" s="5" t="n">
        <f aca="false">IF('Service Types'!H263="","",'Service Types'!H263)</f>
        <v>11</v>
      </c>
      <c r="I419" s="6" t="n">
        <f aca="false">IF('Service Types'!I263="","",'Service Types'!I263)</f>
        <v>5</v>
      </c>
      <c r="J419" s="6" t="n">
        <f aca="false">IF('Service Types'!J263="","",'Service Types'!J263)</f>
        <v>9.5</v>
      </c>
      <c r="K419" s="6" t="n">
        <f aca="false">IF('Service Types'!K263="","",'Service Types'!K263)</f>
        <v>11</v>
      </c>
    </row>
    <row r="420" customFormat="false" ht="15" hidden="false" customHeight="false" outlineLevel="0" collapsed="false">
      <c r="A420" s="16" t="n">
        <v>419</v>
      </c>
      <c r="B420" s="4" t="s">
        <v>775</v>
      </c>
      <c r="C420" s="4" t="str">
        <f aca="false">IF('Service Types'!B693="","",'Service Types'!B693)</f>
        <v>PICS - Collaboration, Analytics and Innovation</v>
      </c>
      <c r="D420" s="5" t="n">
        <f aca="false">IF('Service Types'!E693="","",'Service Types'!E693)</f>
        <v>9</v>
      </c>
      <c r="E420" s="5" t="n">
        <f aca="false">IF('Service Types'!D693="","",'Service Types'!D693)</f>
        <v>77</v>
      </c>
      <c r="F420" s="5" t="n">
        <f aca="false">IF('Service Types'!F693="","",'Service Types'!F693)</f>
        <v>0</v>
      </c>
      <c r="G420" s="5" t="n">
        <f aca="false">IF('Service Types'!G693="","",'Service Types'!G693)</f>
        <v>0</v>
      </c>
      <c r="H420" s="5" t="n">
        <f aca="false">IF('Service Types'!H693="","",'Service Types'!H693)</f>
        <v>77</v>
      </c>
      <c r="I420" s="6" t="n">
        <f aca="false">IF('Service Types'!I693="","",'Service Types'!I693)</f>
        <v>6</v>
      </c>
      <c r="J420" s="6" t="n">
        <f aca="false">IF('Service Types'!J693="","",'Service Types'!J693)</f>
        <v>17.6</v>
      </c>
      <c r="K420" s="6" t="n">
        <f aca="false">IF('Service Types'!K693="","",'Service Types'!K693)</f>
        <v>59</v>
      </c>
    </row>
    <row r="421" customFormat="false" ht="15" hidden="false" customHeight="false" outlineLevel="0" collapsed="false">
      <c r="A421" s="16" t="n">
        <v>420</v>
      </c>
      <c r="B421" s="4" t="s">
        <v>402</v>
      </c>
      <c r="C421" s="4" t="str">
        <f aca="false">IF('Service Types'!B343="","",'Service Types'!B343)</f>
        <v>LLSS - Law</v>
      </c>
      <c r="D421" s="5" t="n">
        <f aca="false">IF('Service Types'!E343="","",'Service Types'!E343)</f>
        <v>8</v>
      </c>
      <c r="E421" s="5" t="n">
        <f aca="false">IF('Service Types'!D343="","",'Service Types'!D343)</f>
        <v>74</v>
      </c>
      <c r="F421" s="5" t="n">
        <f aca="false">IF('Service Types'!F343="","",'Service Types'!F343)</f>
        <v>1</v>
      </c>
      <c r="G421" s="5" t="n">
        <f aca="false">IF('Service Types'!G343="","",'Service Types'!G343)</f>
        <v>1</v>
      </c>
      <c r="H421" s="5" t="n">
        <f aca="false">IF('Service Types'!H343="","",'Service Types'!H343)</f>
        <v>73</v>
      </c>
      <c r="I421" s="6" t="n">
        <f aca="false">IF('Service Types'!I343="","",'Service Types'!I343)</f>
        <v>8</v>
      </c>
      <c r="J421" s="6" t="n">
        <f aca="false">IF('Service Types'!J343="","",'Service Types'!J343)</f>
        <v>8.3</v>
      </c>
      <c r="K421" s="6" t="n">
        <f aca="false">IF('Service Types'!K343="","",'Service Types'!K343)</f>
        <v>11</v>
      </c>
    </row>
    <row r="422" customFormat="false" ht="15" hidden="false" customHeight="false" outlineLevel="0" collapsed="false">
      <c r="A422" s="16" t="n">
        <v>421</v>
      </c>
      <c r="B422" s="4" t="s">
        <v>227</v>
      </c>
      <c r="C422" s="4" t="str">
        <f aca="false">IF('Service Types'!B184="","",'Service Types'!B184)</f>
        <v>CS - Emergency Management and Community Safety</v>
      </c>
      <c r="D422" s="5" t="n">
        <f aca="false">IF('Service Types'!E184="","",'Service Types'!E184)</f>
        <v>8</v>
      </c>
      <c r="E422" s="5" t="n">
        <f aca="false">IF('Service Types'!D184="","",'Service Types'!D184)</f>
        <v>70</v>
      </c>
      <c r="F422" s="5" t="n">
        <f aca="false">IF('Service Types'!F184="","",'Service Types'!F184)</f>
        <v>0</v>
      </c>
      <c r="G422" s="5" t="n">
        <f aca="false">IF('Service Types'!G184="","",'Service Types'!G184)</f>
        <v>0</v>
      </c>
      <c r="H422" s="5" t="n">
        <f aca="false">IF('Service Types'!H184="","",'Service Types'!H184)</f>
        <v>70</v>
      </c>
      <c r="I422" s="6" t="n">
        <f aca="false">IF('Service Types'!I184="","",'Service Types'!I184)</f>
        <v>1</v>
      </c>
      <c r="J422" s="6" t="n">
        <f aca="false">IF('Service Types'!J184="","",'Service Types'!J184)</f>
        <v>5.4</v>
      </c>
      <c r="K422" s="6" t="n">
        <f aca="false">IF('Service Types'!K184="","",'Service Types'!K184)</f>
        <v>13</v>
      </c>
    </row>
    <row r="423" customFormat="false" ht="15" hidden="false" customHeight="false" outlineLevel="0" collapsed="false">
      <c r="A423" s="16" t="n">
        <v>422</v>
      </c>
      <c r="B423" s="4" t="s">
        <v>233</v>
      </c>
      <c r="C423" s="4" t="str">
        <f aca="false">IF('Service Types'!B190="","",'Service Types'!B190)</f>
        <v>CS - Emergency Management and Community Safety</v>
      </c>
      <c r="D423" s="5" t="n">
        <f aca="false">IF('Service Types'!E190="","",'Service Types'!E190)</f>
        <v>8</v>
      </c>
      <c r="E423" s="5" t="n">
        <f aca="false">IF('Service Types'!D190="","",'Service Types'!D190)</f>
        <v>34</v>
      </c>
      <c r="F423" s="5" t="n">
        <f aca="false">IF('Service Types'!F190="","",'Service Types'!F190)</f>
        <v>0</v>
      </c>
      <c r="G423" s="5" t="n">
        <f aca="false">IF('Service Types'!G190="","",'Service Types'!G190)</f>
        <v>0</v>
      </c>
      <c r="H423" s="5" t="n">
        <f aca="false">IF('Service Types'!H190="","",'Service Types'!H190)</f>
        <v>34</v>
      </c>
      <c r="I423" s="6" t="n">
        <f aca="false">IF('Service Types'!I190="","",'Service Types'!I190)</f>
        <v>29.5</v>
      </c>
      <c r="J423" s="6" t="n">
        <f aca="false">IF('Service Types'!J190="","",'Service Types'!J190)</f>
        <v>39.3</v>
      </c>
      <c r="K423" s="6" t="n">
        <f aca="false">IF('Service Types'!K190="","",'Service Types'!K190)</f>
        <v>82</v>
      </c>
    </row>
    <row r="424" customFormat="false" ht="15" hidden="false" customHeight="false" outlineLevel="0" collapsed="false">
      <c r="A424" s="16" t="n">
        <v>423</v>
      </c>
      <c r="B424" s="4" t="s">
        <v>323</v>
      </c>
      <c r="C424" s="4" t="str">
        <f aca="false">IF('Service Types'!B274="","",'Service Types'!B274)</f>
        <v>Elected Officials</v>
      </c>
      <c r="D424" s="5" t="n">
        <f aca="false">IF('Service Types'!E274="","",'Service Types'!E274)</f>
        <v>8</v>
      </c>
      <c r="E424" s="5" t="n">
        <f aca="false">IF('Service Types'!D274="","",'Service Types'!D274)</f>
        <v>9</v>
      </c>
      <c r="F424" s="5" t="n">
        <f aca="false">IF('Service Types'!F274="","",'Service Types'!F274)</f>
        <v>0</v>
      </c>
      <c r="G424" s="5" t="n">
        <f aca="false">IF('Service Types'!G274="","",'Service Types'!G274)</f>
        <v>0</v>
      </c>
      <c r="H424" s="5" t="n">
        <f aca="false">IF('Service Types'!H274="","",'Service Types'!H274)</f>
        <v>9</v>
      </c>
      <c r="I424" s="6" t="n">
        <f aca="false">IF('Service Types'!I274="","",'Service Types'!I274)</f>
        <v>0</v>
      </c>
      <c r="J424" s="6" t="n">
        <f aca="false">IF('Service Types'!J274="","",'Service Types'!J274)</f>
        <v>0</v>
      </c>
      <c r="K424" s="6" t="n">
        <f aca="false">IF('Service Types'!K274="","",'Service Types'!K274)</f>
        <v>0</v>
      </c>
    </row>
    <row r="425" customFormat="false" ht="15" hidden="false" customHeight="false" outlineLevel="0" collapsed="false">
      <c r="A425" s="16" t="n">
        <v>424</v>
      </c>
      <c r="B425" s="4" t="s">
        <v>690</v>
      </c>
      <c r="C425" s="4" t="str">
        <f aca="false">IF('Service Types'!B614="","",'Service Types'!B614)</f>
        <v>PDS - Climate and Environment</v>
      </c>
      <c r="D425" s="5" t="n">
        <f aca="false">IF('Service Types'!E614="","",'Service Types'!E614)</f>
        <v>7</v>
      </c>
      <c r="E425" s="5" t="n">
        <f aca="false">IF('Service Types'!D614="","",'Service Types'!D614)</f>
        <v>67</v>
      </c>
      <c r="F425" s="5" t="n">
        <f aca="false">IF('Service Types'!F614="","",'Service Types'!F614)</f>
        <v>0</v>
      </c>
      <c r="G425" s="5" t="n">
        <f aca="false">IF('Service Types'!G614="","",'Service Types'!G614)</f>
        <v>0</v>
      </c>
      <c r="H425" s="5" t="n">
        <f aca="false">IF('Service Types'!H614="","",'Service Types'!H614)</f>
        <v>67</v>
      </c>
      <c r="I425" s="6" t="n">
        <f aca="false">IF('Service Types'!I614="","",'Service Types'!I614)</f>
        <v>7</v>
      </c>
      <c r="J425" s="6" t="n">
        <f aca="false">IF('Service Types'!J614="","",'Service Types'!J614)</f>
        <v>24.6</v>
      </c>
      <c r="K425" s="6" t="n">
        <f aca="false">IF('Service Types'!K614="","",'Service Types'!K614)</f>
        <v>28</v>
      </c>
    </row>
    <row r="426" customFormat="false" ht="15" hidden="false" customHeight="false" outlineLevel="0" collapsed="false">
      <c r="A426" s="16" t="n">
        <v>425</v>
      </c>
      <c r="B426" s="4" t="s">
        <v>231</v>
      </c>
      <c r="C426" s="4" t="str">
        <f aca="false">IF('Service Types'!B188="","",'Service Types'!B188)</f>
        <v>CS - Emergency Management and Community Safety</v>
      </c>
      <c r="D426" s="5" t="n">
        <f aca="false">IF('Service Types'!E188="","",'Service Types'!E188)</f>
        <v>7</v>
      </c>
      <c r="E426" s="5" t="n">
        <f aca="false">IF('Service Types'!D188="","",'Service Types'!D188)</f>
        <v>38</v>
      </c>
      <c r="F426" s="5" t="n">
        <f aca="false">IF('Service Types'!F188="","",'Service Types'!F188)</f>
        <v>0</v>
      </c>
      <c r="G426" s="5" t="n">
        <f aca="false">IF('Service Types'!G188="","",'Service Types'!G188)</f>
        <v>0</v>
      </c>
      <c r="H426" s="5" t="n">
        <f aca="false">IF('Service Types'!H188="","",'Service Types'!H188)</f>
        <v>38</v>
      </c>
      <c r="I426" s="6" t="n">
        <f aca="false">IF('Service Types'!I188="","",'Service Types'!I188)</f>
        <v>2</v>
      </c>
      <c r="J426" s="6" t="n">
        <f aca="false">IF('Service Types'!J188="","",'Service Types'!J188)</f>
        <v>6.7</v>
      </c>
      <c r="K426" s="6" t="n">
        <f aca="false">IF('Service Types'!K188="","",'Service Types'!K188)</f>
        <v>18</v>
      </c>
    </row>
    <row r="427" customFormat="false" ht="15" hidden="false" customHeight="false" outlineLevel="0" collapsed="false">
      <c r="A427" s="16" t="n">
        <v>426</v>
      </c>
      <c r="B427" s="4" t="s">
        <v>798</v>
      </c>
      <c r="C427" s="4" t="str">
        <f aca="false">IF('Service Types'!B713="","",'Service Types'!B713)</f>
        <v>PICS - Information Technology</v>
      </c>
      <c r="D427" s="5" t="n">
        <f aca="false">IF('Service Types'!E713="","",'Service Types'!E713)</f>
        <v>7</v>
      </c>
      <c r="E427" s="5" t="n">
        <f aca="false">IF('Service Types'!D713="","",'Service Types'!D713)</f>
        <v>25</v>
      </c>
      <c r="F427" s="5" t="n">
        <f aca="false">IF('Service Types'!F713="","",'Service Types'!F713)</f>
        <v>0</v>
      </c>
      <c r="G427" s="5" t="n">
        <f aca="false">IF('Service Types'!G713="","",'Service Types'!G713)</f>
        <v>0</v>
      </c>
      <c r="H427" s="5" t="n">
        <f aca="false">IF('Service Types'!H713="","",'Service Types'!H713)</f>
        <v>25</v>
      </c>
      <c r="I427" s="6" t="n">
        <f aca="false">IF('Service Types'!I713="","",'Service Types'!I713)</f>
        <v>0</v>
      </c>
      <c r="J427" s="6" t="n">
        <f aca="false">IF('Service Types'!J713="","",'Service Types'!J713)</f>
        <v>0</v>
      </c>
      <c r="K427" s="6" t="n">
        <f aca="false">IF('Service Types'!K713="","",'Service Types'!K713)</f>
        <v>0</v>
      </c>
    </row>
    <row r="428" customFormat="false" ht="15" hidden="false" customHeight="false" outlineLevel="0" collapsed="false">
      <c r="A428" s="16" t="n">
        <v>427</v>
      </c>
      <c r="B428" s="4" t="s">
        <v>691</v>
      </c>
      <c r="C428" s="4" t="str">
        <f aca="false">IF('Service Types'!B615="","",'Service Types'!B615)</f>
        <v>PDS - Climate and Environment</v>
      </c>
      <c r="D428" s="5" t="n">
        <f aca="false">IF('Service Types'!E615="","",'Service Types'!E615)</f>
        <v>6</v>
      </c>
      <c r="E428" s="5" t="n">
        <f aca="false">IF('Service Types'!D615="","",'Service Types'!D615)</f>
        <v>37</v>
      </c>
      <c r="F428" s="5" t="n">
        <f aca="false">IF('Service Types'!F615="","",'Service Types'!F615)</f>
        <v>0</v>
      </c>
      <c r="G428" s="5" t="n">
        <f aca="false">IF('Service Types'!G615="","",'Service Types'!G615)</f>
        <v>0</v>
      </c>
      <c r="H428" s="5" t="n">
        <f aca="false">IF('Service Types'!H615="","",'Service Types'!H615)</f>
        <v>37</v>
      </c>
      <c r="I428" s="6" t="n">
        <f aca="false">IF('Service Types'!I615="","",'Service Types'!I615)</f>
        <v>2</v>
      </c>
      <c r="J428" s="6" t="n">
        <f aca="false">IF('Service Types'!J615="","",'Service Types'!J615)</f>
        <v>8.9</v>
      </c>
      <c r="K428" s="6" t="n">
        <f aca="false">IF('Service Types'!K615="","",'Service Types'!K615)</f>
        <v>16</v>
      </c>
    </row>
    <row r="429" customFormat="false" ht="15" hidden="false" customHeight="false" outlineLevel="0" collapsed="false">
      <c r="A429" s="16" t="n">
        <v>428</v>
      </c>
      <c r="B429" s="4" t="s">
        <v>116</v>
      </c>
      <c r="C429" s="4" t="str">
        <f aca="false">IF('Service Types'!B77="","",'Service Types'!B77)</f>
        <v>CS - Calgary Fire</v>
      </c>
      <c r="D429" s="5" t="n">
        <f aca="false">IF('Service Types'!E77="","",'Service Types'!E77)</f>
        <v>6</v>
      </c>
      <c r="E429" s="5" t="n">
        <f aca="false">IF('Service Types'!D77="","",'Service Types'!D77)</f>
        <v>25</v>
      </c>
      <c r="F429" s="5" t="n">
        <f aca="false">IF('Service Types'!F77="","",'Service Types'!F77)</f>
        <v>1</v>
      </c>
      <c r="G429" s="5" t="n">
        <f aca="false">IF('Service Types'!G77="","",'Service Types'!G77)</f>
        <v>1</v>
      </c>
      <c r="H429" s="5" t="n">
        <f aca="false">IF('Service Types'!H77="","",'Service Types'!H77)</f>
        <v>24</v>
      </c>
      <c r="I429" s="6" t="n">
        <f aca="false">IF('Service Types'!I77="","",'Service Types'!I77)</f>
        <v>10.5</v>
      </c>
      <c r="J429" s="6" t="n">
        <f aca="false">IF('Service Types'!J77="","",'Service Types'!J77)</f>
        <v>14.7</v>
      </c>
      <c r="K429" s="6" t="n">
        <f aca="false">IF('Service Types'!K77="","",'Service Types'!K77)</f>
        <v>26</v>
      </c>
    </row>
    <row r="430" customFormat="false" ht="15" hidden="false" customHeight="false" outlineLevel="0" collapsed="false">
      <c r="A430" s="16" t="n">
        <v>429</v>
      </c>
      <c r="B430" s="4" t="s">
        <v>791</v>
      </c>
      <c r="C430" s="4" t="str">
        <f aca="false">IF('Service Types'!B708="","",'Service Types'!B708)</f>
        <v>PICS - Customer Service and Communications</v>
      </c>
      <c r="D430" s="5" t="n">
        <f aca="false">IF('Service Types'!E708="","",'Service Types'!E708)</f>
        <v>5</v>
      </c>
      <c r="E430" s="5" t="n">
        <f aca="false">IF('Service Types'!D708="","",'Service Types'!D708)</f>
        <v>75</v>
      </c>
      <c r="F430" s="5" t="n">
        <f aca="false">IF('Service Types'!F708="","",'Service Types'!F708)</f>
        <v>2</v>
      </c>
      <c r="G430" s="5" t="n">
        <f aca="false">IF('Service Types'!G708="","",'Service Types'!G708)</f>
        <v>2</v>
      </c>
      <c r="H430" s="5" t="n">
        <f aca="false">IF('Service Types'!H708="","",'Service Types'!H708)</f>
        <v>73</v>
      </c>
      <c r="I430" s="6" t="n">
        <f aca="false">IF('Service Types'!I708="","",'Service Types'!I708)</f>
        <v>4</v>
      </c>
      <c r="J430" s="6" t="n">
        <f aca="false">IF('Service Types'!J708="","",'Service Types'!J708)</f>
        <v>50.6</v>
      </c>
      <c r="K430" s="6" t="n">
        <f aca="false">IF('Service Types'!K708="","",'Service Types'!K708)</f>
        <v>245</v>
      </c>
    </row>
    <row r="431" customFormat="false" ht="15" hidden="false" customHeight="false" outlineLevel="0" collapsed="false">
      <c r="A431" s="16" t="n">
        <v>430</v>
      </c>
      <c r="B431" s="4" t="s">
        <v>495</v>
      </c>
      <c r="C431" s="4" t="str">
        <f aca="false">IF('Service Types'!B432="","",'Service Types'!B432)</f>
        <v>OS - Mobility</v>
      </c>
      <c r="D431" s="5" t="n">
        <f aca="false">IF('Service Types'!E432="","",'Service Types'!E432)</f>
        <v>5</v>
      </c>
      <c r="E431" s="5" t="n">
        <f aca="false">IF('Service Types'!D432="","",'Service Types'!D432)</f>
        <v>61</v>
      </c>
      <c r="F431" s="5" t="n">
        <f aca="false">IF('Service Types'!F432="","",'Service Types'!F432)</f>
        <v>0</v>
      </c>
      <c r="G431" s="5" t="n">
        <f aca="false">IF('Service Types'!G432="","",'Service Types'!G432)</f>
        <v>0</v>
      </c>
      <c r="H431" s="5" t="n">
        <f aca="false">IF('Service Types'!H432="","",'Service Types'!H432)</f>
        <v>61</v>
      </c>
      <c r="I431" s="6" t="n">
        <f aca="false">IF('Service Types'!I432="","",'Service Types'!I432)</f>
        <v>0</v>
      </c>
      <c r="J431" s="6" t="n">
        <f aca="false">IF('Service Types'!J432="","",'Service Types'!J432)</f>
        <v>6.3</v>
      </c>
      <c r="K431" s="6" t="n">
        <f aca="false">IF('Service Types'!K432="","",'Service Types'!K432)</f>
        <v>34</v>
      </c>
    </row>
    <row r="432" customFormat="false" ht="15" hidden="false" customHeight="false" outlineLevel="0" collapsed="false">
      <c r="A432" s="16" t="n">
        <v>431</v>
      </c>
      <c r="B432" s="4" t="s">
        <v>768</v>
      </c>
      <c r="C432" s="4" t="str">
        <f aca="false">IF('Service Types'!B688="","",'Service Types'!B688)</f>
        <v>PDS - Environmental Risk &amp; Resilience</v>
      </c>
      <c r="D432" s="5" t="n">
        <f aca="false">IF('Service Types'!E688="","",'Service Types'!E688)</f>
        <v>5</v>
      </c>
      <c r="E432" s="5" t="n">
        <f aca="false">IF('Service Types'!D688="","",'Service Types'!D688)</f>
        <v>5</v>
      </c>
      <c r="F432" s="5" t="n">
        <f aca="false">IF('Service Types'!F688="","",'Service Types'!F688)</f>
        <v>0</v>
      </c>
      <c r="G432" s="5" t="n">
        <f aca="false">IF('Service Types'!G688="","",'Service Types'!G688)</f>
        <v>0</v>
      </c>
      <c r="H432" s="5" t="n">
        <f aca="false">IF('Service Types'!H688="","",'Service Types'!H688)</f>
        <v>5</v>
      </c>
      <c r="I432" s="6" t="n">
        <f aca="false">IF('Service Types'!I688="","",'Service Types'!I688)</f>
        <v>5</v>
      </c>
      <c r="J432" s="6" t="n">
        <f aca="false">IF('Service Types'!J688="","",'Service Types'!J688)</f>
        <v>16.2</v>
      </c>
      <c r="K432" s="6" t="n">
        <f aca="false">IF('Service Types'!K688="","",'Service Types'!K688)</f>
        <v>40</v>
      </c>
    </row>
    <row r="433" customFormat="false" ht="15" hidden="false" customHeight="false" outlineLevel="0" collapsed="false">
      <c r="A433" s="16" t="n">
        <v>432</v>
      </c>
      <c r="B433" s="4" t="s">
        <v>769</v>
      </c>
      <c r="C433" s="4" t="str">
        <f aca="false">IF('Service Types'!B689="","",'Service Types'!B689)</f>
        <v>PDS - Environmental Risk &amp; Resilience</v>
      </c>
      <c r="D433" s="5" t="n">
        <f aca="false">IF('Service Types'!E689="","",'Service Types'!E689)</f>
        <v>5</v>
      </c>
      <c r="E433" s="5" t="n">
        <f aca="false">IF('Service Types'!D689="","",'Service Types'!D689)</f>
        <v>5</v>
      </c>
      <c r="F433" s="5" t="n">
        <f aca="false">IF('Service Types'!F689="","",'Service Types'!F689)</f>
        <v>0</v>
      </c>
      <c r="G433" s="5" t="n">
        <f aca="false">IF('Service Types'!G689="","",'Service Types'!G689)</f>
        <v>0</v>
      </c>
      <c r="H433" s="5" t="n">
        <f aca="false">IF('Service Types'!H689="","",'Service Types'!H689)</f>
        <v>5</v>
      </c>
      <c r="I433" s="6" t="n">
        <f aca="false">IF('Service Types'!I689="","",'Service Types'!I689)</f>
        <v>3</v>
      </c>
      <c r="J433" s="6" t="n">
        <f aca="false">IF('Service Types'!J689="","",'Service Types'!J689)</f>
        <v>5.8</v>
      </c>
      <c r="K433" s="6" t="n">
        <f aca="false">IF('Service Types'!K689="","",'Service Types'!K689)</f>
        <v>12</v>
      </c>
    </row>
    <row r="434" customFormat="false" ht="15" hidden="false" customHeight="false" outlineLevel="0" collapsed="false">
      <c r="A434" s="16" t="n">
        <v>433</v>
      </c>
      <c r="B434" s="4" t="s">
        <v>651</v>
      </c>
      <c r="C434" s="4" t="str">
        <f aca="false">IF('Service Types'!B583="","",'Service Types'!B583)</f>
        <v>OS - Water Services</v>
      </c>
      <c r="D434" s="5" t="n">
        <f aca="false">IF('Service Types'!E583="","",'Service Types'!E583)</f>
        <v>4</v>
      </c>
      <c r="E434" s="5" t="n">
        <f aca="false">IF('Service Types'!D583="","",'Service Types'!D583)</f>
        <v>4</v>
      </c>
      <c r="F434" s="5" t="n">
        <f aca="false">IF('Service Types'!F583="","",'Service Types'!F583)</f>
        <v>0</v>
      </c>
      <c r="G434" s="5" t="n">
        <f aca="false">IF('Service Types'!G583="","",'Service Types'!G583)</f>
        <v>0</v>
      </c>
      <c r="H434" s="5" t="n">
        <f aca="false">IF('Service Types'!H583="","",'Service Types'!H583)</f>
        <v>4</v>
      </c>
      <c r="I434" s="6" t="n">
        <f aca="false">IF('Service Types'!I583="","",'Service Types'!I583)</f>
        <v>5.5</v>
      </c>
      <c r="J434" s="6" t="n">
        <f aca="false">IF('Service Types'!J583="","",'Service Types'!J583)</f>
        <v>5</v>
      </c>
      <c r="K434" s="6" t="n">
        <f aca="false">IF('Service Types'!K583="","",'Service Types'!K583)</f>
        <v>7</v>
      </c>
    </row>
    <row r="435" customFormat="false" ht="15" hidden="false" customHeight="false" outlineLevel="0" collapsed="false">
      <c r="A435" s="16" t="n">
        <v>434</v>
      </c>
      <c r="B435" s="4" t="s">
        <v>303</v>
      </c>
      <c r="C435" s="4" t="str">
        <f aca="false">IF('Service Types'!B258="","",'Service Types'!B258)</f>
        <v>CS - Recreation and Social Programs</v>
      </c>
      <c r="D435" s="5" t="n">
        <f aca="false">IF('Service Types'!E258="","",'Service Types'!E258)</f>
        <v>3</v>
      </c>
      <c r="E435" s="5" t="n">
        <f aca="false">IF('Service Types'!D258="","",'Service Types'!D258)</f>
        <v>83</v>
      </c>
      <c r="F435" s="5" t="n">
        <f aca="false">IF('Service Types'!F258="","",'Service Types'!F258)</f>
        <v>0</v>
      </c>
      <c r="G435" s="5" t="n">
        <f aca="false">IF('Service Types'!G258="","",'Service Types'!G258)</f>
        <v>0</v>
      </c>
      <c r="H435" s="5" t="n">
        <f aca="false">IF('Service Types'!H258="","",'Service Types'!H258)</f>
        <v>83</v>
      </c>
      <c r="I435" s="6" t="n">
        <f aca="false">IF('Service Types'!I258="","",'Service Types'!I258)</f>
        <v>7</v>
      </c>
      <c r="J435" s="6" t="n">
        <f aca="false">IF('Service Types'!J258="","",'Service Types'!J258)</f>
        <v>8.2</v>
      </c>
      <c r="K435" s="6" t="n">
        <f aca="false">IF('Service Types'!K258="","",'Service Types'!K258)</f>
        <v>17</v>
      </c>
    </row>
    <row r="436" customFormat="false" ht="15" hidden="false" customHeight="false" outlineLevel="0" collapsed="false">
      <c r="A436" s="16" t="n">
        <v>435</v>
      </c>
      <c r="B436" s="4" t="s">
        <v>234</v>
      </c>
      <c r="C436" s="4" t="str">
        <f aca="false">IF('Service Types'!B191="","",'Service Types'!B191)</f>
        <v>CS - Emergency Management and Community Safety</v>
      </c>
      <c r="D436" s="5" t="n">
        <f aca="false">IF('Service Types'!E191="","",'Service Types'!E191)</f>
        <v>3</v>
      </c>
      <c r="E436" s="5" t="n">
        <f aca="false">IF('Service Types'!D191="","",'Service Types'!D191)</f>
        <v>33</v>
      </c>
      <c r="F436" s="5" t="n">
        <f aca="false">IF('Service Types'!F191="","",'Service Types'!F191)</f>
        <v>2</v>
      </c>
      <c r="G436" s="5" t="n">
        <f aca="false">IF('Service Types'!G191="","",'Service Types'!G191)</f>
        <v>2</v>
      </c>
      <c r="H436" s="5" t="n">
        <f aca="false">IF('Service Types'!H191="","",'Service Types'!H191)</f>
        <v>31</v>
      </c>
      <c r="I436" s="6" t="n">
        <f aca="false">IF('Service Types'!I191="","",'Service Types'!I191)</f>
        <v>33</v>
      </c>
      <c r="J436" s="6" t="n">
        <f aca="false">IF('Service Types'!J191="","",'Service Types'!J191)</f>
        <v>42.8</v>
      </c>
      <c r="K436" s="6" t="n">
        <f aca="false">IF('Service Types'!K191="","",'Service Types'!K191)</f>
        <v>99</v>
      </c>
    </row>
    <row r="437" customFormat="false" ht="15" hidden="false" customHeight="false" outlineLevel="0" collapsed="false">
      <c r="A437" s="16" t="n">
        <v>436</v>
      </c>
      <c r="B437" s="4" t="s">
        <v>159</v>
      </c>
      <c r="C437" s="4" t="str">
        <f aca="false">IF('Service Types'!B117="","",'Service Types'!B117)</f>
        <v>CS - Community Strategies</v>
      </c>
      <c r="D437" s="5" t="n">
        <f aca="false">IF('Service Types'!E117="","",'Service Types'!E117)</f>
        <v>3</v>
      </c>
      <c r="E437" s="5" t="n">
        <f aca="false">IF('Service Types'!D117="","",'Service Types'!D117)</f>
        <v>18</v>
      </c>
      <c r="F437" s="5" t="n">
        <f aca="false">IF('Service Types'!F117="","",'Service Types'!F117)</f>
        <v>0</v>
      </c>
      <c r="G437" s="5" t="n">
        <f aca="false">IF('Service Types'!G117="","",'Service Types'!G117)</f>
        <v>0</v>
      </c>
      <c r="H437" s="5" t="n">
        <f aca="false">IF('Service Types'!H117="","",'Service Types'!H117)</f>
        <v>18</v>
      </c>
      <c r="I437" s="6" t="n">
        <f aca="false">IF('Service Types'!I117="","",'Service Types'!I117)</f>
        <v>19</v>
      </c>
      <c r="J437" s="6" t="n">
        <f aca="false">IF('Service Types'!J117="","",'Service Types'!J117)</f>
        <v>40.3</v>
      </c>
      <c r="K437" s="6" t="n">
        <f aca="false">IF('Service Types'!K117="","",'Service Types'!K117)</f>
        <v>107</v>
      </c>
    </row>
    <row r="438" customFormat="false" ht="15" hidden="false" customHeight="false" outlineLevel="0" collapsed="false">
      <c r="A438" s="16" t="n">
        <v>437</v>
      </c>
      <c r="B438" s="4" t="s">
        <v>706</v>
      </c>
      <c r="C438" s="4" t="str">
        <f aca="false">IF('Service Types'!B629="","",'Service Types'!B629)</f>
        <v>PDS - Community Planning</v>
      </c>
      <c r="D438" s="5" t="n">
        <f aca="false">IF('Service Types'!E629="","",'Service Types'!E629)</f>
        <v>3</v>
      </c>
      <c r="E438" s="5" t="n">
        <f aca="false">IF('Service Types'!D629="","",'Service Types'!D629)</f>
        <v>9</v>
      </c>
      <c r="F438" s="5" t="n">
        <f aca="false">IF('Service Types'!F629="","",'Service Types'!F629)</f>
        <v>0</v>
      </c>
      <c r="G438" s="5" t="n">
        <f aca="false">IF('Service Types'!G629="","",'Service Types'!G629)</f>
        <v>0</v>
      </c>
      <c r="H438" s="5" t="n">
        <f aca="false">IF('Service Types'!H629="","",'Service Types'!H629)</f>
        <v>9</v>
      </c>
      <c r="I438" s="6" t="n">
        <f aca="false">IF('Service Types'!I629="","",'Service Types'!I629)</f>
        <v>14</v>
      </c>
      <c r="J438" s="6" t="n">
        <f aca="false">IF('Service Types'!J629="","",'Service Types'!J629)</f>
        <v>30.3</v>
      </c>
      <c r="K438" s="6" t="n">
        <f aca="false">IF('Service Types'!K629="","",'Service Types'!K629)</f>
        <v>81</v>
      </c>
    </row>
    <row r="439" customFormat="false" ht="15" hidden="false" customHeight="false" outlineLevel="0" collapsed="false">
      <c r="A439" s="16" t="n">
        <v>438</v>
      </c>
      <c r="B439" s="4" t="s">
        <v>756</v>
      </c>
      <c r="C439" s="4" t="str">
        <f aca="false">IF('Service Types'!B678="","",'Service Types'!B678)</f>
        <v>PDS - Development, Business and Building Services</v>
      </c>
      <c r="D439" s="5" t="n">
        <f aca="false">IF('Service Types'!E678="","",'Service Types'!E678)</f>
        <v>3</v>
      </c>
      <c r="E439" s="5" t="n">
        <f aca="false">IF('Service Types'!D678="","",'Service Types'!D678)</f>
        <v>9</v>
      </c>
      <c r="F439" s="5" t="n">
        <f aca="false">IF('Service Types'!F678="","",'Service Types'!F678)</f>
        <v>2</v>
      </c>
      <c r="G439" s="5" t="n">
        <f aca="false">IF('Service Types'!G678="","",'Service Types'!G678)</f>
        <v>2</v>
      </c>
      <c r="H439" s="5" t="n">
        <f aca="false">IF('Service Types'!H678="","",'Service Types'!H678)</f>
        <v>7</v>
      </c>
      <c r="I439" s="6" t="n">
        <f aca="false">IF('Service Types'!I678="","",'Service Types'!I678)</f>
        <v>3</v>
      </c>
      <c r="J439" s="6" t="n">
        <f aca="false">IF('Service Types'!J678="","",'Service Types'!J678)</f>
        <v>51.1</v>
      </c>
      <c r="K439" s="6" t="n">
        <f aca="false">IF('Service Types'!K678="","",'Service Types'!K678)</f>
        <v>166</v>
      </c>
    </row>
    <row r="440" customFormat="false" ht="15" hidden="false" customHeight="false" outlineLevel="0" collapsed="false">
      <c r="A440" s="16" t="n">
        <v>439</v>
      </c>
      <c r="B440" s="4" t="s">
        <v>163</v>
      </c>
      <c r="C440" s="4" t="str">
        <f aca="false">IF('Service Types'!B121="","",'Service Types'!B121)</f>
        <v>CS - Community Strategies</v>
      </c>
      <c r="D440" s="5" t="n">
        <f aca="false">IF('Service Types'!E121="","",'Service Types'!E121)</f>
        <v>3</v>
      </c>
      <c r="E440" s="5" t="n">
        <f aca="false">IF('Service Types'!D121="","",'Service Types'!D121)</f>
        <v>4</v>
      </c>
      <c r="F440" s="5" t="n">
        <f aca="false">IF('Service Types'!F121="","",'Service Types'!F121)</f>
        <v>1</v>
      </c>
      <c r="G440" s="5" t="n">
        <f aca="false">IF('Service Types'!G121="","",'Service Types'!G121)</f>
        <v>1</v>
      </c>
      <c r="H440" s="5" t="n">
        <f aca="false">IF('Service Types'!H121="","",'Service Types'!H121)</f>
        <v>3</v>
      </c>
      <c r="I440" s="6" t="n">
        <f aca="false">IF('Service Types'!I121="","",'Service Types'!I121)</f>
        <v>53</v>
      </c>
      <c r="J440" s="6" t="n">
        <f aca="false">IF('Service Types'!J121="","",'Service Types'!J121)</f>
        <v>60</v>
      </c>
      <c r="K440" s="6" t="n">
        <f aca="false">IF('Service Types'!K121="","",'Service Types'!K121)</f>
        <v>101</v>
      </c>
    </row>
    <row r="441" customFormat="false" ht="15" hidden="false" customHeight="false" outlineLevel="0" collapsed="false">
      <c r="A441" s="16" t="n">
        <v>440</v>
      </c>
      <c r="B441" s="4" t="s">
        <v>665</v>
      </c>
      <c r="C441" s="4" t="str">
        <f aca="false">IF('Service Types'!B593="","",'Service Types'!B593)</f>
        <v>Office of the City Auditor</v>
      </c>
      <c r="D441" s="5" t="n">
        <f aca="false">IF('Service Types'!E593="","",'Service Types'!E593)</f>
        <v>3</v>
      </c>
      <c r="E441" s="5" t="n">
        <f aca="false">IF('Service Types'!D593="","",'Service Types'!D593)</f>
        <v>3</v>
      </c>
      <c r="F441" s="5" t="n">
        <f aca="false">IF('Service Types'!F593="","",'Service Types'!F593)</f>
        <v>0</v>
      </c>
      <c r="G441" s="5" t="n">
        <f aca="false">IF('Service Types'!G593="","",'Service Types'!G593)</f>
        <v>0</v>
      </c>
      <c r="H441" s="5" t="n">
        <f aca="false">IF('Service Types'!H593="","",'Service Types'!H593)</f>
        <v>3</v>
      </c>
      <c r="I441" s="6" t="n">
        <f aca="false">IF('Service Types'!I593="","",'Service Types'!I593)</f>
        <v>3</v>
      </c>
      <c r="J441" s="6" t="n">
        <f aca="false">IF('Service Types'!J593="","",'Service Types'!J593)</f>
        <v>3.3</v>
      </c>
      <c r="K441" s="6" t="n">
        <f aca="false">IF('Service Types'!K593="","",'Service Types'!K593)</f>
        <v>5</v>
      </c>
    </row>
    <row r="442" customFormat="false" ht="15" hidden="false" customHeight="false" outlineLevel="0" collapsed="false">
      <c r="A442" s="16" t="n">
        <v>441</v>
      </c>
      <c r="B442" s="4" t="s">
        <v>777</v>
      </c>
      <c r="C442" s="4" t="str">
        <f aca="false">IF('Service Types'!B695="","",'Service Types'!B695)</f>
        <v>PICS - Collaboration, Analytics and Innovation</v>
      </c>
      <c r="D442" s="5" t="n">
        <f aca="false">IF('Service Types'!E695="","",'Service Types'!E695)</f>
        <v>2</v>
      </c>
      <c r="E442" s="5" t="n">
        <f aca="false">IF('Service Types'!D695="","",'Service Types'!D695)</f>
        <v>52</v>
      </c>
      <c r="F442" s="5" t="n">
        <f aca="false">IF('Service Types'!F695="","",'Service Types'!F695)</f>
        <v>0</v>
      </c>
      <c r="G442" s="5" t="n">
        <f aca="false">IF('Service Types'!G695="","",'Service Types'!G695)</f>
        <v>0</v>
      </c>
      <c r="H442" s="5" t="n">
        <f aca="false">IF('Service Types'!H695="","",'Service Types'!H695)</f>
        <v>52</v>
      </c>
      <c r="I442" s="6" t="n">
        <f aca="false">IF('Service Types'!I695="","",'Service Types'!I695)</f>
        <v>0</v>
      </c>
      <c r="J442" s="6" t="n">
        <f aca="false">IF('Service Types'!J695="","",'Service Types'!J695)</f>
        <v>2.8</v>
      </c>
      <c r="K442" s="6" t="n">
        <f aca="false">IF('Service Types'!K695="","",'Service Types'!K695)</f>
        <v>0</v>
      </c>
    </row>
    <row r="443" customFormat="false" ht="15" hidden="false" customHeight="false" outlineLevel="0" collapsed="false">
      <c r="A443" s="16" t="n">
        <v>442</v>
      </c>
      <c r="B443" s="4" t="s">
        <v>780</v>
      </c>
      <c r="C443" s="4" t="str">
        <f aca="false">IF('Service Types'!B698="","",'Service Types'!B698)</f>
        <v>PICS - Collaboration, Analytics and Innovation</v>
      </c>
      <c r="D443" s="5" t="n">
        <f aca="false">IF('Service Types'!E698="","",'Service Types'!E698)</f>
        <v>2</v>
      </c>
      <c r="E443" s="5" t="n">
        <f aca="false">IF('Service Types'!D698="","",'Service Types'!D698)</f>
        <v>34</v>
      </c>
      <c r="F443" s="5" t="n">
        <f aca="false">IF('Service Types'!F698="","",'Service Types'!F698)</f>
        <v>0</v>
      </c>
      <c r="G443" s="5" t="n">
        <f aca="false">IF('Service Types'!G698="","",'Service Types'!G698)</f>
        <v>0</v>
      </c>
      <c r="H443" s="5" t="n">
        <f aca="false">IF('Service Types'!H698="","",'Service Types'!H698)</f>
        <v>34</v>
      </c>
      <c r="I443" s="6" t="n">
        <f aca="false">IF('Service Types'!I698="","",'Service Types'!I698)</f>
        <v>2.5</v>
      </c>
      <c r="J443" s="6" t="n">
        <f aca="false">IF('Service Types'!J698="","",'Service Types'!J698)</f>
        <v>7.2</v>
      </c>
      <c r="K443" s="6" t="n">
        <f aca="false">IF('Service Types'!K698="","",'Service Types'!K698)</f>
        <v>8</v>
      </c>
    </row>
    <row r="444" customFormat="false" ht="15" hidden="false" customHeight="false" outlineLevel="0" collapsed="false">
      <c r="A444" s="16" t="n">
        <v>443</v>
      </c>
      <c r="B444" s="4" t="s">
        <v>781</v>
      </c>
      <c r="C444" s="4" t="str">
        <f aca="false">IF('Service Types'!B699="","",'Service Types'!B699)</f>
        <v>PICS - Collaboration, Analytics and Innovation</v>
      </c>
      <c r="D444" s="5" t="n">
        <f aca="false">IF('Service Types'!E699="","",'Service Types'!E699)</f>
        <v>2</v>
      </c>
      <c r="E444" s="5" t="n">
        <f aca="false">IF('Service Types'!D699="","",'Service Types'!D699)</f>
        <v>19</v>
      </c>
      <c r="F444" s="5" t="n">
        <f aca="false">IF('Service Types'!F699="","",'Service Types'!F699)</f>
        <v>0</v>
      </c>
      <c r="G444" s="5" t="n">
        <f aca="false">IF('Service Types'!G699="","",'Service Types'!G699)</f>
        <v>0</v>
      </c>
      <c r="H444" s="5" t="n">
        <f aca="false">IF('Service Types'!H699="","",'Service Types'!H699)</f>
        <v>19</v>
      </c>
      <c r="I444" s="6" t="n">
        <f aca="false">IF('Service Types'!I699="","",'Service Types'!I699)</f>
        <v>4</v>
      </c>
      <c r="J444" s="6" t="n">
        <f aca="false">IF('Service Types'!J699="","",'Service Types'!J699)</f>
        <v>17.5</v>
      </c>
      <c r="K444" s="6" t="n">
        <f aca="false">IF('Service Types'!K699="","",'Service Types'!K699)</f>
        <v>66</v>
      </c>
    </row>
    <row r="445" customFormat="false" ht="15" hidden="false" customHeight="false" outlineLevel="0" collapsed="false">
      <c r="A445" s="16" t="n">
        <v>444</v>
      </c>
      <c r="B445" s="4" t="s">
        <v>694</v>
      </c>
      <c r="C445" s="4" t="str">
        <f aca="false">IF('Service Types'!B618="","",'Service Types'!B618)</f>
        <v>PDS - Climate and Environment</v>
      </c>
      <c r="D445" s="5" t="n">
        <f aca="false">IF('Service Types'!E618="","",'Service Types'!E618)</f>
        <v>2</v>
      </c>
      <c r="E445" s="5" t="n">
        <f aca="false">IF('Service Types'!D618="","",'Service Types'!D618)</f>
        <v>14</v>
      </c>
      <c r="F445" s="5" t="n">
        <f aca="false">IF('Service Types'!F618="","",'Service Types'!F618)</f>
        <v>0</v>
      </c>
      <c r="G445" s="5" t="n">
        <f aca="false">IF('Service Types'!G618="","",'Service Types'!G618)</f>
        <v>0</v>
      </c>
      <c r="H445" s="5" t="n">
        <f aca="false">IF('Service Types'!H618="","",'Service Types'!H618)</f>
        <v>14</v>
      </c>
      <c r="I445" s="6" t="n">
        <f aca="false">IF('Service Types'!I618="","",'Service Types'!I618)</f>
        <v>8.5</v>
      </c>
      <c r="J445" s="6" t="n">
        <f aca="false">IF('Service Types'!J618="","",'Service Types'!J618)</f>
        <v>27.9</v>
      </c>
      <c r="K445" s="6" t="n">
        <f aca="false">IF('Service Types'!K618="","",'Service Types'!K618)</f>
        <v>20</v>
      </c>
    </row>
    <row r="446" customFormat="false" ht="15" hidden="false" customHeight="false" outlineLevel="0" collapsed="false">
      <c r="A446" s="16" t="n">
        <v>445</v>
      </c>
      <c r="B446" s="4" t="s">
        <v>71</v>
      </c>
      <c r="C446" s="4" t="str">
        <f aca="false">IF('Service Types'!B36="","",'Service Types'!B36)</f>
        <v>CPFS - Finance</v>
      </c>
      <c r="D446" s="5" t="n">
        <f aca="false">IF('Service Types'!E36="","",'Service Types'!E36)</f>
        <v>2</v>
      </c>
      <c r="E446" s="5" t="n">
        <f aca="false">IF('Service Types'!D36="","",'Service Types'!D36)</f>
        <v>12</v>
      </c>
      <c r="F446" s="5" t="n">
        <f aca="false">IF('Service Types'!F36="","",'Service Types'!F36)</f>
        <v>0</v>
      </c>
      <c r="G446" s="5" t="n">
        <f aca="false">IF('Service Types'!G36="","",'Service Types'!G36)</f>
        <v>0</v>
      </c>
      <c r="H446" s="5" t="n">
        <f aca="false">IF('Service Types'!H36="","",'Service Types'!H36)</f>
        <v>12</v>
      </c>
      <c r="I446" s="6" t="n">
        <f aca="false">IF('Service Types'!I36="","",'Service Types'!I36)</f>
        <v>0</v>
      </c>
      <c r="J446" s="6" t="n">
        <f aca="false">IF('Service Types'!J36="","",'Service Types'!J36)</f>
        <v>0</v>
      </c>
      <c r="K446" s="6" t="n">
        <f aca="false">IF('Service Types'!K36="","",'Service Types'!K36)</f>
        <v>0</v>
      </c>
    </row>
    <row r="447" customFormat="false" ht="15" hidden="false" customHeight="false" outlineLevel="0" collapsed="false">
      <c r="A447" s="16" t="n">
        <v>446</v>
      </c>
      <c r="B447" s="4" t="s">
        <v>800</v>
      </c>
      <c r="C447" s="4" t="str">
        <f aca="false">IF('Service Types'!B715="","",'Service Types'!B715)</f>
        <v>PICS - Information Technology</v>
      </c>
      <c r="D447" s="5" t="n">
        <f aca="false">IF('Service Types'!E715="","",'Service Types'!E715)</f>
        <v>2</v>
      </c>
      <c r="E447" s="5" t="n">
        <f aca="false">IF('Service Types'!D715="","",'Service Types'!D715)</f>
        <v>11</v>
      </c>
      <c r="F447" s="5" t="n">
        <f aca="false">IF('Service Types'!F715="","",'Service Types'!F715)</f>
        <v>4</v>
      </c>
      <c r="G447" s="5" t="n">
        <f aca="false">IF('Service Types'!G715="","",'Service Types'!G715)</f>
        <v>4</v>
      </c>
      <c r="H447" s="5" t="n">
        <f aca="false">IF('Service Types'!H715="","",'Service Types'!H715)</f>
        <v>7</v>
      </c>
      <c r="I447" s="6" t="n">
        <f aca="false">IF('Service Types'!I715="","",'Service Types'!I715)</f>
        <v>6</v>
      </c>
      <c r="J447" s="6" t="n">
        <f aca="false">IF('Service Types'!J715="","",'Service Types'!J715)</f>
        <v>8.1</v>
      </c>
      <c r="K447" s="6" t="n">
        <f aca="false">IF('Service Types'!K715="","",'Service Types'!K715)</f>
        <v>15</v>
      </c>
    </row>
    <row r="448" customFormat="false" ht="15" hidden="false" customHeight="false" outlineLevel="0" collapsed="false">
      <c r="A448" s="16" t="n">
        <v>447</v>
      </c>
      <c r="B448" s="4" t="s">
        <v>801</v>
      </c>
      <c r="C448" s="4" t="str">
        <f aca="false">IF('Service Types'!B716="","",'Service Types'!B716)</f>
        <v>PICS - Information Technology</v>
      </c>
      <c r="D448" s="5" t="n">
        <f aca="false">IF('Service Types'!E716="","",'Service Types'!E716)</f>
        <v>2</v>
      </c>
      <c r="E448" s="5" t="n">
        <f aca="false">IF('Service Types'!D716="","",'Service Types'!D716)</f>
        <v>4</v>
      </c>
      <c r="F448" s="5" t="n">
        <f aca="false">IF('Service Types'!F716="","",'Service Types'!F716)</f>
        <v>0</v>
      </c>
      <c r="G448" s="5" t="n">
        <f aca="false">IF('Service Types'!G716="","",'Service Types'!G716)</f>
        <v>0</v>
      </c>
      <c r="H448" s="5" t="n">
        <f aca="false">IF('Service Types'!H716="","",'Service Types'!H716)</f>
        <v>4</v>
      </c>
      <c r="I448" s="6" t="n">
        <f aca="false">IF('Service Types'!I716="","",'Service Types'!I716)</f>
        <v>1</v>
      </c>
      <c r="J448" s="6" t="n">
        <f aca="false">IF('Service Types'!J716="","",'Service Types'!J716)</f>
        <v>1</v>
      </c>
      <c r="K448" s="6" t="n">
        <f aca="false">IF('Service Types'!K716="","",'Service Types'!K716)</f>
        <v>2</v>
      </c>
    </row>
    <row r="449" customFormat="false" ht="15" hidden="false" customHeight="false" outlineLevel="0" collapsed="false">
      <c r="A449" s="16" t="n">
        <v>448</v>
      </c>
      <c r="B449" s="4" t="s">
        <v>697</v>
      </c>
      <c r="C449" s="4" t="str">
        <f aca="false">IF('Service Types'!B621="","",'Service Types'!B621)</f>
        <v>PDS - Climate and Environment</v>
      </c>
      <c r="D449" s="5" t="n">
        <f aca="false">IF('Service Types'!E621="","",'Service Types'!E621)</f>
        <v>2</v>
      </c>
      <c r="E449" s="5" t="n">
        <f aca="false">IF('Service Types'!D621="","",'Service Types'!D621)</f>
        <v>3</v>
      </c>
      <c r="F449" s="5" t="n">
        <f aca="false">IF('Service Types'!F621="","",'Service Types'!F621)</f>
        <v>0</v>
      </c>
      <c r="G449" s="5" t="n">
        <f aca="false">IF('Service Types'!G621="","",'Service Types'!G621)</f>
        <v>0</v>
      </c>
      <c r="H449" s="5" t="n">
        <f aca="false">IF('Service Types'!H621="","",'Service Types'!H621)</f>
        <v>3</v>
      </c>
      <c r="I449" s="6" t="n">
        <f aca="false">IF('Service Types'!I621="","",'Service Types'!I621)</f>
        <v>4</v>
      </c>
      <c r="J449" s="6" t="n">
        <f aca="false">IF('Service Types'!J621="","",'Service Types'!J621)</f>
        <v>4</v>
      </c>
      <c r="K449" s="6" t="n">
        <f aca="false">IF('Service Types'!K621="","",'Service Types'!K621)</f>
        <v>5</v>
      </c>
    </row>
    <row r="450" customFormat="false" ht="15" hidden="false" customHeight="false" outlineLevel="0" collapsed="false">
      <c r="A450" s="16" t="n">
        <v>449</v>
      </c>
      <c r="B450" s="4" t="s">
        <v>802</v>
      </c>
      <c r="C450" s="4" t="str">
        <f aca="false">IF('Service Types'!B717="","",'Service Types'!B717)</f>
        <v>PICS - Information Technology</v>
      </c>
      <c r="D450" s="5" t="n">
        <f aca="false">IF('Service Types'!E717="","",'Service Types'!E717)</f>
        <v>2</v>
      </c>
      <c r="E450" s="5" t="n">
        <f aca="false">IF('Service Types'!D717="","",'Service Types'!D717)</f>
        <v>3</v>
      </c>
      <c r="F450" s="5" t="n">
        <f aca="false">IF('Service Types'!F717="","",'Service Types'!F717)</f>
        <v>1</v>
      </c>
      <c r="G450" s="5" t="n">
        <f aca="false">IF('Service Types'!G717="","",'Service Types'!G717)</f>
        <v>0</v>
      </c>
      <c r="H450" s="5" t="n">
        <f aca="false">IF('Service Types'!H717="","",'Service Types'!H717)</f>
        <v>2</v>
      </c>
      <c r="I450" s="6" t="n">
        <f aca="false">IF('Service Types'!I717="","",'Service Types'!I717)</f>
        <v>10</v>
      </c>
      <c r="J450" s="6" t="n">
        <f aca="false">IF('Service Types'!J717="","",'Service Types'!J717)</f>
        <v>10</v>
      </c>
      <c r="K450" s="6" t="n">
        <f aca="false">IF('Service Types'!K717="","",'Service Types'!K717)</f>
        <v>14</v>
      </c>
    </row>
    <row r="451" customFormat="false" ht="15" hidden="false" customHeight="false" outlineLevel="0" collapsed="false">
      <c r="A451" s="16" t="n">
        <v>450</v>
      </c>
      <c r="B451" s="4" t="s">
        <v>245</v>
      </c>
      <c r="C451" s="4" t="str">
        <f aca="false">IF('Service Types'!B202="","",'Service Types'!B202)</f>
        <v>CS - Emergency Management and Community Safety</v>
      </c>
      <c r="D451" s="5" t="n">
        <f aca="false">IF('Service Types'!E202="","",'Service Types'!E202)</f>
        <v>2</v>
      </c>
      <c r="E451" s="5" t="n">
        <f aca="false">IF('Service Types'!D202="","",'Service Types'!D202)</f>
        <v>2</v>
      </c>
      <c r="F451" s="5" t="n">
        <f aca="false">IF('Service Types'!F202="","",'Service Types'!F202)</f>
        <v>2</v>
      </c>
      <c r="G451" s="5" t="n">
        <f aca="false">IF('Service Types'!G202="","",'Service Types'!G202)</f>
        <v>0</v>
      </c>
      <c r="H451" s="5" t="n">
        <f aca="false">IF('Service Types'!H202="","",'Service Types'!H202)</f>
        <v>0</v>
      </c>
      <c r="I451" s="6" t="str">
        <f aca="false">IF('Service Types'!I202="","",'Service Types'!I202)</f>
        <v/>
      </c>
      <c r="J451" s="6" t="str">
        <f aca="false">IF('Service Types'!J202="","",'Service Types'!J202)</f>
        <v/>
      </c>
      <c r="K451" s="6" t="str">
        <f aca="false">IF('Service Types'!K202="","",'Service Types'!K202)</f>
        <v/>
      </c>
    </row>
    <row r="452" customFormat="false" ht="15" hidden="false" customHeight="false" outlineLevel="0" collapsed="false">
      <c r="A452" s="16" t="n">
        <v>451</v>
      </c>
      <c r="B452" s="4" t="s">
        <v>770</v>
      </c>
      <c r="C452" s="4" t="str">
        <f aca="false">IF('Service Types'!B690="","",'Service Types'!B690)</f>
        <v>PDS - Environmental Risk &amp; Resilience</v>
      </c>
      <c r="D452" s="5" t="n">
        <f aca="false">IF('Service Types'!E690="","",'Service Types'!E690)</f>
        <v>2</v>
      </c>
      <c r="E452" s="5" t="n">
        <f aca="false">IF('Service Types'!D690="","",'Service Types'!D690)</f>
        <v>2</v>
      </c>
      <c r="F452" s="5" t="n">
        <f aca="false">IF('Service Types'!F690="","",'Service Types'!F690)</f>
        <v>0</v>
      </c>
      <c r="G452" s="5" t="n">
        <f aca="false">IF('Service Types'!G690="","",'Service Types'!G690)</f>
        <v>0</v>
      </c>
      <c r="H452" s="5" t="n">
        <f aca="false">IF('Service Types'!H690="","",'Service Types'!H690)</f>
        <v>2</v>
      </c>
      <c r="I452" s="6" t="n">
        <f aca="false">IF('Service Types'!I690="","",'Service Types'!I690)</f>
        <v>6.5</v>
      </c>
      <c r="J452" s="6" t="n">
        <f aca="false">IF('Service Types'!J690="","",'Service Types'!J690)</f>
        <v>6.5</v>
      </c>
      <c r="K452" s="6" t="n">
        <f aca="false">IF('Service Types'!K690="","",'Service Types'!K690)</f>
        <v>8</v>
      </c>
    </row>
    <row r="453" customFormat="false" ht="15" hidden="false" customHeight="false" outlineLevel="0" collapsed="false">
      <c r="A453" s="16" t="n">
        <v>452</v>
      </c>
      <c r="B453" s="4" t="s">
        <v>347</v>
      </c>
      <c r="C453" s="4" t="str">
        <f aca="false">IF('Service Types'!B295="","",'Service Types'!B295)</f>
        <v>IS - Project Development</v>
      </c>
      <c r="D453" s="5" t="n">
        <f aca="false">IF('Service Types'!E295="","",'Service Types'!E295)</f>
        <v>2</v>
      </c>
      <c r="E453" s="5" t="n">
        <f aca="false">IF('Service Types'!D295="","",'Service Types'!D295)</f>
        <v>2</v>
      </c>
      <c r="F453" s="5" t="n">
        <f aca="false">IF('Service Types'!F295="","",'Service Types'!F295)</f>
        <v>0</v>
      </c>
      <c r="G453" s="5" t="n">
        <f aca="false">IF('Service Types'!G295="","",'Service Types'!G295)</f>
        <v>0</v>
      </c>
      <c r="H453" s="5" t="n">
        <f aca="false">IF('Service Types'!H295="","",'Service Types'!H295)</f>
        <v>2</v>
      </c>
      <c r="I453" s="6" t="n">
        <f aca="false">IF('Service Types'!I295="","",'Service Types'!I295)</f>
        <v>19.5</v>
      </c>
      <c r="J453" s="6" t="n">
        <f aca="false">IF('Service Types'!J295="","",'Service Types'!J295)</f>
        <v>19.5</v>
      </c>
      <c r="K453" s="6" t="n">
        <f aca="false">IF('Service Types'!K295="","",'Service Types'!K295)</f>
        <v>26</v>
      </c>
    </row>
    <row r="454" customFormat="false" ht="15" hidden="false" customHeight="false" outlineLevel="0" collapsed="false">
      <c r="A454" s="16" t="n">
        <v>453</v>
      </c>
      <c r="B454" s="4" t="s">
        <v>255</v>
      </c>
      <c r="C454" s="4" t="str">
        <f aca="false">IF('Service Types'!B211="","",'Service Types'!B211)</f>
        <v>CS - Partnerships</v>
      </c>
      <c r="D454" s="5" t="n">
        <f aca="false">IF('Service Types'!E211="","",'Service Types'!E211)</f>
        <v>1</v>
      </c>
      <c r="E454" s="5" t="n">
        <f aca="false">IF('Service Types'!D211="","",'Service Types'!D211)</f>
        <v>52</v>
      </c>
      <c r="F454" s="5" t="n">
        <f aca="false">IF('Service Types'!F211="","",'Service Types'!F211)</f>
        <v>0</v>
      </c>
      <c r="G454" s="5" t="n">
        <f aca="false">IF('Service Types'!G211="","",'Service Types'!G211)</f>
        <v>0</v>
      </c>
      <c r="H454" s="5" t="n">
        <f aca="false">IF('Service Types'!H211="","",'Service Types'!H211)</f>
        <v>52</v>
      </c>
      <c r="I454" s="6" t="n">
        <f aca="false">IF('Service Types'!I211="","",'Service Types'!I211)</f>
        <v>5</v>
      </c>
      <c r="J454" s="6" t="n">
        <f aca="false">IF('Service Types'!J211="","",'Service Types'!J211)</f>
        <v>8.6</v>
      </c>
      <c r="K454" s="6" t="n">
        <f aca="false">IF('Service Types'!K211="","",'Service Types'!K211)</f>
        <v>20</v>
      </c>
    </row>
    <row r="455" customFormat="false" ht="15" hidden="false" customHeight="false" outlineLevel="0" collapsed="false">
      <c r="A455" s="16" t="n">
        <v>454</v>
      </c>
      <c r="B455" s="4" t="s">
        <v>498</v>
      </c>
      <c r="C455" s="4" t="str">
        <f aca="false">IF('Service Types'!B435="","",'Service Types'!B435)</f>
        <v>OS - Mobility</v>
      </c>
      <c r="D455" s="5" t="n">
        <f aca="false">IF('Service Types'!E435="","",'Service Types'!E435)</f>
        <v>1</v>
      </c>
      <c r="E455" s="5" t="n">
        <f aca="false">IF('Service Types'!D435="","",'Service Types'!D435)</f>
        <v>14</v>
      </c>
      <c r="F455" s="5" t="n">
        <f aca="false">IF('Service Types'!F435="","",'Service Types'!F435)</f>
        <v>1</v>
      </c>
      <c r="G455" s="5" t="n">
        <f aca="false">IF('Service Types'!G435="","",'Service Types'!G435)</f>
        <v>0</v>
      </c>
      <c r="H455" s="5" t="n">
        <f aca="false">IF('Service Types'!H435="","",'Service Types'!H435)</f>
        <v>13</v>
      </c>
      <c r="I455" s="6" t="n">
        <f aca="false">IF('Service Types'!I435="","",'Service Types'!I435)</f>
        <v>1</v>
      </c>
      <c r="J455" s="6" t="n">
        <f aca="false">IF('Service Types'!J435="","",'Service Types'!J435)</f>
        <v>2.4</v>
      </c>
      <c r="K455" s="6" t="n">
        <f aca="false">IF('Service Types'!K435="","",'Service Types'!K435)</f>
        <v>4</v>
      </c>
    </row>
    <row r="456" customFormat="false" ht="15" hidden="false" customHeight="false" outlineLevel="0" collapsed="false">
      <c r="A456" s="16" t="n">
        <v>455</v>
      </c>
      <c r="B456" s="4" t="s">
        <v>705</v>
      </c>
      <c r="C456" s="4" t="str">
        <f aca="false">IF('Service Types'!B628="","",'Service Types'!B628)</f>
        <v>PDS - Community Planning</v>
      </c>
      <c r="D456" s="5" t="n">
        <f aca="false">IF('Service Types'!E628="","",'Service Types'!E628)</f>
        <v>1</v>
      </c>
      <c r="E456" s="5" t="n">
        <f aca="false">IF('Service Types'!D628="","",'Service Types'!D628)</f>
        <v>11</v>
      </c>
      <c r="F456" s="5" t="n">
        <f aca="false">IF('Service Types'!F628="","",'Service Types'!F628)</f>
        <v>1</v>
      </c>
      <c r="G456" s="5" t="n">
        <f aca="false">IF('Service Types'!G628="","",'Service Types'!G628)</f>
        <v>0</v>
      </c>
      <c r="H456" s="5" t="n">
        <f aca="false">IF('Service Types'!H628="","",'Service Types'!H628)</f>
        <v>10</v>
      </c>
      <c r="I456" s="6" t="n">
        <f aca="false">IF('Service Types'!I628="","",'Service Types'!I628)</f>
        <v>24</v>
      </c>
      <c r="J456" s="6" t="n">
        <f aca="false">IF('Service Types'!J628="","",'Service Types'!J628)</f>
        <v>31.1</v>
      </c>
      <c r="K456" s="6" t="n">
        <f aca="false">IF('Service Types'!K628="","",'Service Types'!K628)</f>
        <v>65</v>
      </c>
    </row>
    <row r="457" customFormat="false" ht="15" hidden="false" customHeight="false" outlineLevel="0" collapsed="false">
      <c r="A457" s="16" t="n">
        <v>456</v>
      </c>
      <c r="B457" s="4" t="s">
        <v>324</v>
      </c>
      <c r="C457" s="4" t="str">
        <f aca="false">IF('Service Types'!B275="","",'Service Types'!B275)</f>
        <v>Elected Officials</v>
      </c>
      <c r="D457" s="5" t="n">
        <f aca="false">IF('Service Types'!E275="","",'Service Types'!E275)</f>
        <v>1</v>
      </c>
      <c r="E457" s="5" t="n">
        <f aca="false">IF('Service Types'!D275="","",'Service Types'!D275)</f>
        <v>7</v>
      </c>
      <c r="F457" s="5" t="n">
        <f aca="false">IF('Service Types'!F275="","",'Service Types'!F275)</f>
        <v>0</v>
      </c>
      <c r="G457" s="5" t="n">
        <f aca="false">IF('Service Types'!G275="","",'Service Types'!G275)</f>
        <v>0</v>
      </c>
      <c r="H457" s="5" t="n">
        <f aca="false">IF('Service Types'!H275="","",'Service Types'!H275)</f>
        <v>7</v>
      </c>
      <c r="I457" s="6" t="n">
        <f aca="false">IF('Service Types'!I275="","",'Service Types'!I275)</f>
        <v>0</v>
      </c>
      <c r="J457" s="6" t="n">
        <f aca="false">IF('Service Types'!J275="","",'Service Types'!J275)</f>
        <v>0.1</v>
      </c>
      <c r="K457" s="6" t="n">
        <f aca="false">IF('Service Types'!K275="","",'Service Types'!K275)</f>
        <v>0</v>
      </c>
    </row>
  </sheetData>
  <autoFilter ref="A1:K4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5" min="4" style="0" width="9"/>
    <col collapsed="false" customWidth="true" hidden="false" outlineLevel="0" max="7" min="6" style="0" width="10"/>
    <col collapsed="false" customWidth="true" hidden="false" outlineLevel="0" max="9" min="8" style="0" width="11"/>
    <col collapsed="false" customWidth="true" hidden="false" outlineLevel="0" max="10" min="10" style="0" width="32"/>
    <col collapsed="false" customWidth="true" hidden="false" outlineLevel="0" max="11" min="11" style="0" width="58"/>
    <col collapsed="false" customWidth="true" hidden="false" outlineLevel="0" max="13" min="13" style="0" width="34"/>
    <col collapsed="false" customWidth="true" hidden="false" outlineLevel="0" max="14" min="14" style="0" width="70"/>
  </cols>
  <sheetData>
    <row r="1" customFormat="false" ht="30" hidden="false" customHeight="true" outlineLevel="0" collapsed="false">
      <c r="A1" s="1" t="s">
        <v>0</v>
      </c>
      <c r="B1" s="1" t="s">
        <v>844</v>
      </c>
      <c r="C1" s="1" t="s">
        <v>1</v>
      </c>
      <c r="D1" s="1" t="s">
        <v>845</v>
      </c>
      <c r="E1" s="1" t="s">
        <v>846</v>
      </c>
      <c r="F1" s="1" t="s">
        <v>847</v>
      </c>
      <c r="G1" s="1" t="s">
        <v>4</v>
      </c>
      <c r="H1" s="1" t="s">
        <v>848</v>
      </c>
      <c r="I1" s="1" t="s">
        <v>849</v>
      </c>
      <c r="J1" s="1" t="s">
        <v>850</v>
      </c>
      <c r="K1" s="1" t="s">
        <v>851</v>
      </c>
      <c r="L1" s="2"/>
      <c r="M1" s="3" t="s">
        <v>852</v>
      </c>
      <c r="N1" s="2"/>
    </row>
    <row r="2" customFormat="false" ht="14.25" hidden="false" customHeight="false" outlineLevel="0" collapsed="false">
      <c r="A2" s="4" t="s">
        <v>17</v>
      </c>
      <c r="B2" s="4" t="s">
        <v>853</v>
      </c>
      <c r="C2" s="4" t="s">
        <v>18</v>
      </c>
      <c r="D2" s="8" t="b">
        <f aca="false">TRUE()</f>
        <v>1</v>
      </c>
      <c r="E2" s="5" t="n">
        <v>18</v>
      </c>
      <c r="F2" s="7" t="n">
        <f aca="false">E2/SUMIFS($E$2:$E$783,$A$2:$A$783,A2)</f>
        <v>0.782608695652174</v>
      </c>
      <c r="G2" s="5" t="n">
        <v>0</v>
      </c>
      <c r="H2" s="17" t="n">
        <v>45061</v>
      </c>
      <c r="I2" s="17" t="n">
        <v>45349</v>
      </c>
      <c r="J2" s="4" t="s">
        <v>854</v>
      </c>
      <c r="K2" s="4" t="s">
        <v>855</v>
      </c>
      <c r="L2" s="2"/>
      <c r="M2" s="3" t="s">
        <v>856</v>
      </c>
      <c r="N2" s="4" t="s">
        <v>857</v>
      </c>
    </row>
    <row r="3" customFormat="false" ht="14.25" hidden="false" customHeight="false" outlineLevel="0" collapsed="false">
      <c r="A3" s="4" t="s">
        <v>17</v>
      </c>
      <c r="B3" s="4" t="s">
        <v>853</v>
      </c>
      <c r="C3" s="4" t="s">
        <v>858</v>
      </c>
      <c r="D3" s="8" t="b">
        <f aca="false">FALSE()</f>
        <v>0</v>
      </c>
      <c r="E3" s="5" t="n">
        <v>5</v>
      </c>
      <c r="F3" s="7" t="n">
        <f aca="false">E3/SUMIFS($E$2:$E$783,$A$2:$A$783,A3)</f>
        <v>0.217391304347826</v>
      </c>
      <c r="G3" s="5" t="n">
        <v>0</v>
      </c>
      <c r="H3" s="17" t="n">
        <v>44938</v>
      </c>
      <c r="I3" s="17" t="n">
        <v>45050</v>
      </c>
      <c r="J3" s="4" t="s">
        <v>859</v>
      </c>
      <c r="K3" s="4" t="s">
        <v>860</v>
      </c>
      <c r="L3" s="2"/>
      <c r="M3" s="3" t="s">
        <v>859</v>
      </c>
      <c r="N3" s="4" t="s">
        <v>861</v>
      </c>
    </row>
    <row r="4" customFormat="false" ht="14.25" hidden="false" customHeight="false" outlineLevel="0" collapsed="false">
      <c r="A4" s="10" t="s">
        <v>20</v>
      </c>
      <c r="B4" s="10" t="s">
        <v>853</v>
      </c>
      <c r="C4" s="10" t="s">
        <v>21</v>
      </c>
      <c r="D4" s="14" t="b">
        <f aca="false">TRUE()</f>
        <v>1</v>
      </c>
      <c r="E4" s="11" t="n">
        <v>184</v>
      </c>
      <c r="F4" s="13" t="n">
        <f aca="false">E4/SUMIFS($E$2:$E$783,$A$2:$A$783,A4)</f>
        <v>0.85981308411215</v>
      </c>
      <c r="G4" s="11" t="n">
        <v>37</v>
      </c>
      <c r="H4" s="18" t="n">
        <v>45051</v>
      </c>
      <c r="I4" s="18" t="n">
        <v>46288</v>
      </c>
      <c r="J4" s="10" t="s">
        <v>854</v>
      </c>
      <c r="K4" s="10" t="s">
        <v>862</v>
      </c>
      <c r="L4" s="2"/>
      <c r="M4" s="3" t="s">
        <v>863</v>
      </c>
      <c r="N4" s="4" t="s">
        <v>864</v>
      </c>
    </row>
    <row r="5" customFormat="false" ht="14.25" hidden="false" customHeight="false" outlineLevel="0" collapsed="false">
      <c r="A5" s="4" t="s">
        <v>20</v>
      </c>
      <c r="B5" s="4" t="s">
        <v>853</v>
      </c>
      <c r="C5" s="4" t="s">
        <v>865</v>
      </c>
      <c r="D5" s="8" t="b">
        <f aca="false">FALSE()</f>
        <v>0</v>
      </c>
      <c r="E5" s="5" t="n">
        <v>30</v>
      </c>
      <c r="F5" s="7" t="n">
        <f aca="false">E5/SUMIFS($E$2:$E$783,$A$2:$A$783,A5)</f>
        <v>0.14018691588785</v>
      </c>
      <c r="G5" s="5" t="n">
        <v>0</v>
      </c>
      <c r="H5" s="17" t="n">
        <v>44928</v>
      </c>
      <c r="I5" s="17" t="n">
        <v>45037</v>
      </c>
      <c r="J5" s="4" t="s">
        <v>856</v>
      </c>
      <c r="K5" s="4" t="s">
        <v>866</v>
      </c>
      <c r="L5" s="2"/>
      <c r="M5" s="3" t="s">
        <v>867</v>
      </c>
      <c r="N5" s="4" t="s">
        <v>868</v>
      </c>
    </row>
    <row r="6" customFormat="false" ht="14.25" hidden="false" customHeight="false" outlineLevel="0" collapsed="false">
      <c r="A6" s="10" t="s">
        <v>23</v>
      </c>
      <c r="B6" s="10" t="s">
        <v>853</v>
      </c>
      <c r="C6" s="10" t="s">
        <v>24</v>
      </c>
      <c r="D6" s="14" t="b">
        <f aca="false">TRUE()</f>
        <v>1</v>
      </c>
      <c r="E6" s="11" t="n">
        <v>16</v>
      </c>
      <c r="F6" s="13" t="n">
        <f aca="false">E6/SUMIFS($E$2:$E$783,$A$2:$A$783,A6)</f>
        <v>0.64</v>
      </c>
      <c r="G6" s="11" t="n">
        <v>16</v>
      </c>
      <c r="H6" s="18" t="n">
        <v>46131</v>
      </c>
      <c r="I6" s="18" t="n">
        <v>46232</v>
      </c>
      <c r="J6" s="10" t="s">
        <v>854</v>
      </c>
      <c r="K6" s="10" t="s">
        <v>869</v>
      </c>
      <c r="L6" s="2"/>
      <c r="M6" s="3" t="s">
        <v>870</v>
      </c>
      <c r="N6" s="4" t="s">
        <v>871</v>
      </c>
    </row>
    <row r="7" customFormat="false" ht="14.25" hidden="false" customHeight="false" outlineLevel="0" collapsed="false">
      <c r="A7" s="4" t="s">
        <v>23</v>
      </c>
      <c r="B7" s="4" t="s">
        <v>853</v>
      </c>
      <c r="C7" s="4" t="s">
        <v>872</v>
      </c>
      <c r="D7" s="8" t="b">
        <f aca="false">FALSE()</f>
        <v>0</v>
      </c>
      <c r="E7" s="5" t="n">
        <v>9</v>
      </c>
      <c r="F7" s="7" t="n">
        <f aca="false">E7/SUMIFS($E$2:$E$783,$A$2:$A$783,A7)</f>
        <v>0.36</v>
      </c>
      <c r="G7" s="5" t="n">
        <v>9</v>
      </c>
      <c r="H7" s="17" t="n">
        <v>46245</v>
      </c>
      <c r="I7" s="17" t="n">
        <v>46287</v>
      </c>
      <c r="J7" s="4" t="s">
        <v>856</v>
      </c>
      <c r="K7" s="4" t="s">
        <v>873</v>
      </c>
      <c r="L7" s="2"/>
      <c r="M7" s="3" t="s">
        <v>874</v>
      </c>
      <c r="N7" s="4" t="s">
        <v>875</v>
      </c>
    </row>
    <row r="8" customFormat="false" ht="14.25" hidden="false" customHeight="false" outlineLevel="0" collapsed="false">
      <c r="A8" s="10" t="s">
        <v>28</v>
      </c>
      <c r="B8" s="10" t="s">
        <v>853</v>
      </c>
      <c r="C8" s="10" t="s">
        <v>27</v>
      </c>
      <c r="D8" s="14" t="b">
        <f aca="false">TRUE()</f>
        <v>1</v>
      </c>
      <c r="E8" s="11" t="n">
        <v>28756</v>
      </c>
      <c r="F8" s="13" t="n">
        <f aca="false">E8/SUMIFS($E$2:$E$783,$A$2:$A$783,A8)</f>
        <v>0.767686475519248</v>
      </c>
      <c r="G8" s="11" t="n">
        <v>0</v>
      </c>
      <c r="H8" s="18" t="n">
        <v>44942</v>
      </c>
      <c r="I8" s="18" t="n">
        <v>45427</v>
      </c>
      <c r="J8" s="10" t="s">
        <v>854</v>
      </c>
      <c r="K8" s="10" t="s">
        <v>876</v>
      </c>
      <c r="L8" s="2"/>
      <c r="M8" s="3" t="s">
        <v>844</v>
      </c>
      <c r="N8" s="4" t="s">
        <v>877</v>
      </c>
    </row>
    <row r="9" customFormat="false" ht="14.25" hidden="false" customHeight="false" outlineLevel="0" collapsed="false">
      <c r="A9" s="4" t="s">
        <v>28</v>
      </c>
      <c r="B9" s="4" t="s">
        <v>853</v>
      </c>
      <c r="C9" s="4" t="s">
        <v>878</v>
      </c>
      <c r="D9" s="8" t="b">
        <f aca="false">FALSE()</f>
        <v>0</v>
      </c>
      <c r="E9" s="5" t="n">
        <v>8702</v>
      </c>
      <c r="F9" s="7" t="n">
        <f aca="false">E9/SUMIFS($E$2:$E$783,$A$2:$A$783,A9)</f>
        <v>0.232313524480752</v>
      </c>
      <c r="G9" s="5" t="n">
        <v>0</v>
      </c>
      <c r="H9" s="17" t="n">
        <v>44928</v>
      </c>
      <c r="I9" s="17" t="n">
        <v>45055</v>
      </c>
      <c r="J9" s="4" t="s">
        <v>859</v>
      </c>
      <c r="K9" s="4" t="s">
        <v>879</v>
      </c>
      <c r="L9" s="2"/>
      <c r="M9" s="3" t="s">
        <v>880</v>
      </c>
      <c r="N9" s="4" t="s">
        <v>881</v>
      </c>
    </row>
    <row r="10" customFormat="false" ht="14.25" hidden="false" customHeight="false" outlineLevel="0" collapsed="false">
      <c r="A10" s="10" t="s">
        <v>30</v>
      </c>
      <c r="B10" s="10" t="s">
        <v>853</v>
      </c>
      <c r="C10" s="10" t="s">
        <v>27</v>
      </c>
      <c r="D10" s="14" t="b">
        <f aca="false">TRUE()</f>
        <v>1</v>
      </c>
      <c r="E10" s="11" t="n">
        <v>22354</v>
      </c>
      <c r="F10" s="13" t="n">
        <f aca="false">E10/SUMIFS($E$2:$E$783,$A$2:$A$783,A10)</f>
        <v>0.789391906208066</v>
      </c>
      <c r="G10" s="11" t="n">
        <v>0</v>
      </c>
      <c r="H10" s="18" t="n">
        <v>44928</v>
      </c>
      <c r="I10" s="18" t="n">
        <v>45462</v>
      </c>
      <c r="J10" s="10" t="s">
        <v>854</v>
      </c>
      <c r="K10" s="10" t="s">
        <v>882</v>
      </c>
      <c r="L10" s="2"/>
      <c r="M10" s="2"/>
      <c r="N10" s="2"/>
    </row>
    <row r="11" customFormat="false" ht="14.25" hidden="false" customHeight="false" outlineLevel="0" collapsed="false">
      <c r="A11" s="4" t="s">
        <v>30</v>
      </c>
      <c r="B11" s="4" t="s">
        <v>853</v>
      </c>
      <c r="C11" s="4" t="s">
        <v>878</v>
      </c>
      <c r="D11" s="8" t="b">
        <f aca="false">FALSE()</f>
        <v>0</v>
      </c>
      <c r="E11" s="5" t="n">
        <v>5964</v>
      </c>
      <c r="F11" s="7" t="n">
        <f aca="false">E11/SUMIFS($E$2:$E$783,$A$2:$A$783,A11)</f>
        <v>0.210608093791934</v>
      </c>
      <c r="G11" s="5" t="n">
        <v>0</v>
      </c>
      <c r="H11" s="17" t="n">
        <v>44928</v>
      </c>
      <c r="I11" s="17" t="n">
        <v>45047</v>
      </c>
      <c r="J11" s="4" t="s">
        <v>859</v>
      </c>
      <c r="K11" s="4" t="s">
        <v>883</v>
      </c>
      <c r="L11" s="2"/>
      <c r="M11" s="2"/>
      <c r="N11" s="2"/>
    </row>
    <row r="12" customFormat="false" ht="14.25" hidden="false" customHeight="false" outlineLevel="0" collapsed="false">
      <c r="A12" s="10" t="s">
        <v>32</v>
      </c>
      <c r="B12" s="10" t="s">
        <v>853</v>
      </c>
      <c r="C12" s="10" t="s">
        <v>27</v>
      </c>
      <c r="D12" s="14" t="b">
        <f aca="false">TRUE()</f>
        <v>1</v>
      </c>
      <c r="E12" s="11" t="n">
        <v>7525</v>
      </c>
      <c r="F12" s="13" t="n">
        <f aca="false">E12/SUMIFS($E$2:$E$783,$A$2:$A$783,A12)</f>
        <v>0.753177860074067</v>
      </c>
      <c r="G12" s="11" t="n">
        <v>0</v>
      </c>
      <c r="H12" s="18" t="n">
        <v>44930</v>
      </c>
      <c r="I12" s="18" t="n">
        <v>45426</v>
      </c>
      <c r="J12" s="10" t="s">
        <v>854</v>
      </c>
      <c r="K12" s="10" t="s">
        <v>884</v>
      </c>
      <c r="L12" s="2"/>
      <c r="M12" s="2"/>
      <c r="N12" s="2"/>
    </row>
    <row r="13" customFormat="false" ht="14.25" hidden="false" customHeight="false" outlineLevel="0" collapsed="false">
      <c r="A13" s="4" t="s">
        <v>32</v>
      </c>
      <c r="B13" s="4" t="s">
        <v>853</v>
      </c>
      <c r="C13" s="4" t="s">
        <v>878</v>
      </c>
      <c r="D13" s="8" t="b">
        <f aca="false">FALSE()</f>
        <v>0</v>
      </c>
      <c r="E13" s="5" t="n">
        <v>2466</v>
      </c>
      <c r="F13" s="7" t="n">
        <f aca="false">E13/SUMIFS($E$2:$E$783,$A$2:$A$783,A13)</f>
        <v>0.246822139925933</v>
      </c>
      <c r="G13" s="5" t="n">
        <v>0</v>
      </c>
      <c r="H13" s="17" t="n">
        <v>44928</v>
      </c>
      <c r="I13" s="17" t="n">
        <v>45047</v>
      </c>
      <c r="J13" s="4" t="s">
        <v>859</v>
      </c>
      <c r="K13" s="4" t="s">
        <v>885</v>
      </c>
      <c r="L13" s="2"/>
      <c r="M13" s="2"/>
      <c r="N13" s="2"/>
    </row>
    <row r="14" customFormat="false" ht="14.25" hidden="false" customHeight="false" outlineLevel="0" collapsed="false">
      <c r="A14" s="10" t="s">
        <v>36</v>
      </c>
      <c r="B14" s="10" t="s">
        <v>853</v>
      </c>
      <c r="C14" s="10" t="s">
        <v>27</v>
      </c>
      <c r="D14" s="14" t="b">
        <f aca="false">TRUE()</f>
        <v>1</v>
      </c>
      <c r="E14" s="11" t="n">
        <v>5782</v>
      </c>
      <c r="F14" s="13" t="n">
        <f aca="false">E14/SUMIFS($E$2:$E$783,$A$2:$A$783,A14)</f>
        <v>0.837849587016375</v>
      </c>
      <c r="G14" s="11" t="n">
        <v>0</v>
      </c>
      <c r="H14" s="18" t="n">
        <v>45052</v>
      </c>
      <c r="I14" s="18" t="n">
        <v>45460</v>
      </c>
      <c r="J14" s="10" t="s">
        <v>854</v>
      </c>
      <c r="K14" s="10" t="s">
        <v>886</v>
      </c>
      <c r="L14" s="2"/>
      <c r="M14" s="2"/>
      <c r="N14" s="2"/>
    </row>
    <row r="15" customFormat="false" ht="14.25" hidden="false" customHeight="false" outlineLevel="0" collapsed="false">
      <c r="A15" s="4" t="s">
        <v>36</v>
      </c>
      <c r="B15" s="4" t="s">
        <v>853</v>
      </c>
      <c r="C15" s="4" t="s">
        <v>878</v>
      </c>
      <c r="D15" s="8" t="b">
        <f aca="false">FALSE()</f>
        <v>0</v>
      </c>
      <c r="E15" s="5" t="n">
        <v>1119</v>
      </c>
      <c r="F15" s="7" t="n">
        <f aca="false">E15/SUMIFS($E$2:$E$783,$A$2:$A$783,A15)</f>
        <v>0.162150412983626</v>
      </c>
      <c r="G15" s="5" t="n">
        <v>0</v>
      </c>
      <c r="H15" s="17" t="n">
        <v>44928</v>
      </c>
      <c r="I15" s="17" t="n">
        <v>45052</v>
      </c>
      <c r="J15" s="4" t="s">
        <v>859</v>
      </c>
      <c r="K15" s="4" t="s">
        <v>887</v>
      </c>
      <c r="L15" s="2"/>
      <c r="M15" s="2"/>
      <c r="N15" s="2"/>
    </row>
    <row r="16" customFormat="false" ht="14.25" hidden="false" customHeight="false" outlineLevel="0" collapsed="false">
      <c r="A16" s="10" t="s">
        <v>54</v>
      </c>
      <c r="B16" s="10" t="s">
        <v>853</v>
      </c>
      <c r="C16" s="10" t="s">
        <v>27</v>
      </c>
      <c r="D16" s="14" t="b">
        <f aca="false">TRUE()</f>
        <v>1</v>
      </c>
      <c r="E16" s="11" t="n">
        <v>889</v>
      </c>
      <c r="F16" s="13" t="n">
        <f aca="false">E16/SUMIFS($E$2:$E$783,$A$2:$A$783,A16)</f>
        <v>0.779824561403509</v>
      </c>
      <c r="G16" s="11" t="n">
        <v>0</v>
      </c>
      <c r="H16" s="18" t="n">
        <v>44930</v>
      </c>
      <c r="I16" s="18" t="n">
        <v>45477</v>
      </c>
      <c r="J16" s="10" t="s">
        <v>854</v>
      </c>
      <c r="K16" s="10" t="s">
        <v>888</v>
      </c>
      <c r="L16" s="2"/>
      <c r="M16" s="2"/>
      <c r="N16" s="2"/>
    </row>
    <row r="17" customFormat="false" ht="14.25" hidden="false" customHeight="false" outlineLevel="0" collapsed="false">
      <c r="A17" s="4" t="s">
        <v>54</v>
      </c>
      <c r="B17" s="4" t="s">
        <v>853</v>
      </c>
      <c r="C17" s="4" t="s">
        <v>878</v>
      </c>
      <c r="D17" s="8" t="b">
        <f aca="false">FALSE()</f>
        <v>0</v>
      </c>
      <c r="E17" s="5" t="n">
        <v>251</v>
      </c>
      <c r="F17" s="7" t="n">
        <f aca="false">E17/SUMIFS($E$2:$E$783,$A$2:$A$783,A17)</f>
        <v>0.220175438596491</v>
      </c>
      <c r="G17" s="5" t="n">
        <v>0</v>
      </c>
      <c r="H17" s="17" t="n">
        <v>44928</v>
      </c>
      <c r="I17" s="17" t="n">
        <v>45055</v>
      </c>
      <c r="J17" s="4" t="s">
        <v>859</v>
      </c>
      <c r="K17" s="4" t="s">
        <v>889</v>
      </c>
      <c r="L17" s="2"/>
      <c r="M17" s="2"/>
      <c r="N17" s="2"/>
    </row>
    <row r="18" customFormat="false" ht="14.25" hidden="false" customHeight="false" outlineLevel="0" collapsed="false">
      <c r="A18" s="10" t="s">
        <v>59</v>
      </c>
      <c r="B18" s="10" t="s">
        <v>853</v>
      </c>
      <c r="C18" s="10" t="s">
        <v>27</v>
      </c>
      <c r="D18" s="14" t="b">
        <f aca="false">TRUE()</f>
        <v>1</v>
      </c>
      <c r="E18" s="11" t="n">
        <v>302</v>
      </c>
      <c r="F18" s="13" t="n">
        <f aca="false">E18/SUMIFS($E$2:$E$783,$A$2:$A$783,A18)</f>
        <v>0.634453781512605</v>
      </c>
      <c r="G18" s="11" t="n">
        <v>0</v>
      </c>
      <c r="H18" s="18" t="n">
        <v>45044</v>
      </c>
      <c r="I18" s="18" t="n">
        <v>45383</v>
      </c>
      <c r="J18" s="10" t="s">
        <v>854</v>
      </c>
      <c r="K18" s="10" t="s">
        <v>890</v>
      </c>
      <c r="L18" s="2"/>
      <c r="M18" s="2"/>
      <c r="N18" s="2"/>
    </row>
    <row r="19" customFormat="false" ht="14.25" hidden="false" customHeight="false" outlineLevel="0" collapsed="false">
      <c r="A19" s="4" t="s">
        <v>59</v>
      </c>
      <c r="B19" s="4" t="s">
        <v>853</v>
      </c>
      <c r="C19" s="4" t="s">
        <v>878</v>
      </c>
      <c r="D19" s="8" t="b">
        <f aca="false">FALSE()</f>
        <v>0</v>
      </c>
      <c r="E19" s="5" t="n">
        <v>174</v>
      </c>
      <c r="F19" s="7" t="n">
        <f aca="false">E19/SUMIFS($E$2:$E$783,$A$2:$A$783,A19)</f>
        <v>0.365546218487395</v>
      </c>
      <c r="G19" s="5" t="n">
        <v>0</v>
      </c>
      <c r="H19" s="17" t="n">
        <v>44930</v>
      </c>
      <c r="I19" s="17" t="n">
        <v>45047</v>
      </c>
      <c r="J19" s="4" t="s">
        <v>859</v>
      </c>
      <c r="K19" s="4" t="s">
        <v>891</v>
      </c>
      <c r="L19" s="2"/>
      <c r="M19" s="2"/>
      <c r="N19" s="2"/>
    </row>
    <row r="20" customFormat="false" ht="14.25" hidden="false" customHeight="false" outlineLevel="0" collapsed="false">
      <c r="A20" s="10" t="s">
        <v>64</v>
      </c>
      <c r="B20" s="10" t="s">
        <v>853</v>
      </c>
      <c r="C20" s="10" t="s">
        <v>27</v>
      </c>
      <c r="D20" s="14" t="b">
        <f aca="false">TRUE()</f>
        <v>1</v>
      </c>
      <c r="E20" s="11" t="n">
        <v>120</v>
      </c>
      <c r="F20" s="13" t="n">
        <f aca="false">E20/SUMIFS($E$2:$E$783,$A$2:$A$783,A20)</f>
        <v>0.697674418604651</v>
      </c>
      <c r="G20" s="11" t="n">
        <v>0</v>
      </c>
      <c r="H20" s="18" t="n">
        <v>45047</v>
      </c>
      <c r="I20" s="18" t="n">
        <v>45399</v>
      </c>
      <c r="J20" s="10" t="s">
        <v>854</v>
      </c>
      <c r="K20" s="10" t="s">
        <v>892</v>
      </c>
      <c r="L20" s="2"/>
      <c r="M20" s="2"/>
      <c r="N20" s="2"/>
    </row>
    <row r="21" customFormat="false" ht="14.25" hidden="false" customHeight="false" outlineLevel="0" collapsed="false">
      <c r="A21" s="4" t="s">
        <v>64</v>
      </c>
      <c r="B21" s="4" t="s">
        <v>853</v>
      </c>
      <c r="C21" s="4" t="s">
        <v>878</v>
      </c>
      <c r="D21" s="8" t="b">
        <f aca="false">FALSE()</f>
        <v>0</v>
      </c>
      <c r="E21" s="5" t="n">
        <v>52</v>
      </c>
      <c r="F21" s="7" t="n">
        <f aca="false">E21/SUMIFS($E$2:$E$783,$A$2:$A$783,A21)</f>
        <v>0.302325581395349</v>
      </c>
      <c r="G21" s="5" t="n">
        <v>0</v>
      </c>
      <c r="H21" s="17" t="n">
        <v>44937</v>
      </c>
      <c r="I21" s="17" t="n">
        <v>45043</v>
      </c>
      <c r="J21" s="4" t="s">
        <v>859</v>
      </c>
      <c r="K21" s="4" t="s">
        <v>893</v>
      </c>
      <c r="L21" s="2"/>
      <c r="M21" s="2"/>
      <c r="N21" s="2"/>
    </row>
    <row r="22" customFormat="false" ht="14.25" hidden="false" customHeight="false" outlineLevel="0" collapsed="false">
      <c r="A22" s="10" t="s">
        <v>65</v>
      </c>
      <c r="B22" s="10" t="s">
        <v>853</v>
      </c>
      <c r="C22" s="10" t="s">
        <v>27</v>
      </c>
      <c r="D22" s="14" t="b">
        <f aca="false">TRUE()</f>
        <v>1</v>
      </c>
      <c r="E22" s="11" t="n">
        <v>85</v>
      </c>
      <c r="F22" s="13" t="n">
        <f aca="false">E22/SUMIFS($E$2:$E$783,$A$2:$A$783,A22)</f>
        <v>0.53125</v>
      </c>
      <c r="G22" s="11" t="n">
        <v>0</v>
      </c>
      <c r="H22" s="18" t="n">
        <v>44939</v>
      </c>
      <c r="I22" s="18" t="n">
        <v>45471</v>
      </c>
      <c r="J22" s="10" t="s">
        <v>854</v>
      </c>
      <c r="K22" s="10" t="s">
        <v>894</v>
      </c>
      <c r="L22" s="2"/>
      <c r="M22" s="2"/>
      <c r="N22" s="2"/>
    </row>
    <row r="23" customFormat="false" ht="14.25" hidden="false" customHeight="false" outlineLevel="0" collapsed="false">
      <c r="A23" s="4" t="s">
        <v>65</v>
      </c>
      <c r="B23" s="4" t="s">
        <v>853</v>
      </c>
      <c r="C23" s="4" t="s">
        <v>878</v>
      </c>
      <c r="D23" s="8" t="b">
        <f aca="false">FALSE()</f>
        <v>0</v>
      </c>
      <c r="E23" s="5" t="n">
        <v>75</v>
      </c>
      <c r="F23" s="7" t="n">
        <f aca="false">E23/SUMIFS($E$2:$E$783,$A$2:$A$783,A23)</f>
        <v>0.46875</v>
      </c>
      <c r="G23" s="5" t="n">
        <v>0</v>
      </c>
      <c r="H23" s="17" t="n">
        <v>44930</v>
      </c>
      <c r="I23" s="17" t="n">
        <v>45049</v>
      </c>
      <c r="J23" s="4" t="s">
        <v>859</v>
      </c>
      <c r="K23" s="4" t="s">
        <v>895</v>
      </c>
      <c r="L23" s="2"/>
      <c r="M23" s="2"/>
      <c r="N23" s="2"/>
    </row>
    <row r="24" customFormat="false" ht="14.25" hidden="false" customHeight="false" outlineLevel="0" collapsed="false">
      <c r="A24" s="10" t="s">
        <v>66</v>
      </c>
      <c r="B24" s="10" t="s">
        <v>853</v>
      </c>
      <c r="C24" s="10" t="s">
        <v>67</v>
      </c>
      <c r="D24" s="14" t="b">
        <f aca="false">TRUE()</f>
        <v>1</v>
      </c>
      <c r="E24" s="11" t="n">
        <v>3025</v>
      </c>
      <c r="F24" s="13" t="n">
        <f aca="false">E24/SUMIFS($E$2:$E$783,$A$2:$A$783,A24)</f>
        <v>0.881924198250729</v>
      </c>
      <c r="G24" s="11" t="n">
        <v>910</v>
      </c>
      <c r="H24" s="18" t="n">
        <v>44957</v>
      </c>
      <c r="I24" s="18" t="n">
        <v>46296</v>
      </c>
      <c r="J24" s="10" t="s">
        <v>854</v>
      </c>
      <c r="K24" s="10" t="s">
        <v>896</v>
      </c>
      <c r="L24" s="2"/>
      <c r="M24" s="2"/>
      <c r="N24" s="2"/>
    </row>
    <row r="25" customFormat="false" ht="14.25" hidden="false" customHeight="false" outlineLevel="0" collapsed="false">
      <c r="A25" s="4" t="s">
        <v>66</v>
      </c>
      <c r="B25" s="4" t="s">
        <v>853</v>
      </c>
      <c r="C25" s="4" t="s">
        <v>878</v>
      </c>
      <c r="D25" s="8" t="b">
        <f aca="false">FALSE()</f>
        <v>0</v>
      </c>
      <c r="E25" s="5" t="n">
        <v>405</v>
      </c>
      <c r="F25" s="7" t="n">
        <f aca="false">E25/SUMIFS($E$2:$E$783,$A$2:$A$783,A25)</f>
        <v>0.118075801749271</v>
      </c>
      <c r="G25" s="5" t="n">
        <v>0</v>
      </c>
      <c r="H25" s="17" t="n">
        <v>44930</v>
      </c>
      <c r="I25" s="17" t="n">
        <v>45055</v>
      </c>
      <c r="J25" s="4" t="s">
        <v>856</v>
      </c>
      <c r="K25" s="4" t="s">
        <v>897</v>
      </c>
      <c r="L25" s="2"/>
      <c r="M25" s="2"/>
      <c r="N25" s="2"/>
    </row>
    <row r="26" customFormat="false" ht="14.25" hidden="false" customHeight="false" outlineLevel="0" collapsed="false">
      <c r="A26" s="10" t="s">
        <v>68</v>
      </c>
      <c r="B26" s="10" t="s">
        <v>853</v>
      </c>
      <c r="C26" s="10" t="s">
        <v>67</v>
      </c>
      <c r="D26" s="14" t="b">
        <f aca="false">TRUE()</f>
        <v>1</v>
      </c>
      <c r="E26" s="11" t="n">
        <v>936</v>
      </c>
      <c r="F26" s="13" t="n">
        <f aca="false">E26/SUMIFS($E$2:$E$783,$A$2:$A$783,A26)</f>
        <v>0.906098741529526</v>
      </c>
      <c r="G26" s="11" t="n">
        <v>233</v>
      </c>
      <c r="H26" s="18" t="n">
        <v>45060</v>
      </c>
      <c r="I26" s="18" t="n">
        <v>46296</v>
      </c>
      <c r="J26" s="10" t="s">
        <v>854</v>
      </c>
      <c r="K26" s="10" t="s">
        <v>898</v>
      </c>
      <c r="L26" s="2"/>
      <c r="M26" s="2"/>
      <c r="N26" s="2"/>
    </row>
    <row r="27" customFormat="false" ht="14.25" hidden="false" customHeight="false" outlineLevel="0" collapsed="false">
      <c r="A27" s="4" t="s">
        <v>68</v>
      </c>
      <c r="B27" s="4" t="s">
        <v>853</v>
      </c>
      <c r="C27" s="4" t="s">
        <v>878</v>
      </c>
      <c r="D27" s="8" t="b">
        <f aca="false">FALSE()</f>
        <v>0</v>
      </c>
      <c r="E27" s="5" t="n">
        <v>97</v>
      </c>
      <c r="F27" s="7" t="n">
        <f aca="false">E27/SUMIFS($E$2:$E$783,$A$2:$A$783,A27)</f>
        <v>0.0939012584704743</v>
      </c>
      <c r="G27" s="5" t="n">
        <v>0</v>
      </c>
      <c r="H27" s="17" t="n">
        <v>44932</v>
      </c>
      <c r="I27" s="17" t="n">
        <v>45055</v>
      </c>
      <c r="J27" s="4" t="s">
        <v>856</v>
      </c>
      <c r="K27" s="4" t="s">
        <v>899</v>
      </c>
      <c r="L27" s="2"/>
      <c r="M27" s="2"/>
      <c r="N27" s="2"/>
    </row>
    <row r="28" customFormat="false" ht="14.25" hidden="false" customHeight="false" outlineLevel="0" collapsed="false">
      <c r="A28" s="10" t="s">
        <v>69</v>
      </c>
      <c r="B28" s="10" t="s">
        <v>853</v>
      </c>
      <c r="C28" s="10" t="s">
        <v>67</v>
      </c>
      <c r="D28" s="14" t="b">
        <f aca="false">TRUE()</f>
        <v>1</v>
      </c>
      <c r="E28" s="11" t="n">
        <v>691</v>
      </c>
      <c r="F28" s="13" t="n">
        <f aca="false">E28/SUMIFS($E$2:$E$783,$A$2:$A$783,A28)</f>
        <v>0.910408432147563</v>
      </c>
      <c r="G28" s="11" t="n">
        <v>195</v>
      </c>
      <c r="H28" s="18" t="n">
        <v>45033</v>
      </c>
      <c r="I28" s="18" t="n">
        <v>46296</v>
      </c>
      <c r="J28" s="10" t="s">
        <v>854</v>
      </c>
      <c r="K28" s="10" t="s">
        <v>900</v>
      </c>
      <c r="L28" s="2"/>
      <c r="M28" s="2"/>
      <c r="N28" s="2"/>
    </row>
    <row r="29" customFormat="false" ht="14.25" hidden="false" customHeight="false" outlineLevel="0" collapsed="false">
      <c r="A29" s="4" t="s">
        <v>69</v>
      </c>
      <c r="B29" s="4" t="s">
        <v>853</v>
      </c>
      <c r="C29" s="4" t="s">
        <v>878</v>
      </c>
      <c r="D29" s="8" t="b">
        <f aca="false">FALSE()</f>
        <v>0</v>
      </c>
      <c r="E29" s="5" t="n">
        <v>68</v>
      </c>
      <c r="F29" s="7" t="n">
        <f aca="false">E29/SUMIFS($E$2:$E$783,$A$2:$A$783,A29)</f>
        <v>0.0895915678524374</v>
      </c>
      <c r="G29" s="5" t="n">
        <v>0</v>
      </c>
      <c r="H29" s="17" t="n">
        <v>44930</v>
      </c>
      <c r="I29" s="17" t="n">
        <v>45055</v>
      </c>
      <c r="J29" s="4" t="s">
        <v>856</v>
      </c>
      <c r="K29" s="4" t="s">
        <v>901</v>
      </c>
      <c r="L29" s="2"/>
      <c r="M29" s="2"/>
      <c r="N29" s="2"/>
    </row>
    <row r="30" customFormat="false" ht="14.25" hidden="false" customHeight="false" outlineLevel="0" collapsed="false">
      <c r="A30" s="10" t="s">
        <v>70</v>
      </c>
      <c r="B30" s="10" t="s">
        <v>853</v>
      </c>
      <c r="C30" s="10" t="s">
        <v>67</v>
      </c>
      <c r="D30" s="14" t="b">
        <f aca="false">TRUE()</f>
        <v>1</v>
      </c>
      <c r="E30" s="11" t="n">
        <v>386</v>
      </c>
      <c r="F30" s="13" t="n">
        <f aca="false">E30/SUMIFS($E$2:$E$783,$A$2:$A$783,A30)</f>
        <v>0.912529550827423</v>
      </c>
      <c r="G30" s="11" t="n">
        <v>85</v>
      </c>
      <c r="H30" s="18" t="n">
        <v>45002</v>
      </c>
      <c r="I30" s="18" t="n">
        <v>46296</v>
      </c>
      <c r="J30" s="10" t="s">
        <v>854</v>
      </c>
      <c r="K30" s="10" t="s">
        <v>902</v>
      </c>
      <c r="L30" s="2"/>
      <c r="M30" s="2"/>
      <c r="N30" s="2"/>
    </row>
    <row r="31" customFormat="false" ht="14.25" hidden="false" customHeight="false" outlineLevel="0" collapsed="false">
      <c r="A31" s="4" t="s">
        <v>70</v>
      </c>
      <c r="B31" s="4" t="s">
        <v>853</v>
      </c>
      <c r="C31" s="4" t="s">
        <v>878</v>
      </c>
      <c r="D31" s="8" t="b">
        <f aca="false">FALSE()</f>
        <v>0</v>
      </c>
      <c r="E31" s="5" t="n">
        <v>37</v>
      </c>
      <c r="F31" s="7" t="n">
        <f aca="false">E31/SUMIFS($E$2:$E$783,$A$2:$A$783,A31)</f>
        <v>0.0874704491725768</v>
      </c>
      <c r="G31" s="5" t="n">
        <v>0</v>
      </c>
      <c r="H31" s="17" t="n">
        <v>44929</v>
      </c>
      <c r="I31" s="17" t="n">
        <v>45048</v>
      </c>
      <c r="J31" s="4" t="s">
        <v>856</v>
      </c>
      <c r="K31" s="4" t="s">
        <v>903</v>
      </c>
      <c r="L31" s="2"/>
      <c r="M31" s="2"/>
      <c r="N31" s="2"/>
    </row>
    <row r="32" customFormat="false" ht="14.25" hidden="false" customHeight="false" outlineLevel="0" collapsed="false">
      <c r="A32" s="10" t="s">
        <v>72</v>
      </c>
      <c r="B32" s="10" t="s">
        <v>853</v>
      </c>
      <c r="C32" s="10" t="s">
        <v>73</v>
      </c>
      <c r="D32" s="14" t="b">
        <f aca="false">TRUE()</f>
        <v>1</v>
      </c>
      <c r="E32" s="11" t="n">
        <v>132</v>
      </c>
      <c r="F32" s="13" t="n">
        <f aca="false">E32/SUMIFS($E$2:$E$783,$A$2:$A$783,A32)</f>
        <v>0.916666666666667</v>
      </c>
      <c r="G32" s="11" t="n">
        <v>33</v>
      </c>
      <c r="H32" s="18" t="n">
        <v>45062</v>
      </c>
      <c r="I32" s="18" t="n">
        <v>46285</v>
      </c>
      <c r="J32" s="10" t="s">
        <v>854</v>
      </c>
      <c r="K32" s="10" t="s">
        <v>904</v>
      </c>
      <c r="L32" s="2"/>
      <c r="M32" s="2"/>
      <c r="N32" s="2"/>
    </row>
    <row r="33" customFormat="false" ht="14.25" hidden="false" customHeight="false" outlineLevel="0" collapsed="false">
      <c r="A33" s="4" t="s">
        <v>72</v>
      </c>
      <c r="B33" s="4" t="s">
        <v>853</v>
      </c>
      <c r="C33" s="4" t="s">
        <v>905</v>
      </c>
      <c r="D33" s="8" t="b">
        <f aca="false">FALSE()</f>
        <v>0</v>
      </c>
      <c r="E33" s="5" t="n">
        <v>12</v>
      </c>
      <c r="F33" s="7" t="n">
        <f aca="false">E33/SUMIFS($E$2:$E$783,$A$2:$A$783,A33)</f>
        <v>0.0833333333333333</v>
      </c>
      <c r="G33" s="5" t="n">
        <v>0</v>
      </c>
      <c r="H33" s="17" t="n">
        <v>44951</v>
      </c>
      <c r="I33" s="17" t="n">
        <v>45013</v>
      </c>
      <c r="J33" s="4" t="s">
        <v>859</v>
      </c>
      <c r="K33" s="4" t="s">
        <v>906</v>
      </c>
      <c r="L33" s="2"/>
      <c r="M33" s="2"/>
      <c r="N33" s="2"/>
    </row>
    <row r="34" customFormat="false" ht="14.25" hidden="false" customHeight="false" outlineLevel="0" collapsed="false">
      <c r="A34" s="10" t="s">
        <v>74</v>
      </c>
      <c r="B34" s="10" t="s">
        <v>853</v>
      </c>
      <c r="C34" s="10" t="s">
        <v>75</v>
      </c>
      <c r="D34" s="14" t="b">
        <f aca="false">TRUE()</f>
        <v>1</v>
      </c>
      <c r="E34" s="11" t="n">
        <v>482</v>
      </c>
      <c r="F34" s="13" t="n">
        <f aca="false">E34/SUMIFS($E$2:$E$783,$A$2:$A$783,A34)</f>
        <v>0.95069033530572</v>
      </c>
      <c r="G34" s="11" t="n">
        <v>0</v>
      </c>
      <c r="H34" s="18" t="n">
        <v>44928</v>
      </c>
      <c r="I34" s="18" t="n">
        <v>45055</v>
      </c>
      <c r="J34" s="10" t="s">
        <v>854</v>
      </c>
      <c r="K34" s="10" t="s">
        <v>907</v>
      </c>
      <c r="L34" s="2"/>
      <c r="M34" s="2"/>
      <c r="N34" s="2"/>
    </row>
    <row r="35" customFormat="false" ht="14.25" hidden="false" customHeight="false" outlineLevel="0" collapsed="false">
      <c r="A35" s="4" t="s">
        <v>74</v>
      </c>
      <c r="B35" s="4" t="s">
        <v>853</v>
      </c>
      <c r="C35" s="4" t="s">
        <v>166</v>
      </c>
      <c r="D35" s="8" t="b">
        <f aca="false">FALSE()</f>
        <v>0</v>
      </c>
      <c r="E35" s="5" t="n">
        <v>25</v>
      </c>
      <c r="F35" s="7" t="n">
        <f aca="false">E35/SUMIFS($E$2:$E$783,$A$2:$A$783,A35)</f>
        <v>0.0493096646942801</v>
      </c>
      <c r="G35" s="5" t="n">
        <v>0</v>
      </c>
      <c r="H35" s="17" t="n">
        <v>45055</v>
      </c>
      <c r="I35" s="17" t="n">
        <v>45063</v>
      </c>
      <c r="J35" s="4" t="s">
        <v>859</v>
      </c>
      <c r="K35" s="4" t="s">
        <v>908</v>
      </c>
      <c r="L35" s="2"/>
      <c r="M35" s="2"/>
      <c r="N35" s="2"/>
    </row>
    <row r="36" customFormat="false" ht="14.25" hidden="false" customHeight="false" outlineLevel="0" collapsed="false">
      <c r="A36" s="10" t="s">
        <v>76</v>
      </c>
      <c r="B36" s="10" t="s">
        <v>853</v>
      </c>
      <c r="C36" s="10" t="s">
        <v>75</v>
      </c>
      <c r="D36" s="14" t="b">
        <f aca="false">TRUE()</f>
        <v>1</v>
      </c>
      <c r="E36" s="11" t="n">
        <v>104</v>
      </c>
      <c r="F36" s="13" t="n">
        <f aca="false">E36/SUMIFS($E$2:$E$783,$A$2:$A$783,A36)</f>
        <v>0.533333333333333</v>
      </c>
      <c r="G36" s="11" t="n">
        <v>0</v>
      </c>
      <c r="H36" s="18" t="n">
        <v>44928</v>
      </c>
      <c r="I36" s="18" t="n">
        <v>45055</v>
      </c>
      <c r="J36" s="10" t="s">
        <v>854</v>
      </c>
      <c r="K36" s="10" t="s">
        <v>907</v>
      </c>
      <c r="L36" s="2"/>
      <c r="M36" s="2"/>
      <c r="N36" s="2"/>
    </row>
    <row r="37" customFormat="false" ht="14.25" hidden="false" customHeight="false" outlineLevel="0" collapsed="false">
      <c r="A37" s="4" t="s">
        <v>76</v>
      </c>
      <c r="B37" s="4" t="s">
        <v>853</v>
      </c>
      <c r="C37" s="4" t="s">
        <v>166</v>
      </c>
      <c r="D37" s="8" t="b">
        <f aca="false">FALSE()</f>
        <v>0</v>
      </c>
      <c r="E37" s="5" t="n">
        <v>91</v>
      </c>
      <c r="F37" s="7" t="n">
        <f aca="false">E37/SUMIFS($E$2:$E$783,$A$2:$A$783,A37)</f>
        <v>0.466666666666667</v>
      </c>
      <c r="G37" s="5" t="n">
        <v>0</v>
      </c>
      <c r="H37" s="17" t="n">
        <v>45055</v>
      </c>
      <c r="I37" s="17" t="n">
        <v>45188</v>
      </c>
      <c r="J37" s="4" t="s">
        <v>859</v>
      </c>
      <c r="K37" s="4" t="s">
        <v>909</v>
      </c>
      <c r="L37" s="2"/>
      <c r="M37" s="2"/>
      <c r="N37" s="2"/>
    </row>
    <row r="38" customFormat="false" ht="14.25" hidden="false" customHeight="false" outlineLevel="0" collapsed="false">
      <c r="A38" s="10" t="s">
        <v>77</v>
      </c>
      <c r="B38" s="10" t="s">
        <v>853</v>
      </c>
      <c r="C38" s="10" t="s">
        <v>75</v>
      </c>
      <c r="D38" s="14" t="b">
        <f aca="false">TRUE()</f>
        <v>1</v>
      </c>
      <c r="E38" s="11" t="n">
        <v>7</v>
      </c>
      <c r="F38" s="13" t="n">
        <f aca="false">E38/SUMIFS($E$2:$E$783,$A$2:$A$783,A38)</f>
        <v>0.777777777777778</v>
      </c>
      <c r="G38" s="11" t="n">
        <v>0</v>
      </c>
      <c r="H38" s="18" t="n">
        <v>44937</v>
      </c>
      <c r="I38" s="18" t="n">
        <v>45043</v>
      </c>
      <c r="J38" s="10" t="s">
        <v>854</v>
      </c>
      <c r="K38" s="10" t="s">
        <v>910</v>
      </c>
      <c r="L38" s="2"/>
      <c r="M38" s="2"/>
      <c r="N38" s="2"/>
    </row>
    <row r="39" customFormat="false" ht="14.25" hidden="false" customHeight="false" outlineLevel="0" collapsed="false">
      <c r="A39" s="4" t="s">
        <v>77</v>
      </c>
      <c r="B39" s="4" t="s">
        <v>853</v>
      </c>
      <c r="C39" s="4" t="s">
        <v>166</v>
      </c>
      <c r="D39" s="8" t="b">
        <f aca="false">FALSE()</f>
        <v>0</v>
      </c>
      <c r="E39" s="5" t="n">
        <v>2</v>
      </c>
      <c r="F39" s="7" t="n">
        <f aca="false">E39/SUMIFS($E$2:$E$783,$A$2:$A$783,A39)</f>
        <v>0.222222222222222</v>
      </c>
      <c r="G39" s="5" t="n">
        <v>0</v>
      </c>
      <c r="H39" s="17" t="n">
        <v>45025</v>
      </c>
      <c r="I39" s="17" t="n">
        <v>45075</v>
      </c>
      <c r="J39" s="4" t="s">
        <v>859</v>
      </c>
      <c r="K39" s="4" t="s">
        <v>911</v>
      </c>
      <c r="L39" s="2"/>
      <c r="M39" s="2"/>
      <c r="N39" s="2"/>
    </row>
    <row r="40" customFormat="false" ht="14.25" hidden="false" customHeight="false" outlineLevel="0" collapsed="false">
      <c r="A40" s="10" t="s">
        <v>78</v>
      </c>
      <c r="B40" s="10" t="s">
        <v>853</v>
      </c>
      <c r="C40" s="10" t="s">
        <v>75</v>
      </c>
      <c r="D40" s="14" t="b">
        <f aca="false">TRUE()</f>
        <v>1</v>
      </c>
      <c r="E40" s="11" t="n">
        <v>5</v>
      </c>
      <c r="F40" s="13" t="n">
        <f aca="false">E40/SUMIFS($E$2:$E$783,$A$2:$A$783,A40)</f>
        <v>0.625</v>
      </c>
      <c r="G40" s="11" t="n">
        <v>0</v>
      </c>
      <c r="H40" s="18" t="n">
        <v>44933</v>
      </c>
      <c r="I40" s="18" t="n">
        <v>44984</v>
      </c>
      <c r="J40" s="10" t="s">
        <v>854</v>
      </c>
      <c r="K40" s="10" t="s">
        <v>912</v>
      </c>
      <c r="L40" s="2"/>
      <c r="M40" s="2"/>
      <c r="N40" s="2"/>
    </row>
    <row r="41" customFormat="false" ht="14.25" hidden="false" customHeight="false" outlineLevel="0" collapsed="false">
      <c r="A41" s="4" t="s">
        <v>78</v>
      </c>
      <c r="B41" s="4" t="s">
        <v>853</v>
      </c>
      <c r="C41" s="4" t="s">
        <v>166</v>
      </c>
      <c r="D41" s="8" t="b">
        <f aca="false">FALSE()</f>
        <v>0</v>
      </c>
      <c r="E41" s="5" t="n">
        <v>3</v>
      </c>
      <c r="F41" s="7" t="n">
        <f aca="false">E41/SUMIFS($E$2:$E$783,$A$2:$A$783,A41)</f>
        <v>0.375</v>
      </c>
      <c r="G41" s="5" t="n">
        <v>0</v>
      </c>
      <c r="H41" s="17" t="n">
        <v>45117</v>
      </c>
      <c r="I41" s="17" t="n">
        <v>45163</v>
      </c>
      <c r="J41" s="4" t="s">
        <v>859</v>
      </c>
      <c r="K41" s="4" t="s">
        <v>913</v>
      </c>
      <c r="L41" s="2"/>
      <c r="M41" s="2"/>
      <c r="N41" s="2"/>
    </row>
    <row r="42" customFormat="false" ht="14.25" hidden="false" customHeight="false" outlineLevel="0" collapsed="false">
      <c r="A42" s="10" t="s">
        <v>123</v>
      </c>
      <c r="B42" s="10" t="s">
        <v>853</v>
      </c>
      <c r="C42" s="10" t="s">
        <v>119</v>
      </c>
      <c r="D42" s="14" t="b">
        <f aca="false">TRUE()</f>
        <v>1</v>
      </c>
      <c r="E42" s="11" t="n">
        <v>8</v>
      </c>
      <c r="F42" s="13" t="n">
        <f aca="false">E42/SUMIFS($E$2:$E$783,$A$2:$A$783,A42)</f>
        <v>0.727272727272727</v>
      </c>
      <c r="G42" s="11" t="n">
        <v>0</v>
      </c>
      <c r="H42" s="18" t="n">
        <v>44934</v>
      </c>
      <c r="I42" s="18" t="n">
        <v>44988</v>
      </c>
      <c r="J42" s="10" t="s">
        <v>854</v>
      </c>
      <c r="K42" s="10" t="s">
        <v>914</v>
      </c>
      <c r="L42" s="2"/>
      <c r="M42" s="2"/>
      <c r="N42" s="2"/>
    </row>
    <row r="43" customFormat="false" ht="14.25" hidden="false" customHeight="false" outlineLevel="0" collapsed="false">
      <c r="A43" s="4" t="s">
        <v>123</v>
      </c>
      <c r="B43" s="4" t="s">
        <v>853</v>
      </c>
      <c r="C43" s="4" t="s">
        <v>809</v>
      </c>
      <c r="D43" s="8" t="b">
        <f aca="false">FALSE()</f>
        <v>0</v>
      </c>
      <c r="E43" s="5" t="n">
        <v>3</v>
      </c>
      <c r="F43" s="7" t="n">
        <f aca="false">E43/SUMIFS($E$2:$E$783,$A$2:$A$783,A43)</f>
        <v>0.272727272727273</v>
      </c>
      <c r="G43" s="5" t="n">
        <v>0</v>
      </c>
      <c r="H43" s="17" t="n">
        <v>44999</v>
      </c>
      <c r="I43" s="17" t="n">
        <v>45005</v>
      </c>
      <c r="J43" s="4" t="s">
        <v>859</v>
      </c>
      <c r="K43" s="4" t="s">
        <v>915</v>
      </c>
      <c r="L43" s="2"/>
      <c r="M43" s="2"/>
      <c r="N43" s="2"/>
    </row>
    <row r="44" customFormat="false" ht="14.25" hidden="false" customHeight="false" outlineLevel="0" collapsed="false">
      <c r="A44" s="10" t="s">
        <v>125</v>
      </c>
      <c r="B44" s="10" t="s">
        <v>853</v>
      </c>
      <c r="C44" s="10" t="s">
        <v>119</v>
      </c>
      <c r="D44" s="14" t="b">
        <f aca="false">TRUE()</f>
        <v>1</v>
      </c>
      <c r="E44" s="11" t="n">
        <v>4</v>
      </c>
      <c r="F44" s="13" t="n">
        <f aca="false">E44/SUMIFS($E$2:$E$783,$A$2:$A$783,A44)</f>
        <v>0.571428571428571</v>
      </c>
      <c r="G44" s="11" t="n">
        <v>0</v>
      </c>
      <c r="H44" s="18" t="n">
        <v>44971</v>
      </c>
      <c r="I44" s="18" t="n">
        <v>45000</v>
      </c>
      <c r="J44" s="10" t="s">
        <v>854</v>
      </c>
      <c r="K44" s="10" t="s">
        <v>916</v>
      </c>
      <c r="L44" s="2"/>
      <c r="M44" s="2"/>
      <c r="N44" s="2"/>
    </row>
    <row r="45" customFormat="false" ht="14.25" hidden="false" customHeight="false" outlineLevel="0" collapsed="false">
      <c r="A45" s="4" t="s">
        <v>125</v>
      </c>
      <c r="B45" s="4" t="s">
        <v>853</v>
      </c>
      <c r="C45" s="4" t="s">
        <v>156</v>
      </c>
      <c r="D45" s="8" t="b">
        <f aca="false">FALSE()</f>
        <v>0</v>
      </c>
      <c r="E45" s="5" t="n">
        <v>3</v>
      </c>
      <c r="F45" s="7" t="n">
        <f aca="false">E45/SUMIFS($E$2:$E$783,$A$2:$A$783,A45)</f>
        <v>0.428571428571429</v>
      </c>
      <c r="G45" s="5" t="n">
        <v>0</v>
      </c>
      <c r="H45" s="17" t="n">
        <v>45063</v>
      </c>
      <c r="I45" s="17" t="n">
        <v>45210</v>
      </c>
      <c r="J45" s="4" t="s">
        <v>859</v>
      </c>
      <c r="K45" s="4" t="s">
        <v>917</v>
      </c>
      <c r="L45" s="2"/>
      <c r="M45" s="2"/>
      <c r="N45" s="2"/>
    </row>
    <row r="46" customFormat="false" ht="14.25" hidden="false" customHeight="false" outlineLevel="0" collapsed="false">
      <c r="A46" s="10" t="s">
        <v>132</v>
      </c>
      <c r="B46" s="10" t="s">
        <v>853</v>
      </c>
      <c r="C46" s="10" t="s">
        <v>129</v>
      </c>
      <c r="D46" s="14" t="b">
        <f aca="false">TRUE()</f>
        <v>1</v>
      </c>
      <c r="E46" s="11" t="n">
        <v>58</v>
      </c>
      <c r="F46" s="13" t="n">
        <f aca="false">E46/SUMIFS($E$2:$E$783,$A$2:$A$783,A46)</f>
        <v>0.950819672131148</v>
      </c>
      <c r="G46" s="11" t="n">
        <v>0</v>
      </c>
      <c r="H46" s="18" t="n">
        <v>44935</v>
      </c>
      <c r="I46" s="18" t="n">
        <v>44999</v>
      </c>
      <c r="J46" s="10" t="s">
        <v>854</v>
      </c>
      <c r="K46" s="10" t="s">
        <v>918</v>
      </c>
      <c r="L46" s="2"/>
      <c r="M46" s="2"/>
      <c r="N46" s="2"/>
    </row>
    <row r="47" customFormat="false" ht="14.25" hidden="false" customHeight="false" outlineLevel="0" collapsed="false">
      <c r="A47" s="4" t="s">
        <v>132</v>
      </c>
      <c r="B47" s="4" t="s">
        <v>853</v>
      </c>
      <c r="C47" s="4" t="s">
        <v>258</v>
      </c>
      <c r="D47" s="8" t="b">
        <f aca="false">FALSE()</f>
        <v>0</v>
      </c>
      <c r="E47" s="5" t="n">
        <v>3</v>
      </c>
      <c r="F47" s="7" t="n">
        <f aca="false">E47/SUMIFS($E$2:$E$783,$A$2:$A$783,A47)</f>
        <v>0.0491803278688525</v>
      </c>
      <c r="G47" s="5" t="n">
        <v>0</v>
      </c>
      <c r="H47" s="17" t="n">
        <v>44939</v>
      </c>
      <c r="I47" s="17" t="n">
        <v>44967</v>
      </c>
      <c r="J47" s="4" t="s">
        <v>863</v>
      </c>
      <c r="K47" s="4" t="s">
        <v>919</v>
      </c>
      <c r="L47" s="2"/>
      <c r="M47" s="2"/>
      <c r="N47" s="2"/>
    </row>
    <row r="48" customFormat="false" ht="14.25" hidden="false" customHeight="false" outlineLevel="0" collapsed="false">
      <c r="A48" s="10" t="s">
        <v>133</v>
      </c>
      <c r="B48" s="10" t="s">
        <v>853</v>
      </c>
      <c r="C48" s="10" t="s">
        <v>129</v>
      </c>
      <c r="D48" s="14" t="b">
        <f aca="false">TRUE()</f>
        <v>1</v>
      </c>
      <c r="E48" s="11" t="n">
        <v>37</v>
      </c>
      <c r="F48" s="13" t="n">
        <f aca="false">E48/SUMIFS($E$2:$E$783,$A$2:$A$783,A48)</f>
        <v>0.973684210526316</v>
      </c>
      <c r="G48" s="11" t="n">
        <v>0</v>
      </c>
      <c r="H48" s="18" t="n">
        <v>44931</v>
      </c>
      <c r="I48" s="18" t="n">
        <v>45007</v>
      </c>
      <c r="J48" s="10" t="s">
        <v>854</v>
      </c>
      <c r="K48" s="10" t="s">
        <v>920</v>
      </c>
      <c r="L48" s="2"/>
      <c r="M48" s="2"/>
      <c r="N48" s="2"/>
    </row>
    <row r="49" customFormat="false" ht="14.25" hidden="false" customHeight="false" outlineLevel="0" collapsed="false">
      <c r="A49" s="4" t="s">
        <v>133</v>
      </c>
      <c r="B49" s="4" t="s">
        <v>853</v>
      </c>
      <c r="C49" s="4" t="s">
        <v>506</v>
      </c>
      <c r="D49" s="8" t="b">
        <f aca="false">FALSE()</f>
        <v>0</v>
      </c>
      <c r="E49" s="5" t="n">
        <v>1</v>
      </c>
      <c r="F49" s="7" t="n">
        <f aca="false">E49/SUMIFS($E$2:$E$783,$A$2:$A$783,A49)</f>
        <v>0.0263157894736842</v>
      </c>
      <c r="G49" s="5" t="n">
        <v>0</v>
      </c>
      <c r="H49" s="17" t="n">
        <v>45000</v>
      </c>
      <c r="I49" s="17" t="n">
        <v>45000</v>
      </c>
      <c r="J49" s="4" t="s">
        <v>863</v>
      </c>
      <c r="K49" s="4" t="s">
        <v>921</v>
      </c>
      <c r="L49" s="2"/>
      <c r="M49" s="2"/>
      <c r="N49" s="2"/>
    </row>
    <row r="50" customFormat="false" ht="14.25" hidden="false" customHeight="false" outlineLevel="0" collapsed="false">
      <c r="A50" s="10" t="s">
        <v>134</v>
      </c>
      <c r="B50" s="10" t="s">
        <v>853</v>
      </c>
      <c r="C50" s="10" t="s">
        <v>129</v>
      </c>
      <c r="D50" s="14" t="b">
        <f aca="false">TRUE()</f>
        <v>1</v>
      </c>
      <c r="E50" s="11" t="n">
        <v>22</v>
      </c>
      <c r="F50" s="13" t="n">
        <f aca="false">E50/SUMIFS($E$2:$E$783,$A$2:$A$783,A50)</f>
        <v>0.611111111111111</v>
      </c>
      <c r="G50" s="11" t="n">
        <v>0</v>
      </c>
      <c r="H50" s="18" t="n">
        <v>44929</v>
      </c>
      <c r="I50" s="18" t="n">
        <v>45034</v>
      </c>
      <c r="J50" s="10" t="s">
        <v>854</v>
      </c>
      <c r="K50" s="10" t="s">
        <v>922</v>
      </c>
      <c r="L50" s="2"/>
      <c r="M50" s="2"/>
      <c r="N50" s="2"/>
    </row>
    <row r="51" customFormat="false" ht="14.25" hidden="false" customHeight="false" outlineLevel="0" collapsed="false">
      <c r="A51" s="4" t="s">
        <v>134</v>
      </c>
      <c r="B51" s="4" t="s">
        <v>853</v>
      </c>
      <c r="C51" s="4" t="s">
        <v>506</v>
      </c>
      <c r="D51" s="8" t="b">
        <f aca="false">FALSE()</f>
        <v>0</v>
      </c>
      <c r="E51" s="5" t="n">
        <v>14</v>
      </c>
      <c r="F51" s="7" t="n">
        <f aca="false">E51/SUMIFS($E$2:$E$783,$A$2:$A$783,A51)</f>
        <v>0.388888888888889</v>
      </c>
      <c r="G51" s="5" t="n">
        <v>0</v>
      </c>
      <c r="H51" s="17" t="n">
        <v>45030</v>
      </c>
      <c r="I51" s="17" t="n">
        <v>45112</v>
      </c>
      <c r="J51" s="4" t="s">
        <v>859</v>
      </c>
      <c r="K51" s="4" t="s">
        <v>923</v>
      </c>
      <c r="L51" s="2"/>
      <c r="M51" s="2"/>
      <c r="N51" s="2"/>
    </row>
    <row r="52" customFormat="false" ht="14.25" hidden="false" customHeight="false" outlineLevel="0" collapsed="false">
      <c r="A52" s="10" t="s">
        <v>157</v>
      </c>
      <c r="B52" s="10" t="s">
        <v>853</v>
      </c>
      <c r="C52" s="10" t="s">
        <v>156</v>
      </c>
      <c r="D52" s="14" t="b">
        <f aca="false">TRUE()</f>
        <v>1</v>
      </c>
      <c r="E52" s="11" t="n">
        <v>11</v>
      </c>
      <c r="F52" s="13" t="n">
        <f aca="false">E52/SUMIFS($E$2:$E$783,$A$2:$A$783,A52)</f>
        <v>0.523809523809524</v>
      </c>
      <c r="G52" s="11" t="n">
        <v>0</v>
      </c>
      <c r="H52" s="18" t="n">
        <v>45054</v>
      </c>
      <c r="I52" s="18" t="n">
        <v>45198</v>
      </c>
      <c r="J52" s="10" t="s">
        <v>854</v>
      </c>
      <c r="K52" s="10" t="s">
        <v>924</v>
      </c>
      <c r="L52" s="2"/>
      <c r="M52" s="2"/>
      <c r="N52" s="2"/>
    </row>
    <row r="53" customFormat="false" ht="14.25" hidden="false" customHeight="false" outlineLevel="0" collapsed="false">
      <c r="A53" s="4" t="s">
        <v>157</v>
      </c>
      <c r="B53" s="4" t="s">
        <v>853</v>
      </c>
      <c r="C53" s="4" t="s">
        <v>119</v>
      </c>
      <c r="D53" s="8" t="b">
        <f aca="false">FALSE()</f>
        <v>0</v>
      </c>
      <c r="E53" s="5" t="n">
        <v>10</v>
      </c>
      <c r="F53" s="7" t="n">
        <f aca="false">E53/SUMIFS($E$2:$E$783,$A$2:$A$783,A53)</f>
        <v>0.476190476190476</v>
      </c>
      <c r="G53" s="5" t="n">
        <v>0</v>
      </c>
      <c r="H53" s="17" t="n">
        <v>44959</v>
      </c>
      <c r="I53" s="17" t="n">
        <v>45048</v>
      </c>
      <c r="J53" s="4" t="s">
        <v>859</v>
      </c>
      <c r="K53" s="4" t="s">
        <v>925</v>
      </c>
      <c r="L53" s="2"/>
      <c r="M53" s="2"/>
      <c r="N53" s="2"/>
    </row>
    <row r="54" customFormat="false" ht="14.25" hidden="false" customHeight="false" outlineLevel="0" collapsed="false">
      <c r="A54" s="10" t="s">
        <v>161</v>
      </c>
      <c r="B54" s="10" t="s">
        <v>853</v>
      </c>
      <c r="C54" s="10" t="s">
        <v>156</v>
      </c>
      <c r="D54" s="14" t="b">
        <f aca="false">TRUE()</f>
        <v>1</v>
      </c>
      <c r="E54" s="11" t="n">
        <v>3</v>
      </c>
      <c r="F54" s="13" t="n">
        <f aca="false">E54/SUMIFS($E$2:$E$783,$A$2:$A$783,A54)</f>
        <v>0.75</v>
      </c>
      <c r="G54" s="11" t="n">
        <v>0</v>
      </c>
      <c r="H54" s="18" t="n">
        <v>45015</v>
      </c>
      <c r="I54" s="18" t="n">
        <v>45055</v>
      </c>
      <c r="J54" s="10" t="s">
        <v>854</v>
      </c>
      <c r="K54" s="10" t="s">
        <v>926</v>
      </c>
      <c r="L54" s="2"/>
      <c r="M54" s="2"/>
      <c r="N54" s="2"/>
    </row>
    <row r="55" customFormat="false" ht="14.25" hidden="false" customHeight="false" outlineLevel="0" collapsed="false">
      <c r="A55" s="4" t="s">
        <v>161</v>
      </c>
      <c r="B55" s="4" t="s">
        <v>853</v>
      </c>
      <c r="C55" s="4" t="s">
        <v>119</v>
      </c>
      <c r="D55" s="8" t="b">
        <f aca="false">FALSE()</f>
        <v>0</v>
      </c>
      <c r="E55" s="5" t="n">
        <v>1</v>
      </c>
      <c r="F55" s="7" t="n">
        <f aca="false">E55/SUMIFS($E$2:$E$783,$A$2:$A$783,A55)</f>
        <v>0.25</v>
      </c>
      <c r="G55" s="5" t="n">
        <v>0</v>
      </c>
      <c r="H55" s="17" t="n">
        <v>45008</v>
      </c>
      <c r="I55" s="17" t="n">
        <v>45008</v>
      </c>
      <c r="J55" s="4" t="s">
        <v>859</v>
      </c>
      <c r="K55" s="4" t="s">
        <v>927</v>
      </c>
      <c r="L55" s="2"/>
      <c r="M55" s="2"/>
      <c r="N55" s="2"/>
    </row>
    <row r="56" customFormat="false" ht="14.25" hidden="false" customHeight="false" outlineLevel="0" collapsed="false">
      <c r="A56" s="10" t="s">
        <v>165</v>
      </c>
      <c r="B56" s="10" t="s">
        <v>853</v>
      </c>
      <c r="C56" s="10" t="s">
        <v>166</v>
      </c>
      <c r="D56" s="14" t="b">
        <f aca="false">TRUE()</f>
        <v>1</v>
      </c>
      <c r="E56" s="11" t="n">
        <v>37913</v>
      </c>
      <c r="F56" s="13" t="n">
        <f aca="false">E56/SUMIFS($E$2:$E$783,$A$2:$A$783,A56)</f>
        <v>0.769073168752662</v>
      </c>
      <c r="G56" s="11" t="n">
        <v>6028</v>
      </c>
      <c r="H56" s="18" t="n">
        <v>44928</v>
      </c>
      <c r="I56" s="18" t="n">
        <v>46189</v>
      </c>
      <c r="J56" s="10" t="s">
        <v>854</v>
      </c>
      <c r="K56" s="10" t="s">
        <v>928</v>
      </c>
      <c r="L56" s="2"/>
      <c r="M56" s="2"/>
      <c r="N56" s="2"/>
    </row>
    <row r="57" customFormat="false" ht="14.25" hidden="false" customHeight="false" outlineLevel="0" collapsed="false">
      <c r="A57" s="4" t="s">
        <v>165</v>
      </c>
      <c r="B57" s="4" t="s">
        <v>853</v>
      </c>
      <c r="C57" s="4" t="s">
        <v>75</v>
      </c>
      <c r="D57" s="8" t="b">
        <f aca="false">FALSE()</f>
        <v>0</v>
      </c>
      <c r="E57" s="5" t="n">
        <v>11384</v>
      </c>
      <c r="F57" s="7" t="n">
        <f aca="false">E57/SUMIFS($E$2:$E$783,$A$2:$A$783,A57)</f>
        <v>0.230926831247338</v>
      </c>
      <c r="G57" s="5" t="n">
        <v>0</v>
      </c>
      <c r="H57" s="17" t="n">
        <v>44928</v>
      </c>
      <c r="I57" s="17" t="n">
        <v>45037</v>
      </c>
      <c r="J57" s="4" t="s">
        <v>859</v>
      </c>
      <c r="K57" s="4" t="s">
        <v>929</v>
      </c>
      <c r="L57" s="2"/>
      <c r="M57" s="2"/>
      <c r="N57" s="2"/>
    </row>
    <row r="58" customFormat="false" ht="14.25" hidden="false" customHeight="false" outlineLevel="0" collapsed="false">
      <c r="A58" s="10" t="s">
        <v>167</v>
      </c>
      <c r="B58" s="10" t="s">
        <v>853</v>
      </c>
      <c r="C58" s="10" t="s">
        <v>166</v>
      </c>
      <c r="D58" s="14" t="b">
        <f aca="false">TRUE()</f>
        <v>1</v>
      </c>
      <c r="E58" s="11" t="n">
        <v>41047</v>
      </c>
      <c r="F58" s="13" t="n">
        <f aca="false">E58/SUMIFS($E$2:$E$783,$A$2:$A$783,A58)</f>
        <v>0.929906436193108</v>
      </c>
      <c r="G58" s="11" t="n">
        <v>11071</v>
      </c>
      <c r="H58" s="18" t="n">
        <v>44929</v>
      </c>
      <c r="I58" s="18" t="n">
        <v>46296</v>
      </c>
      <c r="J58" s="10" t="s">
        <v>854</v>
      </c>
      <c r="K58" s="10" t="s">
        <v>930</v>
      </c>
      <c r="L58" s="2"/>
      <c r="M58" s="2"/>
      <c r="N58" s="2"/>
    </row>
    <row r="59" customFormat="false" ht="14.25" hidden="false" customHeight="false" outlineLevel="0" collapsed="false">
      <c r="A59" s="4" t="s">
        <v>167</v>
      </c>
      <c r="B59" s="4" t="s">
        <v>853</v>
      </c>
      <c r="C59" s="4" t="s">
        <v>75</v>
      </c>
      <c r="D59" s="8" t="b">
        <f aca="false">FALSE()</f>
        <v>0</v>
      </c>
      <c r="E59" s="5" t="n">
        <v>3094</v>
      </c>
      <c r="F59" s="7" t="n">
        <f aca="false">E59/SUMIFS($E$2:$E$783,$A$2:$A$783,A59)</f>
        <v>0.0700935638068916</v>
      </c>
      <c r="G59" s="5" t="n">
        <v>0</v>
      </c>
      <c r="H59" s="17" t="n">
        <v>44928</v>
      </c>
      <c r="I59" s="17" t="n">
        <v>45055</v>
      </c>
      <c r="J59" s="4" t="s">
        <v>859</v>
      </c>
      <c r="K59" s="4" t="s">
        <v>931</v>
      </c>
      <c r="L59" s="2"/>
      <c r="M59" s="2"/>
      <c r="N59" s="2"/>
    </row>
    <row r="60" customFormat="false" ht="14.25" hidden="false" customHeight="false" outlineLevel="0" collapsed="false">
      <c r="A60" s="10" t="s">
        <v>168</v>
      </c>
      <c r="B60" s="10" t="s">
        <v>853</v>
      </c>
      <c r="C60" s="10" t="s">
        <v>166</v>
      </c>
      <c r="D60" s="14" t="b">
        <f aca="false">TRUE()</f>
        <v>1</v>
      </c>
      <c r="E60" s="11" t="n">
        <v>39293</v>
      </c>
      <c r="F60" s="13" t="n">
        <f aca="false">E60/SUMIFS($E$2:$E$783,$A$2:$A$783,A60)</f>
        <v>0.999872767061937</v>
      </c>
      <c r="G60" s="11" t="n">
        <v>10003</v>
      </c>
      <c r="H60" s="18" t="n">
        <v>45009</v>
      </c>
      <c r="I60" s="18" t="n">
        <v>46296</v>
      </c>
      <c r="J60" s="10" t="s">
        <v>854</v>
      </c>
      <c r="K60" s="10" t="s">
        <v>932</v>
      </c>
      <c r="L60" s="2"/>
      <c r="M60" s="2"/>
      <c r="N60" s="2"/>
    </row>
    <row r="61" customFormat="false" ht="14.25" hidden="false" customHeight="false" outlineLevel="0" collapsed="false">
      <c r="A61" s="4" t="s">
        <v>168</v>
      </c>
      <c r="B61" s="4" t="s">
        <v>853</v>
      </c>
      <c r="C61" s="4" t="s">
        <v>75</v>
      </c>
      <c r="D61" s="8" t="b">
        <f aca="false">FALSE()</f>
        <v>0</v>
      </c>
      <c r="E61" s="5" t="n">
        <v>5</v>
      </c>
      <c r="F61" s="7" t="n">
        <f aca="false">E61/SUMIFS($E$2:$E$783,$A$2:$A$783,A61)</f>
        <v>0.000127232938063006</v>
      </c>
      <c r="G61" s="5" t="n">
        <v>0</v>
      </c>
      <c r="H61" s="17" t="n">
        <v>44951</v>
      </c>
      <c r="I61" s="17" t="n">
        <v>45053</v>
      </c>
      <c r="J61" s="4" t="s">
        <v>859</v>
      </c>
      <c r="K61" s="4" t="s">
        <v>933</v>
      </c>
      <c r="L61" s="2"/>
      <c r="M61" s="2"/>
      <c r="N61" s="2"/>
    </row>
    <row r="62" customFormat="false" ht="14.25" hidden="false" customHeight="false" outlineLevel="0" collapsed="false">
      <c r="A62" s="10" t="s">
        <v>169</v>
      </c>
      <c r="B62" s="10" t="s">
        <v>853</v>
      </c>
      <c r="C62" s="10" t="s">
        <v>166</v>
      </c>
      <c r="D62" s="14" t="b">
        <f aca="false">TRUE()</f>
        <v>1</v>
      </c>
      <c r="E62" s="11" t="n">
        <v>31446</v>
      </c>
      <c r="F62" s="13" t="n">
        <f aca="false">E62/SUMIFS($E$2:$E$783,$A$2:$A$783,A62)</f>
        <v>0.925835418813485</v>
      </c>
      <c r="G62" s="11" t="n">
        <v>7844</v>
      </c>
      <c r="H62" s="18" t="n">
        <v>44938</v>
      </c>
      <c r="I62" s="18" t="n">
        <v>46296</v>
      </c>
      <c r="J62" s="10" t="s">
        <v>854</v>
      </c>
      <c r="K62" s="10" t="s">
        <v>934</v>
      </c>
      <c r="L62" s="2"/>
      <c r="M62" s="2"/>
      <c r="N62" s="2"/>
    </row>
    <row r="63" customFormat="false" ht="14.25" hidden="false" customHeight="false" outlineLevel="0" collapsed="false">
      <c r="A63" s="4" t="s">
        <v>169</v>
      </c>
      <c r="B63" s="4" t="s">
        <v>853</v>
      </c>
      <c r="C63" s="4" t="s">
        <v>75</v>
      </c>
      <c r="D63" s="8" t="b">
        <f aca="false">FALSE()</f>
        <v>0</v>
      </c>
      <c r="E63" s="5" t="n">
        <v>2519</v>
      </c>
      <c r="F63" s="7" t="n">
        <f aca="false">E63/SUMIFS($E$2:$E$783,$A$2:$A$783,A63)</f>
        <v>0.0741645811865155</v>
      </c>
      <c r="G63" s="5" t="n">
        <v>0</v>
      </c>
      <c r="H63" s="17" t="n">
        <v>44928</v>
      </c>
      <c r="I63" s="17" t="n">
        <v>45055</v>
      </c>
      <c r="J63" s="4" t="s">
        <v>859</v>
      </c>
      <c r="K63" s="4" t="s">
        <v>935</v>
      </c>
      <c r="L63" s="2"/>
      <c r="M63" s="2"/>
      <c r="N63" s="2"/>
    </row>
    <row r="64" customFormat="false" ht="14.25" hidden="false" customHeight="false" outlineLevel="0" collapsed="false">
      <c r="A64" s="10" t="s">
        <v>170</v>
      </c>
      <c r="B64" s="10" t="s">
        <v>853</v>
      </c>
      <c r="C64" s="10" t="s">
        <v>166</v>
      </c>
      <c r="D64" s="14" t="b">
        <f aca="false">TRUE()</f>
        <v>1</v>
      </c>
      <c r="E64" s="11" t="n">
        <v>28589</v>
      </c>
      <c r="F64" s="13" t="n">
        <f aca="false">E64/SUMIFS($E$2:$E$783,$A$2:$A$783,A64)</f>
        <v>0.96372829934266</v>
      </c>
      <c r="G64" s="11" t="n">
        <v>5404</v>
      </c>
      <c r="H64" s="18" t="n">
        <v>44928</v>
      </c>
      <c r="I64" s="18" t="n">
        <v>46296</v>
      </c>
      <c r="J64" s="10" t="s">
        <v>854</v>
      </c>
      <c r="K64" s="10" t="s">
        <v>936</v>
      </c>
      <c r="L64" s="2"/>
      <c r="M64" s="2"/>
      <c r="N64" s="2"/>
    </row>
    <row r="65" customFormat="false" ht="14.25" hidden="false" customHeight="false" outlineLevel="0" collapsed="false">
      <c r="A65" s="4" t="s">
        <v>170</v>
      </c>
      <c r="B65" s="4" t="s">
        <v>853</v>
      </c>
      <c r="C65" s="4" t="s">
        <v>75</v>
      </c>
      <c r="D65" s="8" t="b">
        <f aca="false">FALSE()</f>
        <v>0</v>
      </c>
      <c r="E65" s="5" t="n">
        <v>1076</v>
      </c>
      <c r="F65" s="7" t="n">
        <f aca="false">E65/SUMIFS($E$2:$E$783,$A$2:$A$783,A65)</f>
        <v>0.0362717006573403</v>
      </c>
      <c r="G65" s="5" t="n">
        <v>0</v>
      </c>
      <c r="H65" s="17" t="n">
        <v>44928</v>
      </c>
      <c r="I65" s="17" t="n">
        <v>45055</v>
      </c>
      <c r="J65" s="4" t="s">
        <v>859</v>
      </c>
      <c r="K65" s="4" t="s">
        <v>937</v>
      </c>
      <c r="L65" s="2"/>
      <c r="M65" s="2"/>
      <c r="N65" s="2"/>
    </row>
    <row r="66" customFormat="false" ht="14.25" hidden="false" customHeight="false" outlineLevel="0" collapsed="false">
      <c r="A66" s="10" t="s">
        <v>171</v>
      </c>
      <c r="B66" s="10" t="s">
        <v>853</v>
      </c>
      <c r="C66" s="10" t="s">
        <v>166</v>
      </c>
      <c r="D66" s="14" t="b">
        <f aca="false">TRUE()</f>
        <v>1</v>
      </c>
      <c r="E66" s="11" t="n">
        <v>20151</v>
      </c>
      <c r="F66" s="13" t="n">
        <f aca="false">E66/SUMIFS($E$2:$E$783,$A$2:$A$783,A66)</f>
        <v>0.961356805495921</v>
      </c>
      <c r="G66" s="11" t="n">
        <v>5598</v>
      </c>
      <c r="H66" s="18" t="n">
        <v>44928</v>
      </c>
      <c r="I66" s="18" t="n">
        <v>46296</v>
      </c>
      <c r="J66" s="10" t="s">
        <v>854</v>
      </c>
      <c r="K66" s="10" t="s">
        <v>936</v>
      </c>
      <c r="L66" s="2"/>
      <c r="M66" s="2"/>
      <c r="N66" s="2"/>
    </row>
    <row r="67" customFormat="false" ht="14.25" hidden="false" customHeight="false" outlineLevel="0" collapsed="false">
      <c r="A67" s="4" t="s">
        <v>171</v>
      </c>
      <c r="B67" s="4" t="s">
        <v>853</v>
      </c>
      <c r="C67" s="4" t="s">
        <v>75</v>
      </c>
      <c r="D67" s="8" t="b">
        <f aca="false">FALSE()</f>
        <v>0</v>
      </c>
      <c r="E67" s="5" t="n">
        <v>810</v>
      </c>
      <c r="F67" s="7" t="n">
        <f aca="false">E67/SUMIFS($E$2:$E$783,$A$2:$A$783,A67)</f>
        <v>0.038643194504079</v>
      </c>
      <c r="G67" s="5" t="n">
        <v>0</v>
      </c>
      <c r="H67" s="17" t="n">
        <v>44928</v>
      </c>
      <c r="I67" s="17" t="n">
        <v>45054</v>
      </c>
      <c r="J67" s="4" t="s">
        <v>859</v>
      </c>
      <c r="K67" s="4" t="s">
        <v>938</v>
      </c>
      <c r="L67" s="2"/>
      <c r="M67" s="2"/>
      <c r="N67" s="2"/>
    </row>
    <row r="68" customFormat="false" ht="14.25" hidden="false" customHeight="false" outlineLevel="0" collapsed="false">
      <c r="A68" s="10" t="s">
        <v>172</v>
      </c>
      <c r="B68" s="10" t="s">
        <v>853</v>
      </c>
      <c r="C68" s="10" t="s">
        <v>166</v>
      </c>
      <c r="D68" s="14" t="b">
        <f aca="false">TRUE()</f>
        <v>1</v>
      </c>
      <c r="E68" s="11" t="n">
        <v>12585</v>
      </c>
      <c r="F68" s="13" t="n">
        <f aca="false">E68/SUMIFS($E$2:$E$783,$A$2:$A$783,A68)</f>
        <v>0.948808805790109</v>
      </c>
      <c r="G68" s="11" t="n">
        <v>3938</v>
      </c>
      <c r="H68" s="18" t="n">
        <v>44935</v>
      </c>
      <c r="I68" s="18" t="n">
        <v>46296</v>
      </c>
      <c r="J68" s="10" t="s">
        <v>854</v>
      </c>
      <c r="K68" s="10" t="s">
        <v>939</v>
      </c>
      <c r="L68" s="2"/>
      <c r="M68" s="2"/>
      <c r="N68" s="2"/>
    </row>
    <row r="69" customFormat="false" ht="14.25" hidden="false" customHeight="false" outlineLevel="0" collapsed="false">
      <c r="A69" s="4" t="s">
        <v>172</v>
      </c>
      <c r="B69" s="4" t="s">
        <v>853</v>
      </c>
      <c r="C69" s="4" t="s">
        <v>75</v>
      </c>
      <c r="D69" s="8" t="b">
        <f aca="false">FALSE()</f>
        <v>0</v>
      </c>
      <c r="E69" s="5" t="n">
        <v>679</v>
      </c>
      <c r="F69" s="7" t="n">
        <f aca="false">E69/SUMIFS($E$2:$E$783,$A$2:$A$783,A69)</f>
        <v>0.0511911942098914</v>
      </c>
      <c r="G69" s="5" t="n">
        <v>0</v>
      </c>
      <c r="H69" s="17" t="n">
        <v>44928</v>
      </c>
      <c r="I69" s="17" t="n">
        <v>45055</v>
      </c>
      <c r="J69" s="4" t="s">
        <v>859</v>
      </c>
      <c r="K69" s="4" t="s">
        <v>940</v>
      </c>
      <c r="L69" s="2"/>
      <c r="M69" s="2"/>
      <c r="N69" s="2"/>
    </row>
    <row r="70" customFormat="false" ht="14.25" hidden="false" customHeight="false" outlineLevel="0" collapsed="false">
      <c r="A70" s="10" t="s">
        <v>173</v>
      </c>
      <c r="B70" s="10" t="s">
        <v>853</v>
      </c>
      <c r="C70" s="10" t="s">
        <v>166</v>
      </c>
      <c r="D70" s="14" t="b">
        <f aca="false">TRUE()</f>
        <v>1</v>
      </c>
      <c r="E70" s="11" t="n">
        <v>11485</v>
      </c>
      <c r="F70" s="13" t="n">
        <f aca="false">E70/SUMIFS($E$2:$E$783,$A$2:$A$783,A70)</f>
        <v>0.933360422592442</v>
      </c>
      <c r="G70" s="11" t="n">
        <v>2121</v>
      </c>
      <c r="H70" s="18" t="n">
        <v>44928</v>
      </c>
      <c r="I70" s="18" t="n">
        <v>46296</v>
      </c>
      <c r="J70" s="10" t="s">
        <v>854</v>
      </c>
      <c r="K70" s="10" t="s">
        <v>936</v>
      </c>
      <c r="L70" s="2"/>
      <c r="M70" s="2"/>
      <c r="N70" s="2"/>
    </row>
    <row r="71" customFormat="false" ht="14.25" hidden="false" customHeight="false" outlineLevel="0" collapsed="false">
      <c r="A71" s="4" t="s">
        <v>173</v>
      </c>
      <c r="B71" s="4" t="s">
        <v>853</v>
      </c>
      <c r="C71" s="4" t="s">
        <v>75</v>
      </c>
      <c r="D71" s="8" t="b">
        <f aca="false">FALSE()</f>
        <v>0</v>
      </c>
      <c r="E71" s="5" t="n">
        <v>820</v>
      </c>
      <c r="F71" s="7" t="n">
        <f aca="false">E71/SUMIFS($E$2:$E$783,$A$2:$A$783,A71)</f>
        <v>0.0666395774075579</v>
      </c>
      <c r="G71" s="5" t="n">
        <v>0</v>
      </c>
      <c r="H71" s="17" t="n">
        <v>44928</v>
      </c>
      <c r="I71" s="17" t="n">
        <v>45055</v>
      </c>
      <c r="J71" s="4" t="s">
        <v>859</v>
      </c>
      <c r="K71" s="4" t="s">
        <v>937</v>
      </c>
      <c r="L71" s="2"/>
      <c r="M71" s="2"/>
      <c r="N71" s="2"/>
    </row>
    <row r="72" customFormat="false" ht="14.25" hidden="false" customHeight="false" outlineLevel="0" collapsed="false">
      <c r="A72" s="10" t="s">
        <v>174</v>
      </c>
      <c r="B72" s="10" t="s">
        <v>853</v>
      </c>
      <c r="C72" s="10" t="s">
        <v>166</v>
      </c>
      <c r="D72" s="14" t="b">
        <f aca="false">TRUE()</f>
        <v>1</v>
      </c>
      <c r="E72" s="11" t="n">
        <v>11780</v>
      </c>
      <c r="F72" s="13" t="n">
        <f aca="false">E72/SUMIFS($E$2:$E$783,$A$2:$A$783,A72)</f>
        <v>0.972348328518366</v>
      </c>
      <c r="G72" s="11" t="n">
        <v>2911</v>
      </c>
      <c r="H72" s="18" t="n">
        <v>44945</v>
      </c>
      <c r="I72" s="18" t="n">
        <v>46296</v>
      </c>
      <c r="J72" s="10" t="s">
        <v>854</v>
      </c>
      <c r="K72" s="10" t="s">
        <v>941</v>
      </c>
      <c r="L72" s="2"/>
      <c r="M72" s="2"/>
      <c r="N72" s="2"/>
    </row>
    <row r="73" customFormat="false" ht="14.25" hidden="false" customHeight="false" outlineLevel="0" collapsed="false">
      <c r="A73" s="4" t="s">
        <v>174</v>
      </c>
      <c r="B73" s="4" t="s">
        <v>853</v>
      </c>
      <c r="C73" s="4" t="s">
        <v>75</v>
      </c>
      <c r="D73" s="8" t="b">
        <f aca="false">FALSE()</f>
        <v>0</v>
      </c>
      <c r="E73" s="5" t="n">
        <v>335</v>
      </c>
      <c r="F73" s="7" t="n">
        <f aca="false">E73/SUMIFS($E$2:$E$783,$A$2:$A$783,A73)</f>
        <v>0.0276516714816343</v>
      </c>
      <c r="G73" s="5" t="n">
        <v>0</v>
      </c>
      <c r="H73" s="17" t="n">
        <v>44929</v>
      </c>
      <c r="I73" s="17" t="n">
        <v>45054</v>
      </c>
      <c r="J73" s="4" t="s">
        <v>859</v>
      </c>
      <c r="K73" s="4" t="s">
        <v>942</v>
      </c>
      <c r="L73" s="2"/>
      <c r="M73" s="2"/>
      <c r="N73" s="2"/>
    </row>
    <row r="74" customFormat="false" ht="14.25" hidden="false" customHeight="false" outlineLevel="0" collapsed="false">
      <c r="A74" s="10" t="s">
        <v>175</v>
      </c>
      <c r="B74" s="10" t="s">
        <v>853</v>
      </c>
      <c r="C74" s="10" t="s">
        <v>166</v>
      </c>
      <c r="D74" s="14" t="b">
        <f aca="false">TRUE()</f>
        <v>1</v>
      </c>
      <c r="E74" s="11" t="n">
        <v>10513</v>
      </c>
      <c r="F74" s="13" t="n">
        <f aca="false">E74/SUMIFS($E$2:$E$783,$A$2:$A$783,A74)</f>
        <v>0.916005924893265</v>
      </c>
      <c r="G74" s="11" t="n">
        <v>2402</v>
      </c>
      <c r="H74" s="18" t="n">
        <v>44931</v>
      </c>
      <c r="I74" s="18" t="n">
        <v>46296</v>
      </c>
      <c r="J74" s="10" t="s">
        <v>854</v>
      </c>
      <c r="K74" s="10" t="s">
        <v>943</v>
      </c>
      <c r="L74" s="2"/>
      <c r="M74" s="2"/>
      <c r="N74" s="2"/>
    </row>
    <row r="75" customFormat="false" ht="14.25" hidden="false" customHeight="false" outlineLevel="0" collapsed="false">
      <c r="A75" s="4" t="s">
        <v>175</v>
      </c>
      <c r="B75" s="4" t="s">
        <v>853</v>
      </c>
      <c r="C75" s="4" t="s">
        <v>75</v>
      </c>
      <c r="D75" s="8" t="b">
        <f aca="false">FALSE()</f>
        <v>0</v>
      </c>
      <c r="E75" s="5" t="n">
        <v>964</v>
      </c>
      <c r="F75" s="7" t="n">
        <f aca="false">E75/SUMIFS($E$2:$E$783,$A$2:$A$783,A75)</f>
        <v>0.0839940751067352</v>
      </c>
      <c r="G75" s="5" t="n">
        <v>0</v>
      </c>
      <c r="H75" s="17" t="n">
        <v>44928</v>
      </c>
      <c r="I75" s="17" t="n">
        <v>45055</v>
      </c>
      <c r="J75" s="4" t="s">
        <v>859</v>
      </c>
      <c r="K75" s="4" t="s">
        <v>944</v>
      </c>
      <c r="L75" s="2"/>
      <c r="M75" s="2"/>
      <c r="N75" s="2"/>
    </row>
    <row r="76" customFormat="false" ht="14.25" hidden="false" customHeight="false" outlineLevel="0" collapsed="false">
      <c r="A76" s="10" t="s">
        <v>176</v>
      </c>
      <c r="B76" s="10" t="s">
        <v>853</v>
      </c>
      <c r="C76" s="10" t="s">
        <v>166</v>
      </c>
      <c r="D76" s="14" t="b">
        <f aca="false">TRUE()</f>
        <v>1</v>
      </c>
      <c r="E76" s="11" t="n">
        <v>9988</v>
      </c>
      <c r="F76" s="13" t="n">
        <f aca="false">E76/SUMIFS($E$2:$E$783,$A$2:$A$783,A76)</f>
        <v>0.937224359575866</v>
      </c>
      <c r="G76" s="11" t="n">
        <v>2875</v>
      </c>
      <c r="H76" s="18" t="n">
        <v>44929</v>
      </c>
      <c r="I76" s="18" t="n">
        <v>46296</v>
      </c>
      <c r="J76" s="10" t="s">
        <v>854</v>
      </c>
      <c r="K76" s="10" t="s">
        <v>930</v>
      </c>
      <c r="L76" s="2"/>
      <c r="M76" s="2"/>
      <c r="N76" s="2"/>
    </row>
    <row r="77" customFormat="false" ht="14.25" hidden="false" customHeight="false" outlineLevel="0" collapsed="false">
      <c r="A77" s="4" t="s">
        <v>176</v>
      </c>
      <c r="B77" s="4" t="s">
        <v>853</v>
      </c>
      <c r="C77" s="4" t="s">
        <v>75</v>
      </c>
      <c r="D77" s="8" t="b">
        <f aca="false">FALSE()</f>
        <v>0</v>
      </c>
      <c r="E77" s="5" t="n">
        <v>669</v>
      </c>
      <c r="F77" s="7" t="n">
        <f aca="false">E77/SUMIFS($E$2:$E$783,$A$2:$A$783,A77)</f>
        <v>0.0627756404241344</v>
      </c>
      <c r="G77" s="5" t="n">
        <v>0</v>
      </c>
      <c r="H77" s="17" t="n">
        <v>44928</v>
      </c>
      <c r="I77" s="17" t="n">
        <v>45054</v>
      </c>
      <c r="J77" s="4" t="s">
        <v>859</v>
      </c>
      <c r="K77" s="4" t="s">
        <v>945</v>
      </c>
      <c r="L77" s="2"/>
      <c r="M77" s="2"/>
      <c r="N77" s="2"/>
    </row>
    <row r="78" customFormat="false" ht="14.25" hidden="false" customHeight="false" outlineLevel="0" collapsed="false">
      <c r="A78" s="10" t="s">
        <v>177</v>
      </c>
      <c r="B78" s="10" t="s">
        <v>853</v>
      </c>
      <c r="C78" s="10" t="s">
        <v>166</v>
      </c>
      <c r="D78" s="14" t="b">
        <f aca="false">TRUE()</f>
        <v>1</v>
      </c>
      <c r="E78" s="11" t="n">
        <v>8006</v>
      </c>
      <c r="F78" s="13" t="n">
        <f aca="false">E78/SUMIFS($E$2:$E$783,$A$2:$A$783,A78)</f>
        <v>0.999500624219725</v>
      </c>
      <c r="G78" s="11" t="n">
        <v>490</v>
      </c>
      <c r="H78" s="18" t="n">
        <v>45060</v>
      </c>
      <c r="I78" s="18" t="n">
        <v>46296</v>
      </c>
      <c r="J78" s="10" t="s">
        <v>854</v>
      </c>
      <c r="K78" s="10" t="s">
        <v>898</v>
      </c>
      <c r="L78" s="2"/>
      <c r="M78" s="2"/>
      <c r="N78" s="2"/>
    </row>
    <row r="79" customFormat="false" ht="14.25" hidden="false" customHeight="false" outlineLevel="0" collapsed="false">
      <c r="A79" s="4" t="s">
        <v>177</v>
      </c>
      <c r="B79" s="4" t="s">
        <v>853</v>
      </c>
      <c r="C79" s="4" t="s">
        <v>75</v>
      </c>
      <c r="D79" s="8" t="b">
        <f aca="false">FALSE()</f>
        <v>0</v>
      </c>
      <c r="E79" s="5" t="n">
        <v>4</v>
      </c>
      <c r="F79" s="7" t="n">
        <f aca="false">E79/SUMIFS($E$2:$E$783,$A$2:$A$783,A79)</f>
        <v>0.000499375780274657</v>
      </c>
      <c r="G79" s="5" t="n">
        <v>0</v>
      </c>
      <c r="H79" s="17" t="n">
        <v>44946</v>
      </c>
      <c r="I79" s="17" t="n">
        <v>45048</v>
      </c>
      <c r="J79" s="4" t="s">
        <v>859</v>
      </c>
      <c r="K79" s="4" t="s">
        <v>946</v>
      </c>
      <c r="L79" s="2"/>
      <c r="M79" s="2"/>
      <c r="N79" s="2"/>
    </row>
    <row r="80" customFormat="false" ht="14.25" hidden="false" customHeight="false" outlineLevel="0" collapsed="false">
      <c r="A80" s="10" t="s">
        <v>178</v>
      </c>
      <c r="B80" s="10" t="s">
        <v>853</v>
      </c>
      <c r="C80" s="10" t="s">
        <v>166</v>
      </c>
      <c r="D80" s="14" t="b">
        <f aca="false">TRUE()</f>
        <v>1</v>
      </c>
      <c r="E80" s="11" t="n">
        <v>7292</v>
      </c>
      <c r="F80" s="13" t="n">
        <f aca="false">E80/SUMIFS($E$2:$E$783,$A$2:$A$783,A80)</f>
        <v>0.928444104914693</v>
      </c>
      <c r="G80" s="11" t="n">
        <v>1876</v>
      </c>
      <c r="H80" s="18" t="n">
        <v>44931</v>
      </c>
      <c r="I80" s="18" t="n">
        <v>46296</v>
      </c>
      <c r="J80" s="10" t="s">
        <v>854</v>
      </c>
      <c r="K80" s="10" t="s">
        <v>943</v>
      </c>
      <c r="L80" s="2"/>
      <c r="M80" s="2"/>
      <c r="N80" s="2"/>
    </row>
    <row r="81" customFormat="false" ht="14.25" hidden="false" customHeight="false" outlineLevel="0" collapsed="false">
      <c r="A81" s="4" t="s">
        <v>178</v>
      </c>
      <c r="B81" s="4" t="s">
        <v>853</v>
      </c>
      <c r="C81" s="4" t="s">
        <v>75</v>
      </c>
      <c r="D81" s="8" t="b">
        <f aca="false">FALSE()</f>
        <v>0</v>
      </c>
      <c r="E81" s="5" t="n">
        <v>562</v>
      </c>
      <c r="F81" s="7" t="n">
        <f aca="false">E81/SUMIFS($E$2:$E$783,$A$2:$A$783,A81)</f>
        <v>0.0715558950853069</v>
      </c>
      <c r="G81" s="5" t="n">
        <v>0</v>
      </c>
      <c r="H81" s="17" t="n">
        <v>44928</v>
      </c>
      <c r="I81" s="17" t="n">
        <v>45053</v>
      </c>
      <c r="J81" s="4" t="s">
        <v>859</v>
      </c>
      <c r="K81" s="4" t="s">
        <v>947</v>
      </c>
      <c r="L81" s="2"/>
      <c r="M81" s="2"/>
      <c r="N81" s="2"/>
    </row>
    <row r="82" customFormat="false" ht="14.25" hidden="false" customHeight="false" outlineLevel="0" collapsed="false">
      <c r="A82" s="10" t="s">
        <v>179</v>
      </c>
      <c r="B82" s="10" t="s">
        <v>853</v>
      </c>
      <c r="C82" s="10" t="s">
        <v>166</v>
      </c>
      <c r="D82" s="14" t="b">
        <f aca="false">TRUE()</f>
        <v>1</v>
      </c>
      <c r="E82" s="11" t="n">
        <v>7454</v>
      </c>
      <c r="F82" s="13" t="n">
        <f aca="false">E82/SUMIFS($E$2:$E$783,$A$2:$A$783,A82)</f>
        <v>0.974888830761182</v>
      </c>
      <c r="G82" s="11" t="n">
        <v>2005</v>
      </c>
      <c r="H82" s="18" t="n">
        <v>44928</v>
      </c>
      <c r="I82" s="18" t="n">
        <v>46296</v>
      </c>
      <c r="J82" s="10" t="s">
        <v>854</v>
      </c>
      <c r="K82" s="10" t="s">
        <v>936</v>
      </c>
      <c r="L82" s="2"/>
      <c r="M82" s="2"/>
      <c r="N82" s="2"/>
    </row>
    <row r="83" customFormat="false" ht="14.25" hidden="false" customHeight="false" outlineLevel="0" collapsed="false">
      <c r="A83" s="4" t="s">
        <v>179</v>
      </c>
      <c r="B83" s="4" t="s">
        <v>853</v>
      </c>
      <c r="C83" s="4" t="s">
        <v>75</v>
      </c>
      <c r="D83" s="8" t="b">
        <f aca="false">FALSE()</f>
        <v>0</v>
      </c>
      <c r="E83" s="5" t="n">
        <v>192</v>
      </c>
      <c r="F83" s="7" t="n">
        <f aca="false">E83/SUMIFS($E$2:$E$783,$A$2:$A$783,A83)</f>
        <v>0.0251111692388177</v>
      </c>
      <c r="G83" s="5" t="n">
        <v>0</v>
      </c>
      <c r="H83" s="17" t="n">
        <v>44928</v>
      </c>
      <c r="I83" s="17" t="n">
        <v>45049</v>
      </c>
      <c r="J83" s="4" t="s">
        <v>859</v>
      </c>
      <c r="K83" s="4" t="s">
        <v>948</v>
      </c>
      <c r="L83" s="2"/>
      <c r="M83" s="2"/>
      <c r="N83" s="2"/>
    </row>
    <row r="84" customFormat="false" ht="14.25" hidden="false" customHeight="false" outlineLevel="0" collapsed="false">
      <c r="A84" s="10" t="s">
        <v>180</v>
      </c>
      <c r="B84" s="10" t="s">
        <v>853</v>
      </c>
      <c r="C84" s="10" t="s">
        <v>166</v>
      </c>
      <c r="D84" s="14" t="b">
        <f aca="false">TRUE()</f>
        <v>1</v>
      </c>
      <c r="E84" s="11" t="n">
        <v>6303</v>
      </c>
      <c r="F84" s="13" t="n">
        <f aca="false">E84/SUMIFS($E$2:$E$783,$A$2:$A$783,A84)</f>
        <v>0.950105517033464</v>
      </c>
      <c r="G84" s="11" t="n">
        <v>1568</v>
      </c>
      <c r="H84" s="18" t="n">
        <v>44936</v>
      </c>
      <c r="I84" s="18" t="n">
        <v>46296</v>
      </c>
      <c r="J84" s="10" t="s">
        <v>854</v>
      </c>
      <c r="K84" s="10" t="s">
        <v>949</v>
      </c>
      <c r="L84" s="2"/>
      <c r="M84" s="2"/>
      <c r="N84" s="2"/>
    </row>
    <row r="85" customFormat="false" ht="14.25" hidden="false" customHeight="false" outlineLevel="0" collapsed="false">
      <c r="A85" s="4" t="s">
        <v>180</v>
      </c>
      <c r="B85" s="4" t="s">
        <v>853</v>
      </c>
      <c r="C85" s="4" t="s">
        <v>75</v>
      </c>
      <c r="D85" s="8" t="b">
        <f aca="false">FALSE()</f>
        <v>0</v>
      </c>
      <c r="E85" s="5" t="n">
        <v>331</v>
      </c>
      <c r="F85" s="7" t="n">
        <f aca="false">E85/SUMIFS($E$2:$E$783,$A$2:$A$783,A85)</f>
        <v>0.049894482966536</v>
      </c>
      <c r="G85" s="5" t="n">
        <v>0</v>
      </c>
      <c r="H85" s="17" t="n">
        <v>44929</v>
      </c>
      <c r="I85" s="17" t="n">
        <v>45054</v>
      </c>
      <c r="J85" s="4" t="s">
        <v>859</v>
      </c>
      <c r="K85" s="4" t="s">
        <v>950</v>
      </c>
      <c r="L85" s="2"/>
      <c r="M85" s="2"/>
      <c r="N85" s="2"/>
    </row>
    <row r="86" customFormat="false" ht="14.25" hidden="false" customHeight="false" outlineLevel="0" collapsed="false">
      <c r="A86" s="10" t="s">
        <v>185</v>
      </c>
      <c r="B86" s="10" t="s">
        <v>853</v>
      </c>
      <c r="C86" s="10" t="s">
        <v>166</v>
      </c>
      <c r="D86" s="14" t="b">
        <f aca="false">TRUE()</f>
        <v>1</v>
      </c>
      <c r="E86" s="11" t="n">
        <v>2517</v>
      </c>
      <c r="F86" s="13" t="n">
        <f aca="false">E86/SUMIFS($E$2:$E$783,$A$2:$A$783,A86)</f>
        <v>0.811935483870968</v>
      </c>
      <c r="G86" s="11" t="n">
        <v>0</v>
      </c>
      <c r="H86" s="18" t="n">
        <v>44935</v>
      </c>
      <c r="I86" s="18" t="n">
        <v>45375</v>
      </c>
      <c r="J86" s="10" t="s">
        <v>854</v>
      </c>
      <c r="K86" s="10" t="s">
        <v>951</v>
      </c>
      <c r="L86" s="2"/>
      <c r="M86" s="2"/>
      <c r="N86" s="2"/>
    </row>
    <row r="87" customFormat="false" ht="14.25" hidden="false" customHeight="false" outlineLevel="0" collapsed="false">
      <c r="A87" s="4" t="s">
        <v>185</v>
      </c>
      <c r="B87" s="4" t="s">
        <v>853</v>
      </c>
      <c r="C87" s="4" t="s">
        <v>75</v>
      </c>
      <c r="D87" s="8" t="b">
        <f aca="false">FALSE()</f>
        <v>0</v>
      </c>
      <c r="E87" s="5" t="n">
        <v>583</v>
      </c>
      <c r="F87" s="7" t="n">
        <f aca="false">E87/SUMIFS($E$2:$E$783,$A$2:$A$783,A87)</f>
        <v>0.188064516129032</v>
      </c>
      <c r="G87" s="5" t="n">
        <v>0</v>
      </c>
      <c r="H87" s="17" t="n">
        <v>44928</v>
      </c>
      <c r="I87" s="17" t="n">
        <v>45055</v>
      </c>
      <c r="J87" s="4" t="s">
        <v>859</v>
      </c>
      <c r="K87" s="4" t="s">
        <v>940</v>
      </c>
      <c r="L87" s="2"/>
      <c r="M87" s="2"/>
      <c r="N87" s="2"/>
    </row>
    <row r="88" customFormat="false" ht="14.25" hidden="false" customHeight="false" outlineLevel="0" collapsed="false">
      <c r="A88" s="10" t="s">
        <v>186</v>
      </c>
      <c r="B88" s="10" t="s">
        <v>853</v>
      </c>
      <c r="C88" s="10" t="s">
        <v>166</v>
      </c>
      <c r="D88" s="14" t="b">
        <f aca="false">TRUE()</f>
        <v>1</v>
      </c>
      <c r="E88" s="11" t="n">
        <v>2526</v>
      </c>
      <c r="F88" s="13" t="n">
        <f aca="false">E88/SUMIFS($E$2:$E$783,$A$2:$A$783,A88)</f>
        <v>0.943593574897273</v>
      </c>
      <c r="G88" s="11" t="n">
        <v>687</v>
      </c>
      <c r="H88" s="18" t="n">
        <v>44939</v>
      </c>
      <c r="I88" s="18" t="n">
        <v>46296</v>
      </c>
      <c r="J88" s="10" t="s">
        <v>854</v>
      </c>
      <c r="K88" s="10" t="s">
        <v>952</v>
      </c>
      <c r="L88" s="2"/>
      <c r="M88" s="2"/>
      <c r="N88" s="2"/>
    </row>
    <row r="89" customFormat="false" ht="14.25" hidden="false" customHeight="false" outlineLevel="0" collapsed="false">
      <c r="A89" s="4" t="s">
        <v>186</v>
      </c>
      <c r="B89" s="4" t="s">
        <v>853</v>
      </c>
      <c r="C89" s="4" t="s">
        <v>75</v>
      </c>
      <c r="D89" s="8" t="b">
        <f aca="false">FALSE()</f>
        <v>0</v>
      </c>
      <c r="E89" s="5" t="n">
        <v>151</v>
      </c>
      <c r="F89" s="7" t="n">
        <f aca="false">E89/SUMIFS($E$2:$E$783,$A$2:$A$783,A89)</f>
        <v>0.0564064251027269</v>
      </c>
      <c r="G89" s="5" t="n">
        <v>0</v>
      </c>
      <c r="H89" s="17" t="n">
        <v>44928</v>
      </c>
      <c r="I89" s="17" t="n">
        <v>45048</v>
      </c>
      <c r="J89" s="4" t="s">
        <v>859</v>
      </c>
      <c r="K89" s="4" t="s">
        <v>953</v>
      </c>
      <c r="L89" s="2"/>
      <c r="M89" s="2"/>
      <c r="N89" s="2"/>
    </row>
    <row r="90" customFormat="false" ht="14.25" hidden="false" customHeight="false" outlineLevel="0" collapsed="false">
      <c r="A90" s="10" t="s">
        <v>187</v>
      </c>
      <c r="B90" s="10" t="s">
        <v>853</v>
      </c>
      <c r="C90" s="10" t="s">
        <v>166</v>
      </c>
      <c r="D90" s="14" t="b">
        <f aca="false">TRUE()</f>
        <v>1</v>
      </c>
      <c r="E90" s="11" t="n">
        <v>1181</v>
      </c>
      <c r="F90" s="13" t="n">
        <f aca="false">E90/SUMIFS($E$2:$E$783,$A$2:$A$783,A90)</f>
        <v>0.542738970588235</v>
      </c>
      <c r="G90" s="11" t="n">
        <v>0</v>
      </c>
      <c r="H90" s="18" t="n">
        <v>45008</v>
      </c>
      <c r="I90" s="18" t="n">
        <v>45187</v>
      </c>
      <c r="J90" s="10" t="s">
        <v>854</v>
      </c>
      <c r="K90" s="10" t="s">
        <v>954</v>
      </c>
      <c r="L90" s="2"/>
      <c r="M90" s="2"/>
      <c r="N90" s="2"/>
    </row>
    <row r="91" customFormat="false" ht="14.25" hidden="false" customHeight="false" outlineLevel="0" collapsed="false">
      <c r="A91" s="4" t="s">
        <v>187</v>
      </c>
      <c r="B91" s="4" t="s">
        <v>853</v>
      </c>
      <c r="C91" s="4" t="s">
        <v>75</v>
      </c>
      <c r="D91" s="8" t="b">
        <f aca="false">FALSE()</f>
        <v>0</v>
      </c>
      <c r="E91" s="5" t="n">
        <v>995</v>
      </c>
      <c r="F91" s="7" t="n">
        <f aca="false">E91/SUMIFS($E$2:$E$783,$A$2:$A$783,A91)</f>
        <v>0.457261029411765</v>
      </c>
      <c r="G91" s="5" t="n">
        <v>0</v>
      </c>
      <c r="H91" s="17" t="n">
        <v>44928</v>
      </c>
      <c r="I91" s="17" t="n">
        <v>45055</v>
      </c>
      <c r="J91" s="4" t="s">
        <v>859</v>
      </c>
      <c r="K91" s="4" t="s">
        <v>955</v>
      </c>
      <c r="L91" s="2"/>
      <c r="M91" s="2"/>
      <c r="N91" s="2"/>
    </row>
    <row r="92" customFormat="false" ht="14.25" hidden="false" customHeight="false" outlineLevel="0" collapsed="false">
      <c r="A92" s="10" t="s">
        <v>190</v>
      </c>
      <c r="B92" s="10" t="s">
        <v>853</v>
      </c>
      <c r="C92" s="10" t="s">
        <v>166</v>
      </c>
      <c r="D92" s="14" t="b">
        <f aca="false">TRUE()</f>
        <v>1</v>
      </c>
      <c r="E92" s="11" t="n">
        <v>1731</v>
      </c>
      <c r="F92" s="13" t="n">
        <f aca="false">E92/SUMIFS($E$2:$E$783,$A$2:$A$783,A92)</f>
        <v>0.943838604143948</v>
      </c>
      <c r="G92" s="11" t="n">
        <v>369</v>
      </c>
      <c r="H92" s="18" t="n">
        <v>44939</v>
      </c>
      <c r="I92" s="18" t="n">
        <v>46296</v>
      </c>
      <c r="J92" s="10" t="s">
        <v>854</v>
      </c>
      <c r="K92" s="10" t="s">
        <v>952</v>
      </c>
      <c r="L92" s="2"/>
      <c r="M92" s="2"/>
      <c r="N92" s="2"/>
    </row>
    <row r="93" customFormat="false" ht="14.25" hidden="false" customHeight="false" outlineLevel="0" collapsed="false">
      <c r="A93" s="4" t="s">
        <v>190</v>
      </c>
      <c r="B93" s="4" t="s">
        <v>853</v>
      </c>
      <c r="C93" s="4" t="s">
        <v>75</v>
      </c>
      <c r="D93" s="8" t="b">
        <f aca="false">FALSE()</f>
        <v>0</v>
      </c>
      <c r="E93" s="5" t="n">
        <v>103</v>
      </c>
      <c r="F93" s="7" t="n">
        <f aca="false">E93/SUMIFS($E$2:$E$783,$A$2:$A$783,A93)</f>
        <v>0.0561613958560523</v>
      </c>
      <c r="G93" s="5" t="n">
        <v>0</v>
      </c>
      <c r="H93" s="17" t="n">
        <v>44929</v>
      </c>
      <c r="I93" s="17" t="n">
        <v>45052</v>
      </c>
      <c r="J93" s="4" t="s">
        <v>859</v>
      </c>
      <c r="K93" s="4" t="s">
        <v>956</v>
      </c>
      <c r="L93" s="2"/>
      <c r="M93" s="2"/>
      <c r="N93" s="2"/>
    </row>
    <row r="94" customFormat="false" ht="14.25" hidden="false" customHeight="false" outlineLevel="0" collapsed="false">
      <c r="A94" s="10" t="s">
        <v>191</v>
      </c>
      <c r="B94" s="10" t="s">
        <v>853</v>
      </c>
      <c r="C94" s="10" t="s">
        <v>166</v>
      </c>
      <c r="D94" s="14" t="b">
        <f aca="false">TRUE()</f>
        <v>1</v>
      </c>
      <c r="E94" s="11" t="n">
        <v>1462</v>
      </c>
      <c r="F94" s="13" t="n">
        <f aca="false">E94/SUMIFS($E$2:$E$783,$A$2:$A$783,A94)</f>
        <v>0.920654911838791</v>
      </c>
      <c r="G94" s="11" t="n">
        <v>315</v>
      </c>
      <c r="H94" s="18" t="n">
        <v>44947</v>
      </c>
      <c r="I94" s="18" t="n">
        <v>46296</v>
      </c>
      <c r="J94" s="10" t="s">
        <v>854</v>
      </c>
      <c r="K94" s="10" t="s">
        <v>957</v>
      </c>
      <c r="L94" s="2"/>
      <c r="M94" s="2"/>
      <c r="N94" s="2"/>
    </row>
    <row r="95" customFormat="false" ht="14.25" hidden="false" customHeight="false" outlineLevel="0" collapsed="false">
      <c r="A95" s="4" t="s">
        <v>191</v>
      </c>
      <c r="B95" s="4" t="s">
        <v>853</v>
      </c>
      <c r="C95" s="4" t="s">
        <v>75</v>
      </c>
      <c r="D95" s="8" t="b">
        <f aca="false">FALSE()</f>
        <v>0</v>
      </c>
      <c r="E95" s="5" t="n">
        <v>126</v>
      </c>
      <c r="F95" s="7" t="n">
        <f aca="false">E95/SUMIFS($E$2:$E$783,$A$2:$A$783,A95)</f>
        <v>0.0793450881612091</v>
      </c>
      <c r="G95" s="5" t="n">
        <v>0</v>
      </c>
      <c r="H95" s="17" t="n">
        <v>44928</v>
      </c>
      <c r="I95" s="17" t="n">
        <v>45053</v>
      </c>
      <c r="J95" s="4" t="s">
        <v>859</v>
      </c>
      <c r="K95" s="4" t="s">
        <v>958</v>
      </c>
      <c r="L95" s="2"/>
      <c r="M95" s="2"/>
      <c r="N95" s="2"/>
    </row>
    <row r="96" customFormat="false" ht="14.25" hidden="false" customHeight="false" outlineLevel="0" collapsed="false">
      <c r="A96" s="10" t="s">
        <v>192</v>
      </c>
      <c r="B96" s="10" t="s">
        <v>853</v>
      </c>
      <c r="C96" s="10" t="s">
        <v>166</v>
      </c>
      <c r="D96" s="14" t="b">
        <f aca="false">TRUE()</f>
        <v>1</v>
      </c>
      <c r="E96" s="11" t="n">
        <v>1492</v>
      </c>
      <c r="F96" s="13" t="n">
        <f aca="false">E96/SUMIFS($E$2:$E$783,$A$2:$A$783,A96)</f>
        <v>0.999330207635633</v>
      </c>
      <c r="G96" s="11" t="n">
        <v>429</v>
      </c>
      <c r="H96" s="18" t="n">
        <v>44928</v>
      </c>
      <c r="I96" s="18" t="n">
        <v>46296</v>
      </c>
      <c r="J96" s="10" t="s">
        <v>854</v>
      </c>
      <c r="K96" s="10" t="s">
        <v>936</v>
      </c>
      <c r="L96" s="2"/>
      <c r="M96" s="2"/>
      <c r="N96" s="2"/>
    </row>
    <row r="97" customFormat="false" ht="14.25" hidden="false" customHeight="false" outlineLevel="0" collapsed="false">
      <c r="A97" s="4" t="s">
        <v>192</v>
      </c>
      <c r="B97" s="4" t="s">
        <v>853</v>
      </c>
      <c r="C97" s="4" t="s">
        <v>75</v>
      </c>
      <c r="D97" s="8" t="b">
        <f aca="false">FALSE()</f>
        <v>0</v>
      </c>
      <c r="E97" s="5" t="n">
        <v>1</v>
      </c>
      <c r="F97" s="7" t="n">
        <f aca="false">E97/SUMIFS($E$2:$E$783,$A$2:$A$783,A97)</f>
        <v>0.000669792364367046</v>
      </c>
      <c r="G97" s="5" t="n">
        <v>0</v>
      </c>
      <c r="H97" s="17" t="n">
        <v>45022</v>
      </c>
      <c r="I97" s="17" t="n">
        <v>45022</v>
      </c>
      <c r="J97" s="4" t="s">
        <v>859</v>
      </c>
      <c r="K97" s="4" t="s">
        <v>959</v>
      </c>
      <c r="L97" s="2"/>
      <c r="M97" s="2"/>
      <c r="N97" s="2"/>
    </row>
    <row r="98" customFormat="false" ht="14.25" hidden="false" customHeight="false" outlineLevel="0" collapsed="false">
      <c r="A98" s="10" t="s">
        <v>193</v>
      </c>
      <c r="B98" s="10" t="s">
        <v>853</v>
      </c>
      <c r="C98" s="10" t="s">
        <v>166</v>
      </c>
      <c r="D98" s="14" t="b">
        <f aca="false">TRUE()</f>
        <v>1</v>
      </c>
      <c r="E98" s="11" t="n">
        <v>1328</v>
      </c>
      <c r="F98" s="13" t="n">
        <f aca="false">E98/SUMIFS($E$2:$E$783,$A$2:$A$783,A98)</f>
        <v>0.931276297335203</v>
      </c>
      <c r="G98" s="11" t="n">
        <v>299</v>
      </c>
      <c r="H98" s="18" t="n">
        <v>44949</v>
      </c>
      <c r="I98" s="18" t="n">
        <v>46287</v>
      </c>
      <c r="J98" s="10" t="s">
        <v>854</v>
      </c>
      <c r="K98" s="10" t="s">
        <v>960</v>
      </c>
      <c r="L98" s="2"/>
      <c r="M98" s="2"/>
      <c r="N98" s="2"/>
    </row>
    <row r="99" customFormat="false" ht="14.25" hidden="false" customHeight="false" outlineLevel="0" collapsed="false">
      <c r="A99" s="4" t="s">
        <v>193</v>
      </c>
      <c r="B99" s="4" t="s">
        <v>853</v>
      </c>
      <c r="C99" s="4" t="s">
        <v>75</v>
      </c>
      <c r="D99" s="8" t="b">
        <f aca="false">FALSE()</f>
        <v>0</v>
      </c>
      <c r="E99" s="5" t="n">
        <v>98</v>
      </c>
      <c r="F99" s="7" t="n">
        <f aca="false">E99/SUMIFS($E$2:$E$783,$A$2:$A$783,A99)</f>
        <v>0.0687237026647966</v>
      </c>
      <c r="G99" s="5" t="n">
        <v>0</v>
      </c>
      <c r="H99" s="17" t="n">
        <v>44928</v>
      </c>
      <c r="I99" s="17" t="n">
        <v>45051</v>
      </c>
      <c r="J99" s="4" t="s">
        <v>859</v>
      </c>
      <c r="K99" s="4" t="s">
        <v>961</v>
      </c>
      <c r="L99" s="2"/>
      <c r="M99" s="2"/>
      <c r="N99" s="2"/>
    </row>
    <row r="100" customFormat="false" ht="14.25" hidden="false" customHeight="false" outlineLevel="0" collapsed="false">
      <c r="A100" s="10" t="s">
        <v>195</v>
      </c>
      <c r="B100" s="10" t="s">
        <v>853</v>
      </c>
      <c r="C100" s="10" t="s">
        <v>166</v>
      </c>
      <c r="D100" s="14" t="b">
        <f aca="false">TRUE()</f>
        <v>1</v>
      </c>
      <c r="E100" s="11" t="n">
        <v>626</v>
      </c>
      <c r="F100" s="13" t="n">
        <f aca="false">E100/SUMIFS($E$2:$E$783,$A$2:$A$783,A100)</f>
        <v>0.534129692832765</v>
      </c>
      <c r="G100" s="11" t="n">
        <v>0</v>
      </c>
      <c r="H100" s="18" t="n">
        <v>45024</v>
      </c>
      <c r="I100" s="18" t="n">
        <v>45188</v>
      </c>
      <c r="J100" s="10" t="s">
        <v>854</v>
      </c>
      <c r="K100" s="10" t="s">
        <v>962</v>
      </c>
      <c r="L100" s="2"/>
      <c r="M100" s="2"/>
      <c r="N100" s="2"/>
    </row>
    <row r="101" customFormat="false" ht="14.25" hidden="false" customHeight="false" outlineLevel="0" collapsed="false">
      <c r="A101" s="4" t="s">
        <v>195</v>
      </c>
      <c r="B101" s="4" t="s">
        <v>853</v>
      </c>
      <c r="C101" s="4" t="s">
        <v>75</v>
      </c>
      <c r="D101" s="8" t="b">
        <f aca="false">FALSE()</f>
        <v>0</v>
      </c>
      <c r="E101" s="5" t="n">
        <v>546</v>
      </c>
      <c r="F101" s="7" t="n">
        <f aca="false">E101/SUMIFS($E$2:$E$783,$A$2:$A$783,A101)</f>
        <v>0.465870307167236</v>
      </c>
      <c r="G101" s="5" t="n">
        <v>0</v>
      </c>
      <c r="H101" s="17" t="n">
        <v>44928</v>
      </c>
      <c r="I101" s="17" t="n">
        <v>45054</v>
      </c>
      <c r="J101" s="4" t="s">
        <v>859</v>
      </c>
      <c r="K101" s="4" t="s">
        <v>963</v>
      </c>
      <c r="L101" s="2"/>
      <c r="M101" s="2"/>
      <c r="N101" s="2"/>
    </row>
    <row r="102" customFormat="false" ht="14.25" hidden="false" customHeight="false" outlineLevel="0" collapsed="false">
      <c r="A102" s="10" t="s">
        <v>197</v>
      </c>
      <c r="B102" s="10" t="s">
        <v>853</v>
      </c>
      <c r="C102" s="10" t="s">
        <v>166</v>
      </c>
      <c r="D102" s="14" t="b">
        <f aca="false">TRUE()</f>
        <v>1</v>
      </c>
      <c r="E102" s="11" t="n">
        <v>693</v>
      </c>
      <c r="F102" s="13" t="n">
        <f aca="false">E102/SUMIFS($E$2:$E$783,$A$2:$A$783,A102)</f>
        <v>0.594339622641509</v>
      </c>
      <c r="G102" s="11" t="n">
        <v>0</v>
      </c>
      <c r="H102" s="18" t="n">
        <v>44951</v>
      </c>
      <c r="I102" s="18" t="n">
        <v>45186</v>
      </c>
      <c r="J102" s="10" t="s">
        <v>854</v>
      </c>
      <c r="K102" s="10" t="s">
        <v>964</v>
      </c>
      <c r="L102" s="2"/>
      <c r="M102" s="2"/>
      <c r="N102" s="2"/>
    </row>
    <row r="103" customFormat="false" ht="14.25" hidden="false" customHeight="false" outlineLevel="0" collapsed="false">
      <c r="A103" s="4" t="s">
        <v>197</v>
      </c>
      <c r="B103" s="4" t="s">
        <v>853</v>
      </c>
      <c r="C103" s="4" t="s">
        <v>75</v>
      </c>
      <c r="D103" s="8" t="b">
        <f aca="false">FALSE()</f>
        <v>0</v>
      </c>
      <c r="E103" s="5" t="n">
        <v>473</v>
      </c>
      <c r="F103" s="7" t="n">
        <f aca="false">E103/SUMIFS($E$2:$E$783,$A$2:$A$783,A103)</f>
        <v>0.405660377358491</v>
      </c>
      <c r="G103" s="5" t="n">
        <v>0</v>
      </c>
      <c r="H103" s="17" t="n">
        <v>44928</v>
      </c>
      <c r="I103" s="17" t="n">
        <v>45055</v>
      </c>
      <c r="J103" s="4" t="s">
        <v>859</v>
      </c>
      <c r="K103" s="4" t="s">
        <v>965</v>
      </c>
      <c r="L103" s="2"/>
      <c r="M103" s="2"/>
      <c r="N103" s="2"/>
    </row>
    <row r="104" customFormat="false" ht="14.25" hidden="false" customHeight="false" outlineLevel="0" collapsed="false">
      <c r="A104" s="10" t="s">
        <v>198</v>
      </c>
      <c r="B104" s="10" t="s">
        <v>853</v>
      </c>
      <c r="C104" s="10" t="s">
        <v>166</v>
      </c>
      <c r="D104" s="14" t="b">
        <f aca="false">TRUE()</f>
        <v>1</v>
      </c>
      <c r="E104" s="11" t="n">
        <v>967</v>
      </c>
      <c r="F104" s="13" t="n">
        <f aca="false">E104/SUMIFS($E$2:$E$783,$A$2:$A$783,A104)</f>
        <v>0.983723296032553</v>
      </c>
      <c r="G104" s="11" t="n">
        <v>279</v>
      </c>
      <c r="H104" s="18" t="n">
        <v>44966</v>
      </c>
      <c r="I104" s="18" t="n">
        <v>46293</v>
      </c>
      <c r="J104" s="10" t="s">
        <v>854</v>
      </c>
      <c r="K104" s="10" t="s">
        <v>966</v>
      </c>
      <c r="L104" s="2"/>
      <c r="M104" s="2"/>
      <c r="N104" s="2"/>
    </row>
    <row r="105" customFormat="false" ht="14.25" hidden="false" customHeight="false" outlineLevel="0" collapsed="false">
      <c r="A105" s="4" t="s">
        <v>198</v>
      </c>
      <c r="B105" s="4" t="s">
        <v>853</v>
      </c>
      <c r="C105" s="4" t="s">
        <v>75</v>
      </c>
      <c r="D105" s="8" t="b">
        <f aca="false">FALSE()</f>
        <v>0</v>
      </c>
      <c r="E105" s="5" t="n">
        <v>16</v>
      </c>
      <c r="F105" s="7" t="n">
        <f aca="false">E105/SUMIFS($E$2:$E$783,$A$2:$A$783,A105)</f>
        <v>0.0162767039674466</v>
      </c>
      <c r="G105" s="5" t="n">
        <v>0</v>
      </c>
      <c r="H105" s="17" t="n">
        <v>44929</v>
      </c>
      <c r="I105" s="17" t="n">
        <v>45053</v>
      </c>
      <c r="J105" s="4" t="s">
        <v>859</v>
      </c>
      <c r="K105" s="4" t="s">
        <v>967</v>
      </c>
      <c r="L105" s="2"/>
      <c r="M105" s="2"/>
      <c r="N105" s="2"/>
    </row>
    <row r="106" customFormat="false" ht="14.25" hidden="false" customHeight="false" outlineLevel="0" collapsed="false">
      <c r="A106" s="10" t="s">
        <v>199</v>
      </c>
      <c r="B106" s="10" t="s">
        <v>853</v>
      </c>
      <c r="C106" s="10" t="s">
        <v>166</v>
      </c>
      <c r="D106" s="14" t="b">
        <f aca="false">TRUE()</f>
        <v>1</v>
      </c>
      <c r="E106" s="11" t="n">
        <v>659</v>
      </c>
      <c r="F106" s="13" t="n">
        <f aca="false">E106/SUMIFS($E$2:$E$783,$A$2:$A$783,A106)</f>
        <v>0.680785123966942</v>
      </c>
      <c r="G106" s="11" t="n">
        <v>0</v>
      </c>
      <c r="H106" s="18" t="n">
        <v>45055</v>
      </c>
      <c r="I106" s="18" t="n">
        <v>45188</v>
      </c>
      <c r="J106" s="10" t="s">
        <v>854</v>
      </c>
      <c r="K106" s="10" t="s">
        <v>968</v>
      </c>
      <c r="L106" s="2"/>
      <c r="M106" s="2"/>
      <c r="N106" s="2"/>
    </row>
    <row r="107" customFormat="false" ht="14.25" hidden="false" customHeight="false" outlineLevel="0" collapsed="false">
      <c r="A107" s="4" t="s">
        <v>199</v>
      </c>
      <c r="B107" s="4" t="s">
        <v>853</v>
      </c>
      <c r="C107" s="4" t="s">
        <v>75</v>
      </c>
      <c r="D107" s="8" t="b">
        <f aca="false">FALSE()</f>
        <v>0</v>
      </c>
      <c r="E107" s="5" t="n">
        <v>309</v>
      </c>
      <c r="F107" s="7" t="n">
        <f aca="false">E107/SUMIFS($E$2:$E$783,$A$2:$A$783,A107)</f>
        <v>0.319214876033058</v>
      </c>
      <c r="G107" s="5" t="n">
        <v>0</v>
      </c>
      <c r="H107" s="17" t="n">
        <v>44928</v>
      </c>
      <c r="I107" s="17" t="n">
        <v>45055</v>
      </c>
      <c r="J107" s="4" t="s">
        <v>859</v>
      </c>
      <c r="K107" s="4" t="s">
        <v>969</v>
      </c>
      <c r="L107" s="2"/>
      <c r="M107" s="2"/>
      <c r="N107" s="2"/>
    </row>
    <row r="108" customFormat="false" ht="14.25" hidden="false" customHeight="false" outlineLevel="0" collapsed="false">
      <c r="A108" s="10" t="s">
        <v>200</v>
      </c>
      <c r="B108" s="10" t="s">
        <v>853</v>
      </c>
      <c r="C108" s="10" t="s">
        <v>166</v>
      </c>
      <c r="D108" s="14" t="b">
        <f aca="false">TRUE()</f>
        <v>1</v>
      </c>
      <c r="E108" s="11" t="n">
        <v>774</v>
      </c>
      <c r="F108" s="13" t="n">
        <f aca="false">E108/SUMIFS($E$2:$E$783,$A$2:$A$783,A108)</f>
        <v>0.954377311960543</v>
      </c>
      <c r="G108" s="11" t="n">
        <v>221</v>
      </c>
      <c r="H108" s="18" t="n">
        <v>44963</v>
      </c>
      <c r="I108" s="18" t="n">
        <v>46296</v>
      </c>
      <c r="J108" s="10" t="s">
        <v>854</v>
      </c>
      <c r="K108" s="10" t="s">
        <v>970</v>
      </c>
      <c r="L108" s="2"/>
      <c r="M108" s="2"/>
      <c r="N108" s="2"/>
    </row>
    <row r="109" customFormat="false" ht="14.25" hidden="false" customHeight="false" outlineLevel="0" collapsed="false">
      <c r="A109" s="4" t="s">
        <v>200</v>
      </c>
      <c r="B109" s="4" t="s">
        <v>853</v>
      </c>
      <c r="C109" s="4" t="s">
        <v>75</v>
      </c>
      <c r="D109" s="8" t="b">
        <f aca="false">FALSE()</f>
        <v>0</v>
      </c>
      <c r="E109" s="5" t="n">
        <v>37</v>
      </c>
      <c r="F109" s="7" t="n">
        <f aca="false">E109/SUMIFS($E$2:$E$783,$A$2:$A$783,A109)</f>
        <v>0.0456226880394575</v>
      </c>
      <c r="G109" s="5" t="n">
        <v>0</v>
      </c>
      <c r="H109" s="17" t="n">
        <v>44930</v>
      </c>
      <c r="I109" s="17" t="n">
        <v>45054</v>
      </c>
      <c r="J109" s="4" t="s">
        <v>859</v>
      </c>
      <c r="K109" s="4" t="s">
        <v>971</v>
      </c>
      <c r="L109" s="2"/>
      <c r="M109" s="2"/>
      <c r="N109" s="2"/>
    </row>
    <row r="110" customFormat="false" ht="14.25" hidden="false" customHeight="false" outlineLevel="0" collapsed="false">
      <c r="A110" s="10" t="s">
        <v>202</v>
      </c>
      <c r="B110" s="10" t="s">
        <v>853</v>
      </c>
      <c r="C110" s="10" t="s">
        <v>166</v>
      </c>
      <c r="D110" s="14" t="b">
        <f aca="false">TRUE()</f>
        <v>1</v>
      </c>
      <c r="E110" s="11" t="n">
        <v>566</v>
      </c>
      <c r="F110" s="13" t="n">
        <f aca="false">E110/SUMIFS($E$2:$E$783,$A$2:$A$783,A110)</f>
        <v>0.869431643625192</v>
      </c>
      <c r="G110" s="11" t="n">
        <v>116</v>
      </c>
      <c r="H110" s="18" t="n">
        <v>44930</v>
      </c>
      <c r="I110" s="18" t="n">
        <v>46293</v>
      </c>
      <c r="J110" s="10" t="s">
        <v>854</v>
      </c>
      <c r="K110" s="10" t="s">
        <v>972</v>
      </c>
      <c r="L110" s="2"/>
      <c r="M110" s="2"/>
      <c r="N110" s="2"/>
    </row>
    <row r="111" customFormat="false" ht="14.25" hidden="false" customHeight="false" outlineLevel="0" collapsed="false">
      <c r="A111" s="4" t="s">
        <v>202</v>
      </c>
      <c r="B111" s="4" t="s">
        <v>853</v>
      </c>
      <c r="C111" s="4" t="s">
        <v>75</v>
      </c>
      <c r="D111" s="8" t="b">
        <f aca="false">FALSE()</f>
        <v>0</v>
      </c>
      <c r="E111" s="5" t="n">
        <v>85</v>
      </c>
      <c r="F111" s="7" t="n">
        <f aca="false">E111/SUMIFS($E$2:$E$783,$A$2:$A$783,A111)</f>
        <v>0.130568356374808</v>
      </c>
      <c r="G111" s="5" t="n">
        <v>0</v>
      </c>
      <c r="H111" s="17" t="n">
        <v>44928</v>
      </c>
      <c r="I111" s="17" t="n">
        <v>45047</v>
      </c>
      <c r="J111" s="4" t="s">
        <v>859</v>
      </c>
      <c r="K111" s="4" t="s">
        <v>885</v>
      </c>
      <c r="L111" s="2"/>
      <c r="M111" s="2"/>
      <c r="N111" s="2"/>
    </row>
    <row r="112" customFormat="false" ht="14.25" hidden="false" customHeight="false" outlineLevel="0" collapsed="false">
      <c r="A112" s="10" t="s">
        <v>203</v>
      </c>
      <c r="B112" s="10" t="s">
        <v>853</v>
      </c>
      <c r="C112" s="10" t="s">
        <v>166</v>
      </c>
      <c r="D112" s="14" t="b">
        <f aca="false">TRUE()</f>
        <v>1</v>
      </c>
      <c r="E112" s="11" t="n">
        <v>567</v>
      </c>
      <c r="F112" s="13" t="n">
        <f aca="false">E112/SUMIFS($E$2:$E$783,$A$2:$A$783,A112)</f>
        <v>0.915993537964459</v>
      </c>
      <c r="G112" s="11" t="n">
        <v>121</v>
      </c>
      <c r="H112" s="18" t="n">
        <v>44932</v>
      </c>
      <c r="I112" s="18" t="n">
        <v>46295</v>
      </c>
      <c r="J112" s="10" t="s">
        <v>854</v>
      </c>
      <c r="K112" s="10" t="s">
        <v>973</v>
      </c>
      <c r="L112" s="2"/>
      <c r="M112" s="2"/>
      <c r="N112" s="2"/>
    </row>
    <row r="113" customFormat="false" ht="14.25" hidden="false" customHeight="false" outlineLevel="0" collapsed="false">
      <c r="A113" s="4" t="s">
        <v>203</v>
      </c>
      <c r="B113" s="4" t="s">
        <v>853</v>
      </c>
      <c r="C113" s="4" t="s">
        <v>75</v>
      </c>
      <c r="D113" s="8" t="b">
        <f aca="false">FALSE()</f>
        <v>0</v>
      </c>
      <c r="E113" s="5" t="n">
        <v>52</v>
      </c>
      <c r="F113" s="7" t="n">
        <f aca="false">E113/SUMIFS($E$2:$E$783,$A$2:$A$783,A113)</f>
        <v>0.0840064620355412</v>
      </c>
      <c r="G113" s="5" t="n">
        <v>0</v>
      </c>
      <c r="H113" s="17" t="n">
        <v>44928</v>
      </c>
      <c r="I113" s="17" t="n">
        <v>45050</v>
      </c>
      <c r="J113" s="4" t="s">
        <v>859</v>
      </c>
      <c r="K113" s="4" t="s">
        <v>974</v>
      </c>
      <c r="L113" s="2"/>
      <c r="M113" s="2"/>
      <c r="N113" s="2"/>
    </row>
    <row r="114" customFormat="false" ht="14.25" hidden="false" customHeight="false" outlineLevel="0" collapsed="false">
      <c r="A114" s="10" t="s">
        <v>204</v>
      </c>
      <c r="B114" s="10" t="s">
        <v>853</v>
      </c>
      <c r="C114" s="10" t="s">
        <v>166</v>
      </c>
      <c r="D114" s="14" t="b">
        <f aca="false">TRUE()</f>
        <v>1</v>
      </c>
      <c r="E114" s="11" t="n">
        <v>387</v>
      </c>
      <c r="F114" s="13" t="n">
        <f aca="false">E114/SUMIFS($E$2:$E$783,$A$2:$A$783,A114)</f>
        <v>0.816455696202532</v>
      </c>
      <c r="G114" s="11" t="n">
        <v>0</v>
      </c>
      <c r="H114" s="18" t="n">
        <v>44938</v>
      </c>
      <c r="I114" s="18" t="n">
        <v>45876</v>
      </c>
      <c r="J114" s="10" t="s">
        <v>854</v>
      </c>
      <c r="K114" s="10" t="s">
        <v>975</v>
      </c>
      <c r="L114" s="2"/>
      <c r="M114" s="2"/>
      <c r="N114" s="2"/>
    </row>
    <row r="115" customFormat="false" ht="14.25" hidden="false" customHeight="false" outlineLevel="0" collapsed="false">
      <c r="A115" s="4" t="s">
        <v>204</v>
      </c>
      <c r="B115" s="4" t="s">
        <v>853</v>
      </c>
      <c r="C115" s="4" t="s">
        <v>75</v>
      </c>
      <c r="D115" s="8" t="b">
        <f aca="false">FALSE()</f>
        <v>0</v>
      </c>
      <c r="E115" s="5" t="n">
        <v>87</v>
      </c>
      <c r="F115" s="7" t="n">
        <f aca="false">E115/SUMIFS($E$2:$E$783,$A$2:$A$783,A115)</f>
        <v>0.183544303797468</v>
      </c>
      <c r="G115" s="5" t="n">
        <v>0</v>
      </c>
      <c r="H115" s="17" t="n">
        <v>44928</v>
      </c>
      <c r="I115" s="17" t="n">
        <v>45047</v>
      </c>
      <c r="J115" s="4" t="s">
        <v>859</v>
      </c>
      <c r="K115" s="4" t="s">
        <v>976</v>
      </c>
      <c r="L115" s="2"/>
      <c r="M115" s="2"/>
      <c r="N115" s="2"/>
    </row>
    <row r="116" customFormat="false" ht="14.25" hidden="false" customHeight="false" outlineLevel="0" collapsed="false">
      <c r="A116" s="10" t="s">
        <v>206</v>
      </c>
      <c r="B116" s="10" t="s">
        <v>853</v>
      </c>
      <c r="C116" s="10" t="s">
        <v>166</v>
      </c>
      <c r="D116" s="14" t="b">
        <f aca="false">TRUE()</f>
        <v>1</v>
      </c>
      <c r="E116" s="11" t="n">
        <v>398</v>
      </c>
      <c r="F116" s="13" t="n">
        <f aca="false">E116/SUMIFS($E$2:$E$783,$A$2:$A$783,A116)</f>
        <v>0.987593052109181</v>
      </c>
      <c r="G116" s="11" t="n">
        <v>87</v>
      </c>
      <c r="H116" s="18" t="n">
        <v>44992</v>
      </c>
      <c r="I116" s="18" t="n">
        <v>46293</v>
      </c>
      <c r="J116" s="10" t="s">
        <v>854</v>
      </c>
      <c r="K116" s="10" t="s">
        <v>977</v>
      </c>
      <c r="L116" s="2"/>
      <c r="M116" s="2"/>
      <c r="N116" s="2"/>
    </row>
    <row r="117" customFormat="false" ht="14.25" hidden="false" customHeight="false" outlineLevel="0" collapsed="false">
      <c r="A117" s="4" t="s">
        <v>206</v>
      </c>
      <c r="B117" s="4" t="s">
        <v>853</v>
      </c>
      <c r="C117" s="4" t="s">
        <v>75</v>
      </c>
      <c r="D117" s="8" t="b">
        <f aca="false">FALSE()</f>
        <v>0</v>
      </c>
      <c r="E117" s="5" t="n">
        <v>5</v>
      </c>
      <c r="F117" s="7" t="n">
        <f aca="false">E117/SUMIFS($E$2:$E$783,$A$2:$A$783,A117)</f>
        <v>0.0124069478908189</v>
      </c>
      <c r="G117" s="5" t="n">
        <v>0</v>
      </c>
      <c r="H117" s="17" t="n">
        <v>44959</v>
      </c>
      <c r="I117" s="17" t="n">
        <v>45027</v>
      </c>
      <c r="J117" s="4" t="s">
        <v>859</v>
      </c>
      <c r="K117" s="4" t="s">
        <v>978</v>
      </c>
      <c r="L117" s="2"/>
      <c r="M117" s="2"/>
      <c r="N117" s="2"/>
    </row>
    <row r="118" customFormat="false" ht="14.25" hidden="false" customHeight="false" outlineLevel="0" collapsed="false">
      <c r="A118" s="10" t="s">
        <v>211</v>
      </c>
      <c r="B118" s="10" t="s">
        <v>853</v>
      </c>
      <c r="C118" s="10" t="s">
        <v>166</v>
      </c>
      <c r="D118" s="14" t="b">
        <f aca="false">TRUE()</f>
        <v>1</v>
      </c>
      <c r="E118" s="11" t="n">
        <v>251</v>
      </c>
      <c r="F118" s="13" t="n">
        <f aca="false">E118/SUMIFS($E$2:$E$783,$A$2:$A$783,A118)</f>
        <v>0.969111969111969</v>
      </c>
      <c r="G118" s="11" t="n">
        <v>52</v>
      </c>
      <c r="H118" s="18" t="n">
        <v>44961</v>
      </c>
      <c r="I118" s="18" t="n">
        <v>46280</v>
      </c>
      <c r="J118" s="10" t="s">
        <v>854</v>
      </c>
      <c r="K118" s="10" t="s">
        <v>979</v>
      </c>
      <c r="L118" s="2"/>
      <c r="M118" s="2"/>
      <c r="N118" s="2"/>
    </row>
    <row r="119" customFormat="false" ht="14.25" hidden="false" customHeight="false" outlineLevel="0" collapsed="false">
      <c r="A119" s="4" t="s">
        <v>211</v>
      </c>
      <c r="B119" s="4" t="s">
        <v>853</v>
      </c>
      <c r="C119" s="4" t="s">
        <v>75</v>
      </c>
      <c r="D119" s="8" t="b">
        <f aca="false">FALSE()</f>
        <v>0</v>
      </c>
      <c r="E119" s="5" t="n">
        <v>8</v>
      </c>
      <c r="F119" s="7" t="n">
        <f aca="false">E119/SUMIFS($E$2:$E$783,$A$2:$A$783,A119)</f>
        <v>0.0308880308880309</v>
      </c>
      <c r="G119" s="5" t="n">
        <v>0</v>
      </c>
      <c r="H119" s="17" t="n">
        <v>44946</v>
      </c>
      <c r="I119" s="17" t="n">
        <v>45041</v>
      </c>
      <c r="J119" s="4" t="s">
        <v>859</v>
      </c>
      <c r="K119" s="4" t="s">
        <v>980</v>
      </c>
      <c r="L119" s="2"/>
      <c r="M119" s="2"/>
      <c r="N119" s="2"/>
    </row>
    <row r="120" customFormat="false" ht="14.25" hidden="false" customHeight="false" outlineLevel="0" collapsed="false">
      <c r="A120" s="10" t="s">
        <v>212</v>
      </c>
      <c r="B120" s="10" t="s">
        <v>853</v>
      </c>
      <c r="C120" s="10" t="s">
        <v>166</v>
      </c>
      <c r="D120" s="14" t="b">
        <f aca="false">TRUE()</f>
        <v>1</v>
      </c>
      <c r="E120" s="11" t="n">
        <v>235</v>
      </c>
      <c r="F120" s="13" t="n">
        <f aca="false">E120/SUMIFS($E$2:$E$783,$A$2:$A$783,A120)</f>
        <v>0.925196850393701</v>
      </c>
      <c r="G120" s="11" t="n">
        <v>34</v>
      </c>
      <c r="H120" s="18" t="n">
        <v>44944</v>
      </c>
      <c r="I120" s="18" t="n">
        <v>46293</v>
      </c>
      <c r="J120" s="10" t="s">
        <v>854</v>
      </c>
      <c r="K120" s="10" t="s">
        <v>981</v>
      </c>
      <c r="L120" s="2"/>
      <c r="M120" s="2"/>
      <c r="N120" s="2"/>
    </row>
    <row r="121" customFormat="false" ht="14.25" hidden="false" customHeight="false" outlineLevel="0" collapsed="false">
      <c r="A121" s="4" t="s">
        <v>212</v>
      </c>
      <c r="B121" s="4" t="s">
        <v>853</v>
      </c>
      <c r="C121" s="4" t="s">
        <v>75</v>
      </c>
      <c r="D121" s="8" t="b">
        <f aca="false">FALSE()</f>
        <v>0</v>
      </c>
      <c r="E121" s="5" t="n">
        <v>19</v>
      </c>
      <c r="F121" s="7" t="n">
        <f aca="false">E121/SUMIFS($E$2:$E$783,$A$2:$A$783,A121)</f>
        <v>0.0748031496062992</v>
      </c>
      <c r="G121" s="5" t="n">
        <v>0</v>
      </c>
      <c r="H121" s="17" t="n">
        <v>44943</v>
      </c>
      <c r="I121" s="17" t="n">
        <v>45048</v>
      </c>
      <c r="J121" s="4" t="s">
        <v>859</v>
      </c>
      <c r="K121" s="4" t="s">
        <v>982</v>
      </c>
      <c r="L121" s="2"/>
      <c r="M121" s="2"/>
      <c r="N121" s="2"/>
    </row>
    <row r="122" customFormat="false" ht="14.25" hidden="false" customHeight="false" outlineLevel="0" collapsed="false">
      <c r="A122" s="10" t="s">
        <v>213</v>
      </c>
      <c r="B122" s="10" t="s">
        <v>853</v>
      </c>
      <c r="C122" s="10" t="s">
        <v>166</v>
      </c>
      <c r="D122" s="14" t="b">
        <f aca="false">TRUE()</f>
        <v>1</v>
      </c>
      <c r="E122" s="11" t="n">
        <v>232</v>
      </c>
      <c r="F122" s="13" t="n">
        <f aca="false">E122/SUMIFS($E$2:$E$783,$A$2:$A$783,A122)</f>
        <v>0.950819672131148</v>
      </c>
      <c r="G122" s="11" t="n">
        <v>53</v>
      </c>
      <c r="H122" s="18" t="n">
        <v>45050</v>
      </c>
      <c r="I122" s="18" t="n">
        <v>46294</v>
      </c>
      <c r="J122" s="10" t="s">
        <v>854</v>
      </c>
      <c r="K122" s="10" t="s">
        <v>983</v>
      </c>
      <c r="L122" s="2"/>
      <c r="M122" s="2"/>
      <c r="N122" s="2"/>
    </row>
    <row r="123" customFormat="false" ht="14.25" hidden="false" customHeight="false" outlineLevel="0" collapsed="false">
      <c r="A123" s="4" t="s">
        <v>213</v>
      </c>
      <c r="B123" s="4" t="s">
        <v>853</v>
      </c>
      <c r="C123" s="4" t="s">
        <v>75</v>
      </c>
      <c r="D123" s="8" t="b">
        <f aca="false">FALSE()</f>
        <v>0</v>
      </c>
      <c r="E123" s="5" t="n">
        <v>12</v>
      </c>
      <c r="F123" s="7" t="n">
        <f aca="false">E123/SUMIFS($E$2:$E$783,$A$2:$A$783,A123)</f>
        <v>0.0491803278688525</v>
      </c>
      <c r="G123" s="5" t="n">
        <v>0</v>
      </c>
      <c r="H123" s="17" t="n">
        <v>44941</v>
      </c>
      <c r="I123" s="17" t="n">
        <v>45055</v>
      </c>
      <c r="J123" s="4" t="s">
        <v>859</v>
      </c>
      <c r="K123" s="4" t="s">
        <v>984</v>
      </c>
      <c r="L123" s="2"/>
      <c r="M123" s="2"/>
      <c r="N123" s="2"/>
    </row>
    <row r="124" customFormat="false" ht="14.25" hidden="false" customHeight="false" outlineLevel="0" collapsed="false">
      <c r="A124" s="10" t="s">
        <v>215</v>
      </c>
      <c r="B124" s="10" t="s">
        <v>853</v>
      </c>
      <c r="C124" s="10" t="s">
        <v>166</v>
      </c>
      <c r="D124" s="14" t="b">
        <f aca="false">TRUE()</f>
        <v>1</v>
      </c>
      <c r="E124" s="11" t="n">
        <v>203</v>
      </c>
      <c r="F124" s="13" t="n">
        <f aca="false">E124/SUMIFS($E$2:$E$783,$A$2:$A$783,A124)</f>
        <v>0.971291866028708</v>
      </c>
      <c r="G124" s="11" t="n">
        <v>60</v>
      </c>
      <c r="H124" s="18" t="n">
        <v>45043</v>
      </c>
      <c r="I124" s="18" t="n">
        <v>46293</v>
      </c>
      <c r="J124" s="10" t="s">
        <v>854</v>
      </c>
      <c r="K124" s="10" t="s">
        <v>985</v>
      </c>
      <c r="L124" s="2"/>
      <c r="M124" s="2"/>
      <c r="N124" s="2"/>
    </row>
    <row r="125" customFormat="false" ht="14.25" hidden="false" customHeight="false" outlineLevel="0" collapsed="false">
      <c r="A125" s="4" t="s">
        <v>215</v>
      </c>
      <c r="B125" s="4" t="s">
        <v>853</v>
      </c>
      <c r="C125" s="4" t="s">
        <v>75</v>
      </c>
      <c r="D125" s="8" t="b">
        <f aca="false">FALSE()</f>
        <v>0</v>
      </c>
      <c r="E125" s="5" t="n">
        <v>6</v>
      </c>
      <c r="F125" s="7" t="n">
        <f aca="false">E125/SUMIFS($E$2:$E$783,$A$2:$A$783,A125)</f>
        <v>0.0287081339712919</v>
      </c>
      <c r="G125" s="5" t="n">
        <v>0</v>
      </c>
      <c r="H125" s="17" t="n">
        <v>44935</v>
      </c>
      <c r="I125" s="17" t="n">
        <v>45053</v>
      </c>
      <c r="J125" s="4" t="s">
        <v>859</v>
      </c>
      <c r="K125" s="4" t="s">
        <v>986</v>
      </c>
      <c r="L125" s="2"/>
      <c r="M125" s="2"/>
      <c r="N125" s="2"/>
    </row>
    <row r="126" customFormat="false" ht="14.25" hidden="false" customHeight="false" outlineLevel="0" collapsed="false">
      <c r="A126" s="10" t="s">
        <v>216</v>
      </c>
      <c r="B126" s="10" t="s">
        <v>853</v>
      </c>
      <c r="C126" s="10" t="s">
        <v>166</v>
      </c>
      <c r="D126" s="14" t="b">
        <f aca="false">TRUE()</f>
        <v>1</v>
      </c>
      <c r="E126" s="11" t="n">
        <v>199</v>
      </c>
      <c r="F126" s="13" t="n">
        <f aca="false">E126/SUMIFS($E$2:$E$783,$A$2:$A$783,A126)</f>
        <v>0.990049751243781</v>
      </c>
      <c r="G126" s="11" t="n">
        <v>59</v>
      </c>
      <c r="H126" s="18" t="n">
        <v>45060</v>
      </c>
      <c r="I126" s="18" t="n">
        <v>46289</v>
      </c>
      <c r="J126" s="10" t="s">
        <v>854</v>
      </c>
      <c r="K126" s="10" t="s">
        <v>987</v>
      </c>
      <c r="L126" s="2"/>
      <c r="M126" s="2"/>
      <c r="N126" s="2"/>
    </row>
    <row r="127" customFormat="false" ht="14.25" hidden="false" customHeight="false" outlineLevel="0" collapsed="false">
      <c r="A127" s="4" t="s">
        <v>216</v>
      </c>
      <c r="B127" s="4" t="s">
        <v>853</v>
      </c>
      <c r="C127" s="4" t="s">
        <v>75</v>
      </c>
      <c r="D127" s="8" t="b">
        <f aca="false">FALSE()</f>
        <v>0</v>
      </c>
      <c r="E127" s="5" t="n">
        <v>2</v>
      </c>
      <c r="F127" s="7" t="n">
        <f aca="false">E127/SUMIFS($E$2:$E$783,$A$2:$A$783,A127)</f>
        <v>0.00995024875621891</v>
      </c>
      <c r="G127" s="5" t="n">
        <v>0</v>
      </c>
      <c r="H127" s="17" t="n">
        <v>44940</v>
      </c>
      <c r="I127" s="17" t="n">
        <v>45032</v>
      </c>
      <c r="J127" s="4" t="s">
        <v>859</v>
      </c>
      <c r="K127" s="4" t="s">
        <v>988</v>
      </c>
      <c r="L127" s="2"/>
      <c r="M127" s="2"/>
      <c r="N127" s="2"/>
    </row>
    <row r="128" customFormat="false" ht="14.25" hidden="false" customHeight="false" outlineLevel="0" collapsed="false">
      <c r="A128" s="10" t="s">
        <v>218</v>
      </c>
      <c r="B128" s="10" t="s">
        <v>853</v>
      </c>
      <c r="C128" s="10" t="s">
        <v>166</v>
      </c>
      <c r="D128" s="14" t="b">
        <f aca="false">TRUE()</f>
        <v>1</v>
      </c>
      <c r="E128" s="11" t="n">
        <v>150</v>
      </c>
      <c r="F128" s="13" t="n">
        <f aca="false">E128/SUMIFS($E$2:$E$783,$A$2:$A$783,A128)</f>
        <v>0.909090909090909</v>
      </c>
      <c r="G128" s="11" t="n">
        <v>32</v>
      </c>
      <c r="H128" s="18" t="n">
        <v>45066</v>
      </c>
      <c r="I128" s="18" t="n">
        <v>46287</v>
      </c>
      <c r="J128" s="10" t="s">
        <v>854</v>
      </c>
      <c r="K128" s="10" t="s">
        <v>989</v>
      </c>
      <c r="L128" s="2"/>
      <c r="M128" s="2"/>
      <c r="N128" s="2"/>
    </row>
    <row r="129" customFormat="false" ht="14.25" hidden="false" customHeight="false" outlineLevel="0" collapsed="false">
      <c r="A129" s="4" t="s">
        <v>218</v>
      </c>
      <c r="B129" s="4" t="s">
        <v>853</v>
      </c>
      <c r="C129" s="4" t="s">
        <v>75</v>
      </c>
      <c r="D129" s="8" t="b">
        <f aca="false">FALSE()</f>
        <v>0</v>
      </c>
      <c r="E129" s="5" t="n">
        <v>15</v>
      </c>
      <c r="F129" s="7" t="n">
        <f aca="false">E129/SUMIFS($E$2:$E$783,$A$2:$A$783,A129)</f>
        <v>0.0909090909090909</v>
      </c>
      <c r="G129" s="5" t="n">
        <v>0</v>
      </c>
      <c r="H129" s="17" t="n">
        <v>44930</v>
      </c>
      <c r="I129" s="17" t="n">
        <v>45046</v>
      </c>
      <c r="J129" s="4" t="s">
        <v>859</v>
      </c>
      <c r="K129" s="4" t="s">
        <v>990</v>
      </c>
      <c r="L129" s="2"/>
      <c r="M129" s="2"/>
      <c r="N129" s="2"/>
    </row>
    <row r="130" customFormat="false" ht="14.25" hidden="false" customHeight="false" outlineLevel="0" collapsed="false">
      <c r="A130" s="10" t="s">
        <v>219</v>
      </c>
      <c r="B130" s="10" t="s">
        <v>853</v>
      </c>
      <c r="C130" s="10" t="s">
        <v>166</v>
      </c>
      <c r="D130" s="14" t="b">
        <f aca="false">TRUE()</f>
        <v>1</v>
      </c>
      <c r="E130" s="11" t="n">
        <v>109</v>
      </c>
      <c r="F130" s="13" t="n">
        <f aca="false">E130/SUMIFS($E$2:$E$783,$A$2:$A$783,A130)</f>
        <v>0.886178861788618</v>
      </c>
      <c r="G130" s="11" t="n">
        <v>22</v>
      </c>
      <c r="H130" s="18" t="n">
        <v>45037</v>
      </c>
      <c r="I130" s="18" t="n">
        <v>46269</v>
      </c>
      <c r="J130" s="10" t="s">
        <v>854</v>
      </c>
      <c r="K130" s="10" t="s">
        <v>991</v>
      </c>
      <c r="L130" s="2"/>
      <c r="M130" s="2"/>
      <c r="N130" s="2"/>
    </row>
    <row r="131" customFormat="false" ht="14.25" hidden="false" customHeight="false" outlineLevel="0" collapsed="false">
      <c r="A131" s="4" t="s">
        <v>219</v>
      </c>
      <c r="B131" s="4" t="s">
        <v>853</v>
      </c>
      <c r="C131" s="4" t="s">
        <v>75</v>
      </c>
      <c r="D131" s="8" t="b">
        <f aca="false">FALSE()</f>
        <v>0</v>
      </c>
      <c r="E131" s="5" t="n">
        <v>14</v>
      </c>
      <c r="F131" s="7" t="n">
        <f aca="false">E131/SUMIFS($E$2:$E$783,$A$2:$A$783,A131)</f>
        <v>0.113821138211382</v>
      </c>
      <c r="G131" s="5" t="n">
        <v>0</v>
      </c>
      <c r="H131" s="17" t="n">
        <v>44946</v>
      </c>
      <c r="I131" s="17" t="n">
        <v>45049</v>
      </c>
      <c r="J131" s="4" t="s">
        <v>859</v>
      </c>
      <c r="K131" s="4" t="s">
        <v>992</v>
      </c>
      <c r="L131" s="2"/>
      <c r="M131" s="2"/>
      <c r="N131" s="2"/>
    </row>
    <row r="132" customFormat="false" ht="14.25" hidden="false" customHeight="false" outlineLevel="0" collapsed="false">
      <c r="A132" s="10" t="s">
        <v>220</v>
      </c>
      <c r="B132" s="10" t="s">
        <v>853</v>
      </c>
      <c r="C132" s="10" t="s">
        <v>166</v>
      </c>
      <c r="D132" s="14" t="b">
        <f aca="false">TRUE()</f>
        <v>1</v>
      </c>
      <c r="E132" s="11" t="n">
        <v>107</v>
      </c>
      <c r="F132" s="13" t="n">
        <f aca="false">E132/SUMIFS($E$2:$E$783,$A$2:$A$783,A132)</f>
        <v>0.891666666666667</v>
      </c>
      <c r="G132" s="11" t="n">
        <v>16</v>
      </c>
      <c r="H132" s="18" t="n">
        <v>44945</v>
      </c>
      <c r="I132" s="18" t="n">
        <v>46296</v>
      </c>
      <c r="J132" s="10" t="s">
        <v>854</v>
      </c>
      <c r="K132" s="10" t="s">
        <v>941</v>
      </c>
      <c r="L132" s="2"/>
      <c r="M132" s="2"/>
      <c r="N132" s="2"/>
    </row>
    <row r="133" customFormat="false" ht="14.25" hidden="false" customHeight="false" outlineLevel="0" collapsed="false">
      <c r="A133" s="4" t="s">
        <v>220</v>
      </c>
      <c r="B133" s="4" t="s">
        <v>853</v>
      </c>
      <c r="C133" s="4" t="s">
        <v>75</v>
      </c>
      <c r="D133" s="8" t="b">
        <f aca="false">FALSE()</f>
        <v>0</v>
      </c>
      <c r="E133" s="5" t="n">
        <v>13</v>
      </c>
      <c r="F133" s="7" t="n">
        <f aca="false">E133/SUMIFS($E$2:$E$783,$A$2:$A$783,A133)</f>
        <v>0.108333333333333</v>
      </c>
      <c r="G133" s="5" t="n">
        <v>0</v>
      </c>
      <c r="H133" s="17" t="n">
        <v>44932</v>
      </c>
      <c r="I133" s="17" t="n">
        <v>45042</v>
      </c>
      <c r="J133" s="4" t="s">
        <v>859</v>
      </c>
      <c r="K133" s="4" t="s">
        <v>993</v>
      </c>
      <c r="L133" s="2"/>
      <c r="M133" s="2"/>
      <c r="N133" s="2"/>
    </row>
    <row r="134" customFormat="false" ht="14.25" hidden="false" customHeight="false" outlineLevel="0" collapsed="false">
      <c r="A134" s="10" t="s">
        <v>222</v>
      </c>
      <c r="B134" s="10" t="s">
        <v>853</v>
      </c>
      <c r="C134" s="10" t="s">
        <v>166</v>
      </c>
      <c r="D134" s="14" t="b">
        <f aca="false">TRUE()</f>
        <v>1</v>
      </c>
      <c r="E134" s="11" t="n">
        <v>93</v>
      </c>
      <c r="F134" s="13" t="n">
        <f aca="false">E134/SUMIFS($E$2:$E$783,$A$2:$A$783,A134)</f>
        <v>0.920792079207921</v>
      </c>
      <c r="G134" s="11" t="n">
        <v>27</v>
      </c>
      <c r="H134" s="18" t="n">
        <v>45106</v>
      </c>
      <c r="I134" s="18" t="n">
        <v>46286</v>
      </c>
      <c r="J134" s="10" t="s">
        <v>854</v>
      </c>
      <c r="K134" s="10" t="s">
        <v>994</v>
      </c>
      <c r="L134" s="2"/>
      <c r="M134" s="2"/>
      <c r="N134" s="2"/>
    </row>
    <row r="135" customFormat="false" ht="14.25" hidden="false" customHeight="false" outlineLevel="0" collapsed="false">
      <c r="A135" s="4" t="s">
        <v>222</v>
      </c>
      <c r="B135" s="4" t="s">
        <v>853</v>
      </c>
      <c r="C135" s="4" t="s">
        <v>80</v>
      </c>
      <c r="D135" s="8" t="b">
        <f aca="false">FALSE()</f>
        <v>0</v>
      </c>
      <c r="E135" s="5" t="n">
        <v>8</v>
      </c>
      <c r="F135" s="7" t="n">
        <f aca="false">E135/SUMIFS($E$2:$E$783,$A$2:$A$783,A135)</f>
        <v>0.0792079207920792</v>
      </c>
      <c r="G135" s="5" t="n">
        <v>0</v>
      </c>
      <c r="H135" s="17" t="n">
        <v>44932</v>
      </c>
      <c r="I135" s="17" t="n">
        <v>45050</v>
      </c>
      <c r="J135" s="4" t="s">
        <v>859</v>
      </c>
      <c r="K135" s="4" t="s">
        <v>995</v>
      </c>
      <c r="L135" s="2"/>
      <c r="M135" s="2"/>
      <c r="N135" s="2"/>
    </row>
    <row r="136" customFormat="false" ht="14.25" hidden="false" customHeight="false" outlineLevel="0" collapsed="false">
      <c r="A136" s="10" t="s">
        <v>223</v>
      </c>
      <c r="B136" s="10" t="s">
        <v>853</v>
      </c>
      <c r="C136" s="10" t="s">
        <v>166</v>
      </c>
      <c r="D136" s="14" t="b">
        <f aca="false">TRUE()</f>
        <v>1</v>
      </c>
      <c r="E136" s="11" t="n">
        <v>89</v>
      </c>
      <c r="F136" s="13" t="n">
        <f aca="false">E136/SUMIFS($E$2:$E$783,$A$2:$A$783,A136)</f>
        <v>0.917525773195876</v>
      </c>
      <c r="G136" s="11" t="n">
        <v>24</v>
      </c>
      <c r="H136" s="18" t="n">
        <v>45022</v>
      </c>
      <c r="I136" s="18" t="n">
        <v>46292</v>
      </c>
      <c r="J136" s="10" t="s">
        <v>854</v>
      </c>
      <c r="K136" s="10" t="s">
        <v>996</v>
      </c>
      <c r="L136" s="2"/>
      <c r="M136" s="2"/>
      <c r="N136" s="2"/>
    </row>
    <row r="137" customFormat="false" ht="14.25" hidden="false" customHeight="false" outlineLevel="0" collapsed="false">
      <c r="A137" s="4" t="s">
        <v>223</v>
      </c>
      <c r="B137" s="4" t="s">
        <v>853</v>
      </c>
      <c r="C137" s="4" t="s">
        <v>75</v>
      </c>
      <c r="D137" s="8" t="b">
        <f aca="false">FALSE()</f>
        <v>0</v>
      </c>
      <c r="E137" s="5" t="n">
        <v>8</v>
      </c>
      <c r="F137" s="7" t="n">
        <f aca="false">E137/SUMIFS($E$2:$E$783,$A$2:$A$783,A137)</f>
        <v>0.0824742268041237</v>
      </c>
      <c r="G137" s="5" t="n">
        <v>0</v>
      </c>
      <c r="H137" s="17" t="n">
        <v>44953</v>
      </c>
      <c r="I137" s="17" t="n">
        <v>45051</v>
      </c>
      <c r="J137" s="4" t="s">
        <v>859</v>
      </c>
      <c r="K137" s="4" t="s">
        <v>997</v>
      </c>
      <c r="L137" s="2"/>
      <c r="M137" s="2"/>
      <c r="N137" s="2"/>
    </row>
    <row r="138" customFormat="false" ht="14.25" hidden="false" customHeight="false" outlineLevel="0" collapsed="false">
      <c r="A138" s="10" t="s">
        <v>224</v>
      </c>
      <c r="B138" s="10" t="s">
        <v>853</v>
      </c>
      <c r="C138" s="10" t="s">
        <v>166</v>
      </c>
      <c r="D138" s="14" t="b">
        <f aca="false">TRUE()</f>
        <v>1</v>
      </c>
      <c r="E138" s="11" t="n">
        <v>55</v>
      </c>
      <c r="F138" s="13" t="n">
        <f aca="false">E138/SUMIFS($E$2:$E$783,$A$2:$A$783,A138)</f>
        <v>0.662650602409639</v>
      </c>
      <c r="G138" s="11" t="n">
        <v>0</v>
      </c>
      <c r="H138" s="18" t="n">
        <v>44954</v>
      </c>
      <c r="I138" s="18" t="n">
        <v>45177</v>
      </c>
      <c r="J138" s="10" t="s">
        <v>854</v>
      </c>
      <c r="K138" s="10" t="s">
        <v>998</v>
      </c>
      <c r="L138" s="2"/>
      <c r="M138" s="2"/>
      <c r="N138" s="2"/>
    </row>
    <row r="139" customFormat="false" ht="14.25" hidden="false" customHeight="false" outlineLevel="0" collapsed="false">
      <c r="A139" s="4" t="s">
        <v>224</v>
      </c>
      <c r="B139" s="4" t="s">
        <v>853</v>
      </c>
      <c r="C139" s="4" t="s">
        <v>75</v>
      </c>
      <c r="D139" s="8" t="b">
        <f aca="false">FALSE()</f>
        <v>0</v>
      </c>
      <c r="E139" s="5" t="n">
        <v>28</v>
      </c>
      <c r="F139" s="7" t="n">
        <f aca="false">E139/SUMIFS($E$2:$E$783,$A$2:$A$783,A139)</f>
        <v>0.337349397590361</v>
      </c>
      <c r="G139" s="5" t="n">
        <v>0</v>
      </c>
      <c r="H139" s="17" t="n">
        <v>44929</v>
      </c>
      <c r="I139" s="17" t="n">
        <v>45041</v>
      </c>
      <c r="J139" s="4" t="s">
        <v>859</v>
      </c>
      <c r="K139" s="4" t="s">
        <v>999</v>
      </c>
      <c r="L139" s="2"/>
      <c r="M139" s="2"/>
      <c r="N139" s="2"/>
    </row>
    <row r="140" customFormat="false" ht="14.25" hidden="false" customHeight="false" outlineLevel="0" collapsed="false">
      <c r="A140" s="10" t="s">
        <v>225</v>
      </c>
      <c r="B140" s="10" t="s">
        <v>853</v>
      </c>
      <c r="C140" s="10" t="s">
        <v>166</v>
      </c>
      <c r="D140" s="14" t="b">
        <f aca="false">TRUE()</f>
        <v>1</v>
      </c>
      <c r="E140" s="11" t="n">
        <v>69</v>
      </c>
      <c r="F140" s="13" t="n">
        <f aca="false">E140/SUMIFS($E$2:$E$783,$A$2:$A$783,A140)</f>
        <v>0.884615384615385</v>
      </c>
      <c r="G140" s="11" t="n">
        <v>30</v>
      </c>
      <c r="H140" s="18" t="n">
        <v>45123</v>
      </c>
      <c r="I140" s="18" t="n">
        <v>46289</v>
      </c>
      <c r="J140" s="10" t="s">
        <v>854</v>
      </c>
      <c r="K140" s="10" t="s">
        <v>1000</v>
      </c>
      <c r="L140" s="2"/>
      <c r="M140" s="2"/>
      <c r="N140" s="2"/>
    </row>
    <row r="141" customFormat="false" ht="14.25" hidden="false" customHeight="false" outlineLevel="0" collapsed="false">
      <c r="A141" s="4" t="s">
        <v>225</v>
      </c>
      <c r="B141" s="4" t="s">
        <v>853</v>
      </c>
      <c r="C141" s="4" t="s">
        <v>75</v>
      </c>
      <c r="D141" s="8" t="b">
        <f aca="false">FALSE()</f>
        <v>0</v>
      </c>
      <c r="E141" s="5" t="n">
        <v>9</v>
      </c>
      <c r="F141" s="7" t="n">
        <f aca="false">E141/SUMIFS($E$2:$E$783,$A$2:$A$783,A141)</f>
        <v>0.115384615384615</v>
      </c>
      <c r="G141" s="5" t="n">
        <v>0</v>
      </c>
      <c r="H141" s="17" t="n">
        <v>44945</v>
      </c>
      <c r="I141" s="17" t="n">
        <v>45042</v>
      </c>
      <c r="J141" s="4" t="s">
        <v>859</v>
      </c>
      <c r="K141" s="4" t="s">
        <v>1001</v>
      </c>
      <c r="L141" s="2"/>
      <c r="M141" s="2"/>
      <c r="N141" s="2"/>
    </row>
    <row r="142" customFormat="false" ht="14.25" hidden="false" customHeight="false" outlineLevel="0" collapsed="false">
      <c r="A142" s="10" t="s">
        <v>226</v>
      </c>
      <c r="B142" s="10" t="s">
        <v>853</v>
      </c>
      <c r="C142" s="10" t="s">
        <v>166</v>
      </c>
      <c r="D142" s="14" t="b">
        <f aca="false">TRUE()</f>
        <v>1</v>
      </c>
      <c r="E142" s="11" t="n">
        <v>66</v>
      </c>
      <c r="F142" s="13" t="n">
        <f aca="false">E142/SUMIFS($E$2:$E$783,$A$2:$A$783,A142)</f>
        <v>0.904109589041096</v>
      </c>
      <c r="G142" s="11" t="n">
        <v>11</v>
      </c>
      <c r="H142" s="18" t="n">
        <v>44951</v>
      </c>
      <c r="I142" s="18" t="n">
        <v>46246</v>
      </c>
      <c r="J142" s="10" t="s">
        <v>854</v>
      </c>
      <c r="K142" s="10" t="s">
        <v>1002</v>
      </c>
      <c r="L142" s="2"/>
      <c r="M142" s="2"/>
      <c r="N142" s="2"/>
    </row>
    <row r="143" customFormat="false" ht="14.25" hidden="false" customHeight="false" outlineLevel="0" collapsed="false">
      <c r="A143" s="4" t="s">
        <v>226</v>
      </c>
      <c r="B143" s="4" t="s">
        <v>853</v>
      </c>
      <c r="C143" s="4" t="s">
        <v>75</v>
      </c>
      <c r="D143" s="8" t="b">
        <f aca="false">FALSE()</f>
        <v>0</v>
      </c>
      <c r="E143" s="5" t="n">
        <v>7</v>
      </c>
      <c r="F143" s="7" t="n">
        <f aca="false">E143/SUMIFS($E$2:$E$783,$A$2:$A$783,A143)</f>
        <v>0.0958904109589041</v>
      </c>
      <c r="G143" s="5" t="n">
        <v>0</v>
      </c>
      <c r="H143" s="17" t="n">
        <v>44943</v>
      </c>
      <c r="I143" s="17" t="n">
        <v>45028</v>
      </c>
      <c r="J143" s="4" t="s">
        <v>859</v>
      </c>
      <c r="K143" s="4" t="s">
        <v>1003</v>
      </c>
      <c r="L143" s="2"/>
      <c r="M143" s="2"/>
      <c r="N143" s="2"/>
    </row>
    <row r="144" customFormat="false" ht="14.25" hidden="false" customHeight="false" outlineLevel="0" collapsed="false">
      <c r="A144" s="10" t="s">
        <v>227</v>
      </c>
      <c r="B144" s="10" t="s">
        <v>853</v>
      </c>
      <c r="C144" s="10" t="s">
        <v>166</v>
      </c>
      <c r="D144" s="14" t="b">
        <f aca="false">TRUE()</f>
        <v>1</v>
      </c>
      <c r="E144" s="11" t="n">
        <v>64</v>
      </c>
      <c r="F144" s="13" t="n">
        <f aca="false">E144/SUMIFS($E$2:$E$783,$A$2:$A$783,A144)</f>
        <v>0.914285714285714</v>
      </c>
      <c r="G144" s="11" t="n">
        <v>8</v>
      </c>
      <c r="H144" s="18" t="n">
        <v>45060</v>
      </c>
      <c r="I144" s="18" t="n">
        <v>46249</v>
      </c>
      <c r="J144" s="10" t="s">
        <v>854</v>
      </c>
      <c r="K144" s="10" t="s">
        <v>1004</v>
      </c>
      <c r="L144" s="2"/>
      <c r="M144" s="2"/>
      <c r="N144" s="2"/>
    </row>
    <row r="145" customFormat="false" ht="14.25" hidden="false" customHeight="false" outlineLevel="0" collapsed="false">
      <c r="A145" s="4" t="s">
        <v>227</v>
      </c>
      <c r="B145" s="4" t="s">
        <v>853</v>
      </c>
      <c r="C145" s="4" t="s">
        <v>75</v>
      </c>
      <c r="D145" s="8" t="b">
        <f aca="false">FALSE()</f>
        <v>0</v>
      </c>
      <c r="E145" s="5" t="n">
        <v>6</v>
      </c>
      <c r="F145" s="7" t="n">
        <f aca="false">E145/SUMIFS($E$2:$E$783,$A$2:$A$783,A145)</f>
        <v>0.0857142857142857</v>
      </c>
      <c r="G145" s="5" t="n">
        <v>0</v>
      </c>
      <c r="H145" s="17" t="n">
        <v>44948</v>
      </c>
      <c r="I145" s="17" t="n">
        <v>45053</v>
      </c>
      <c r="J145" s="4" t="s">
        <v>859</v>
      </c>
      <c r="K145" s="4" t="s">
        <v>1005</v>
      </c>
      <c r="L145" s="2"/>
      <c r="M145" s="2"/>
      <c r="N145" s="2"/>
    </row>
    <row r="146" customFormat="false" ht="14.25" hidden="false" customHeight="false" outlineLevel="0" collapsed="false">
      <c r="A146" s="10" t="s">
        <v>231</v>
      </c>
      <c r="B146" s="10" t="s">
        <v>853</v>
      </c>
      <c r="C146" s="10" t="s">
        <v>166</v>
      </c>
      <c r="D146" s="14" t="b">
        <f aca="false">TRUE()</f>
        <v>1</v>
      </c>
      <c r="E146" s="11" t="n">
        <v>35</v>
      </c>
      <c r="F146" s="13" t="n">
        <f aca="false">E146/SUMIFS($E$2:$E$783,$A$2:$A$783,A146)</f>
        <v>0.921052631578947</v>
      </c>
      <c r="G146" s="11" t="n">
        <v>7</v>
      </c>
      <c r="H146" s="18" t="n">
        <v>45068</v>
      </c>
      <c r="I146" s="18" t="n">
        <v>46195</v>
      </c>
      <c r="J146" s="10" t="s">
        <v>854</v>
      </c>
      <c r="K146" s="10" t="s">
        <v>1006</v>
      </c>
      <c r="L146" s="2"/>
      <c r="M146" s="2"/>
      <c r="N146" s="2"/>
    </row>
    <row r="147" customFormat="false" ht="14.25" hidden="false" customHeight="false" outlineLevel="0" collapsed="false">
      <c r="A147" s="4" t="s">
        <v>231</v>
      </c>
      <c r="B147" s="4" t="s">
        <v>853</v>
      </c>
      <c r="C147" s="4" t="s">
        <v>75</v>
      </c>
      <c r="D147" s="8" t="b">
        <f aca="false">FALSE()</f>
        <v>0</v>
      </c>
      <c r="E147" s="5" t="n">
        <v>3</v>
      </c>
      <c r="F147" s="7" t="n">
        <f aca="false">E147/SUMIFS($E$2:$E$783,$A$2:$A$783,A147)</f>
        <v>0.0789473684210526</v>
      </c>
      <c r="G147" s="5" t="n">
        <v>0</v>
      </c>
      <c r="H147" s="17" t="n">
        <v>44958</v>
      </c>
      <c r="I147" s="17" t="n">
        <v>45042</v>
      </c>
      <c r="J147" s="4" t="s">
        <v>859</v>
      </c>
      <c r="K147" s="4" t="s">
        <v>1007</v>
      </c>
      <c r="L147" s="2"/>
      <c r="M147" s="2"/>
      <c r="N147" s="2"/>
    </row>
    <row r="148" customFormat="false" ht="14.25" hidden="false" customHeight="false" outlineLevel="0" collapsed="false">
      <c r="A148" s="10" t="s">
        <v>232</v>
      </c>
      <c r="B148" s="10" t="s">
        <v>853</v>
      </c>
      <c r="C148" s="10" t="s">
        <v>166</v>
      </c>
      <c r="D148" s="14" t="b">
        <f aca="false">TRUE()</f>
        <v>1</v>
      </c>
      <c r="E148" s="11" t="n">
        <v>20</v>
      </c>
      <c r="F148" s="13" t="n">
        <f aca="false">E148/SUMIFS($E$2:$E$783,$A$2:$A$783,A148)</f>
        <v>0.571428571428571</v>
      </c>
      <c r="G148" s="11" t="n">
        <v>0</v>
      </c>
      <c r="H148" s="18" t="n">
        <v>45056</v>
      </c>
      <c r="I148" s="18" t="n">
        <v>45177</v>
      </c>
      <c r="J148" s="10" t="s">
        <v>854</v>
      </c>
      <c r="K148" s="10" t="s">
        <v>1008</v>
      </c>
      <c r="L148" s="2"/>
      <c r="M148" s="2"/>
      <c r="N148" s="2"/>
    </row>
    <row r="149" customFormat="false" ht="14.25" hidden="false" customHeight="false" outlineLevel="0" collapsed="false">
      <c r="A149" s="4" t="s">
        <v>232</v>
      </c>
      <c r="B149" s="4" t="s">
        <v>853</v>
      </c>
      <c r="C149" s="4" t="s">
        <v>75</v>
      </c>
      <c r="D149" s="8" t="b">
        <f aca="false">FALSE()</f>
        <v>0</v>
      </c>
      <c r="E149" s="5" t="n">
        <v>15</v>
      </c>
      <c r="F149" s="7" t="n">
        <f aca="false">E149/SUMIFS($E$2:$E$783,$A$2:$A$783,A149)</f>
        <v>0.428571428571429</v>
      </c>
      <c r="G149" s="5" t="n">
        <v>0</v>
      </c>
      <c r="H149" s="17" t="n">
        <v>44928</v>
      </c>
      <c r="I149" s="17" t="n">
        <v>45055</v>
      </c>
      <c r="J149" s="4" t="s">
        <v>859</v>
      </c>
      <c r="K149" s="4" t="s">
        <v>969</v>
      </c>
      <c r="L149" s="2"/>
      <c r="M149" s="2"/>
      <c r="N149" s="2"/>
    </row>
    <row r="150" customFormat="false" ht="14.25" hidden="false" customHeight="false" outlineLevel="0" collapsed="false">
      <c r="A150" s="10" t="s">
        <v>233</v>
      </c>
      <c r="B150" s="10" t="s">
        <v>853</v>
      </c>
      <c r="C150" s="10" t="s">
        <v>166</v>
      </c>
      <c r="D150" s="14" t="b">
        <f aca="false">TRUE()</f>
        <v>1</v>
      </c>
      <c r="E150" s="11" t="n">
        <v>24</v>
      </c>
      <c r="F150" s="13" t="n">
        <f aca="false">E150/SUMIFS($E$2:$E$783,$A$2:$A$783,A150)</f>
        <v>0.705882352941177</v>
      </c>
      <c r="G150" s="11" t="n">
        <v>8</v>
      </c>
      <c r="H150" s="18" t="n">
        <v>44940</v>
      </c>
      <c r="I150" s="18" t="n">
        <v>46279</v>
      </c>
      <c r="J150" s="10" t="s">
        <v>854</v>
      </c>
      <c r="K150" s="10" t="s">
        <v>1009</v>
      </c>
      <c r="L150" s="2"/>
      <c r="M150" s="2"/>
      <c r="N150" s="2"/>
    </row>
    <row r="151" customFormat="false" ht="14.25" hidden="false" customHeight="false" outlineLevel="0" collapsed="false">
      <c r="A151" s="4" t="s">
        <v>233</v>
      </c>
      <c r="B151" s="4" t="s">
        <v>853</v>
      </c>
      <c r="C151" s="4" t="s">
        <v>75</v>
      </c>
      <c r="D151" s="8" t="b">
        <f aca="false">FALSE()</f>
        <v>0</v>
      </c>
      <c r="E151" s="5" t="n">
        <v>10</v>
      </c>
      <c r="F151" s="7" t="n">
        <f aca="false">E151/SUMIFS($E$2:$E$783,$A$2:$A$783,A151)</f>
        <v>0.294117647058824</v>
      </c>
      <c r="G151" s="5" t="n">
        <v>0</v>
      </c>
      <c r="H151" s="17" t="n">
        <v>44942</v>
      </c>
      <c r="I151" s="17" t="n">
        <v>45007</v>
      </c>
      <c r="J151" s="4" t="s">
        <v>859</v>
      </c>
      <c r="K151" s="4" t="s">
        <v>1010</v>
      </c>
      <c r="L151" s="2"/>
      <c r="M151" s="2"/>
      <c r="N151" s="2"/>
    </row>
    <row r="152" customFormat="false" ht="14.25" hidden="false" customHeight="false" outlineLevel="0" collapsed="false">
      <c r="A152" s="10" t="s">
        <v>234</v>
      </c>
      <c r="B152" s="10" t="s">
        <v>853</v>
      </c>
      <c r="C152" s="10" t="s">
        <v>166</v>
      </c>
      <c r="D152" s="14" t="b">
        <f aca="false">TRUE()</f>
        <v>1</v>
      </c>
      <c r="E152" s="11" t="n">
        <v>29</v>
      </c>
      <c r="F152" s="13" t="n">
        <f aca="false">E152/SUMIFS($E$2:$E$783,$A$2:$A$783,A152)</f>
        <v>0.878787878787879</v>
      </c>
      <c r="G152" s="11" t="n">
        <v>3</v>
      </c>
      <c r="H152" s="18" t="n">
        <v>44983</v>
      </c>
      <c r="I152" s="18" t="n">
        <v>46213</v>
      </c>
      <c r="J152" s="10" t="s">
        <v>854</v>
      </c>
      <c r="K152" s="10" t="s">
        <v>1011</v>
      </c>
      <c r="L152" s="2"/>
      <c r="M152" s="2"/>
      <c r="N152" s="2"/>
    </row>
    <row r="153" customFormat="false" ht="14.25" hidden="false" customHeight="false" outlineLevel="0" collapsed="false">
      <c r="A153" s="4" t="s">
        <v>234</v>
      </c>
      <c r="B153" s="4" t="s">
        <v>853</v>
      </c>
      <c r="C153" s="4" t="s">
        <v>75</v>
      </c>
      <c r="D153" s="8" t="b">
        <f aca="false">FALSE()</f>
        <v>0</v>
      </c>
      <c r="E153" s="5" t="n">
        <v>4</v>
      </c>
      <c r="F153" s="7" t="n">
        <f aca="false">E153/SUMIFS($E$2:$E$783,$A$2:$A$783,A153)</f>
        <v>0.121212121212121</v>
      </c>
      <c r="G153" s="5" t="n">
        <v>0</v>
      </c>
      <c r="H153" s="17" t="n">
        <v>44957</v>
      </c>
      <c r="I153" s="17" t="n">
        <v>44985</v>
      </c>
      <c r="J153" s="4" t="s">
        <v>859</v>
      </c>
      <c r="K153" s="4" t="s">
        <v>1012</v>
      </c>
      <c r="L153" s="2"/>
      <c r="M153" s="2"/>
      <c r="N153" s="2"/>
    </row>
    <row r="154" customFormat="false" ht="14.25" hidden="false" customHeight="false" outlineLevel="0" collapsed="false">
      <c r="A154" s="10" t="s">
        <v>235</v>
      </c>
      <c r="B154" s="10" t="s">
        <v>853</v>
      </c>
      <c r="C154" s="10" t="s">
        <v>166</v>
      </c>
      <c r="D154" s="14" t="b">
        <f aca="false">TRUE()</f>
        <v>1</v>
      </c>
      <c r="E154" s="11" t="n">
        <v>26</v>
      </c>
      <c r="F154" s="13" t="n">
        <f aca="false">E154/SUMIFS($E$2:$E$783,$A$2:$A$783,A154)</f>
        <v>0.866666666666667</v>
      </c>
      <c r="G154" s="11" t="n">
        <v>0</v>
      </c>
      <c r="H154" s="18" t="n">
        <v>45065</v>
      </c>
      <c r="I154" s="18" t="n">
        <v>45181</v>
      </c>
      <c r="J154" s="10" t="s">
        <v>854</v>
      </c>
      <c r="K154" s="10" t="s">
        <v>1013</v>
      </c>
      <c r="L154" s="2"/>
      <c r="M154" s="2"/>
      <c r="N154" s="2"/>
    </row>
    <row r="155" customFormat="false" ht="14.25" hidden="false" customHeight="false" outlineLevel="0" collapsed="false">
      <c r="A155" s="4" t="s">
        <v>235</v>
      </c>
      <c r="B155" s="4" t="s">
        <v>853</v>
      </c>
      <c r="C155" s="4" t="s">
        <v>75</v>
      </c>
      <c r="D155" s="8" t="b">
        <f aca="false">FALSE()</f>
        <v>0</v>
      </c>
      <c r="E155" s="5" t="n">
        <v>4</v>
      </c>
      <c r="F155" s="7" t="n">
        <f aca="false">E155/SUMIFS($E$2:$E$783,$A$2:$A$783,A155)</f>
        <v>0.133333333333333</v>
      </c>
      <c r="G155" s="5" t="n">
        <v>0</v>
      </c>
      <c r="H155" s="17" t="n">
        <v>44985</v>
      </c>
      <c r="I155" s="17" t="n">
        <v>45045</v>
      </c>
      <c r="J155" s="4" t="s">
        <v>859</v>
      </c>
      <c r="K155" s="4" t="s">
        <v>1014</v>
      </c>
      <c r="L155" s="2"/>
      <c r="M155" s="2"/>
      <c r="N155" s="2"/>
    </row>
    <row r="156" customFormat="false" ht="14.25" hidden="false" customHeight="false" outlineLevel="0" collapsed="false">
      <c r="A156" s="10" t="s">
        <v>236</v>
      </c>
      <c r="B156" s="10" t="s">
        <v>853</v>
      </c>
      <c r="C156" s="10" t="s">
        <v>166</v>
      </c>
      <c r="D156" s="14" t="b">
        <f aca="false">TRUE()</f>
        <v>1</v>
      </c>
      <c r="E156" s="11" t="n">
        <v>26</v>
      </c>
      <c r="F156" s="13" t="n">
        <f aca="false">E156/SUMIFS($E$2:$E$783,$A$2:$A$783,A156)</f>
        <v>0.962962962962963</v>
      </c>
      <c r="G156" s="11" t="n">
        <v>0</v>
      </c>
      <c r="H156" s="18" t="n">
        <v>45061</v>
      </c>
      <c r="I156" s="18" t="n">
        <v>45157</v>
      </c>
      <c r="J156" s="10" t="s">
        <v>854</v>
      </c>
      <c r="K156" s="10" t="s">
        <v>1015</v>
      </c>
      <c r="L156" s="2"/>
      <c r="M156" s="2"/>
      <c r="N156" s="2"/>
    </row>
    <row r="157" customFormat="false" ht="14.25" hidden="false" customHeight="false" outlineLevel="0" collapsed="false">
      <c r="A157" s="4" t="s">
        <v>236</v>
      </c>
      <c r="B157" s="4" t="s">
        <v>853</v>
      </c>
      <c r="C157" s="4" t="s">
        <v>75</v>
      </c>
      <c r="D157" s="8" t="b">
        <f aca="false">FALSE()</f>
        <v>0</v>
      </c>
      <c r="E157" s="5" t="n">
        <v>1</v>
      </c>
      <c r="F157" s="7" t="n">
        <f aca="false">E157/SUMIFS($E$2:$E$783,$A$2:$A$783,A157)</f>
        <v>0.037037037037037</v>
      </c>
      <c r="G157" s="5" t="n">
        <v>0</v>
      </c>
      <c r="H157" s="17" t="n">
        <v>44985</v>
      </c>
      <c r="I157" s="17" t="n">
        <v>44985</v>
      </c>
      <c r="J157" s="4" t="s">
        <v>859</v>
      </c>
      <c r="K157" s="4" t="s">
        <v>1016</v>
      </c>
      <c r="L157" s="2"/>
      <c r="M157" s="2"/>
      <c r="N157" s="2"/>
    </row>
    <row r="158" customFormat="false" ht="14.25" hidden="false" customHeight="false" outlineLevel="0" collapsed="false">
      <c r="A158" s="10" t="s">
        <v>237</v>
      </c>
      <c r="B158" s="10" t="s">
        <v>853</v>
      </c>
      <c r="C158" s="10" t="s">
        <v>166</v>
      </c>
      <c r="D158" s="14" t="b">
        <f aca="false">TRUE()</f>
        <v>1</v>
      </c>
      <c r="E158" s="11" t="n">
        <v>19</v>
      </c>
      <c r="F158" s="13" t="n">
        <f aca="false">E158/SUMIFS($E$2:$E$783,$A$2:$A$783,A158)</f>
        <v>0.730769230769231</v>
      </c>
      <c r="G158" s="11" t="n">
        <v>0</v>
      </c>
      <c r="H158" s="18" t="n">
        <v>45060</v>
      </c>
      <c r="I158" s="18" t="n">
        <v>45187</v>
      </c>
      <c r="J158" s="10" t="s">
        <v>854</v>
      </c>
      <c r="K158" s="10" t="s">
        <v>1017</v>
      </c>
      <c r="L158" s="2"/>
      <c r="M158" s="2"/>
      <c r="N158" s="2"/>
    </row>
    <row r="159" customFormat="false" ht="14.25" hidden="false" customHeight="false" outlineLevel="0" collapsed="false">
      <c r="A159" s="4" t="s">
        <v>237</v>
      </c>
      <c r="B159" s="4" t="s">
        <v>853</v>
      </c>
      <c r="C159" s="4" t="s">
        <v>75</v>
      </c>
      <c r="D159" s="8" t="b">
        <f aca="false">FALSE()</f>
        <v>0</v>
      </c>
      <c r="E159" s="5" t="n">
        <v>7</v>
      </c>
      <c r="F159" s="7" t="n">
        <f aca="false">E159/SUMIFS($E$2:$E$783,$A$2:$A$783,A159)</f>
        <v>0.269230769230769</v>
      </c>
      <c r="G159" s="5" t="n">
        <v>0</v>
      </c>
      <c r="H159" s="17" t="n">
        <v>44974</v>
      </c>
      <c r="I159" s="17" t="n">
        <v>45053</v>
      </c>
      <c r="J159" s="4" t="s">
        <v>859</v>
      </c>
      <c r="K159" s="4" t="s">
        <v>1018</v>
      </c>
      <c r="L159" s="2"/>
      <c r="M159" s="2"/>
      <c r="N159" s="2"/>
    </row>
    <row r="160" customFormat="false" ht="14.25" hidden="false" customHeight="false" outlineLevel="0" collapsed="false">
      <c r="A160" s="10" t="s">
        <v>244</v>
      </c>
      <c r="B160" s="10" t="s">
        <v>853</v>
      </c>
      <c r="C160" s="10" t="s">
        <v>166</v>
      </c>
      <c r="D160" s="14" t="b">
        <f aca="false">TRUE()</f>
        <v>1</v>
      </c>
      <c r="E160" s="11" t="n">
        <v>2</v>
      </c>
      <c r="F160" s="13" t="n">
        <f aca="false">E160/SUMIFS($E$2:$E$783,$A$2:$A$783,A160)</f>
        <v>0.666666666666667</v>
      </c>
      <c r="G160" s="11" t="n">
        <v>0</v>
      </c>
      <c r="H160" s="18" t="n">
        <v>45062</v>
      </c>
      <c r="I160" s="18" t="n">
        <v>45139</v>
      </c>
      <c r="J160" s="10" t="s">
        <v>854</v>
      </c>
      <c r="K160" s="10" t="s">
        <v>1019</v>
      </c>
      <c r="L160" s="2"/>
      <c r="M160" s="2"/>
      <c r="N160" s="2"/>
    </row>
    <row r="161" customFormat="false" ht="14.25" hidden="false" customHeight="false" outlineLevel="0" collapsed="false">
      <c r="A161" s="4" t="s">
        <v>244</v>
      </c>
      <c r="B161" s="4" t="s">
        <v>853</v>
      </c>
      <c r="C161" s="4" t="s">
        <v>75</v>
      </c>
      <c r="D161" s="8" t="b">
        <f aca="false">FALSE()</f>
        <v>0</v>
      </c>
      <c r="E161" s="5" t="n">
        <v>1</v>
      </c>
      <c r="F161" s="7" t="n">
        <f aca="false">E161/SUMIFS($E$2:$E$783,$A$2:$A$783,A161)</f>
        <v>0.333333333333333</v>
      </c>
      <c r="G161" s="5" t="n">
        <v>0</v>
      </c>
      <c r="H161" s="17" t="n">
        <v>44971</v>
      </c>
      <c r="I161" s="17" t="n">
        <v>44971</v>
      </c>
      <c r="J161" s="4" t="s">
        <v>859</v>
      </c>
      <c r="K161" s="4" t="s">
        <v>1020</v>
      </c>
      <c r="L161" s="2"/>
      <c r="M161" s="2"/>
      <c r="N161" s="2"/>
    </row>
    <row r="162" customFormat="false" ht="14.25" hidden="false" customHeight="false" outlineLevel="0" collapsed="false">
      <c r="A162" s="10" t="s">
        <v>248</v>
      </c>
      <c r="B162" s="10" t="s">
        <v>853</v>
      </c>
      <c r="C162" s="10" t="s">
        <v>249</v>
      </c>
      <c r="D162" s="14" t="b">
        <f aca="false">TRUE()</f>
        <v>1</v>
      </c>
      <c r="E162" s="11" t="n">
        <v>439</v>
      </c>
      <c r="F162" s="13" t="n">
        <f aca="false">E162/SUMIFS($E$2:$E$783,$A$2:$A$783,A162)</f>
        <v>0.969094922737307</v>
      </c>
      <c r="G162" s="11" t="n">
        <v>128</v>
      </c>
      <c r="H162" s="18" t="n">
        <v>45048</v>
      </c>
      <c r="I162" s="18" t="n">
        <v>46296</v>
      </c>
      <c r="J162" s="10" t="s">
        <v>854</v>
      </c>
      <c r="K162" s="10" t="s">
        <v>1021</v>
      </c>
      <c r="L162" s="2"/>
      <c r="M162" s="2"/>
      <c r="N162" s="2"/>
    </row>
    <row r="163" customFormat="false" ht="14.25" hidden="false" customHeight="false" outlineLevel="0" collapsed="false">
      <c r="A163" s="4" t="s">
        <v>248</v>
      </c>
      <c r="B163" s="4" t="s">
        <v>853</v>
      </c>
      <c r="C163" s="4" t="s">
        <v>807</v>
      </c>
      <c r="D163" s="8" t="b">
        <f aca="false">FALSE()</f>
        <v>0</v>
      </c>
      <c r="E163" s="5" t="n">
        <v>14</v>
      </c>
      <c r="F163" s="7" t="n">
        <f aca="false">E163/SUMIFS($E$2:$E$783,$A$2:$A$783,A163)</f>
        <v>0.0309050772626932</v>
      </c>
      <c r="G163" s="5" t="n">
        <v>0</v>
      </c>
      <c r="H163" s="17" t="n">
        <v>44949</v>
      </c>
      <c r="I163" s="17" t="n">
        <v>45044</v>
      </c>
      <c r="J163" s="4" t="s">
        <v>856</v>
      </c>
      <c r="K163" s="4" t="s">
        <v>1022</v>
      </c>
      <c r="L163" s="2"/>
      <c r="M163" s="2"/>
      <c r="N163" s="2"/>
    </row>
    <row r="164" customFormat="false" ht="14.25" hidden="false" customHeight="false" outlineLevel="0" collapsed="false">
      <c r="A164" s="10" t="s">
        <v>250</v>
      </c>
      <c r="B164" s="10" t="s">
        <v>853</v>
      </c>
      <c r="C164" s="10" t="s">
        <v>249</v>
      </c>
      <c r="D164" s="14" t="b">
        <f aca="false">TRUE()</f>
        <v>1</v>
      </c>
      <c r="E164" s="11" t="n">
        <v>190</v>
      </c>
      <c r="F164" s="13" t="n">
        <f aca="false">E164/SUMIFS($E$2:$E$783,$A$2:$A$783,A164)</f>
        <v>0.80168776371308</v>
      </c>
      <c r="G164" s="11" t="n">
        <v>144</v>
      </c>
      <c r="H164" s="18" t="n">
        <v>45777</v>
      </c>
      <c r="I164" s="18" t="n">
        <v>46294</v>
      </c>
      <c r="J164" s="10" t="s">
        <v>854</v>
      </c>
      <c r="K164" s="10" t="s">
        <v>1023</v>
      </c>
      <c r="L164" s="2"/>
      <c r="M164" s="2"/>
      <c r="N164" s="2"/>
    </row>
    <row r="165" customFormat="false" ht="14.25" hidden="false" customHeight="false" outlineLevel="0" collapsed="false">
      <c r="A165" s="4" t="s">
        <v>250</v>
      </c>
      <c r="B165" s="4" t="s">
        <v>853</v>
      </c>
      <c r="C165" s="4" t="s">
        <v>156</v>
      </c>
      <c r="D165" s="8" t="b">
        <f aca="false">FALSE()</f>
        <v>0</v>
      </c>
      <c r="E165" s="5" t="n">
        <v>39</v>
      </c>
      <c r="F165" s="7" t="n">
        <f aca="false">E165/SUMIFS($E$2:$E$783,$A$2:$A$783,A165)</f>
        <v>0.164556962025316</v>
      </c>
      <c r="G165" s="5" t="n">
        <v>0</v>
      </c>
      <c r="H165" s="17" t="n">
        <v>45062</v>
      </c>
      <c r="I165" s="17" t="n">
        <v>45777</v>
      </c>
      <c r="J165" s="4" t="s">
        <v>863</v>
      </c>
      <c r="K165" s="4" t="s">
        <v>1024</v>
      </c>
      <c r="L165" s="2"/>
      <c r="M165" s="2"/>
      <c r="N165" s="2"/>
    </row>
    <row r="166" customFormat="false" ht="14.25" hidden="false" customHeight="false" outlineLevel="0" collapsed="false">
      <c r="A166" s="4" t="s">
        <v>250</v>
      </c>
      <c r="B166" s="4" t="s">
        <v>853</v>
      </c>
      <c r="C166" s="4" t="s">
        <v>119</v>
      </c>
      <c r="D166" s="8" t="b">
        <f aca="false">FALSE()</f>
        <v>0</v>
      </c>
      <c r="E166" s="5" t="n">
        <v>8</v>
      </c>
      <c r="F166" s="7" t="n">
        <f aca="false">E166/SUMIFS($E$2:$E$783,$A$2:$A$783,A166)</f>
        <v>0.0337552742616034</v>
      </c>
      <c r="G166" s="5" t="n">
        <v>0</v>
      </c>
      <c r="H166" s="17" t="n">
        <v>44931</v>
      </c>
      <c r="I166" s="17" t="n">
        <v>45047</v>
      </c>
      <c r="J166" s="4" t="s">
        <v>859</v>
      </c>
      <c r="K166" s="4" t="s">
        <v>1025</v>
      </c>
      <c r="L166" s="2"/>
      <c r="M166" s="2"/>
      <c r="N166" s="2"/>
    </row>
    <row r="167" customFormat="false" ht="14.25" hidden="false" customHeight="false" outlineLevel="0" collapsed="false">
      <c r="A167" s="10" t="s">
        <v>252</v>
      </c>
      <c r="B167" s="10" t="s">
        <v>853</v>
      </c>
      <c r="C167" s="10" t="s">
        <v>249</v>
      </c>
      <c r="D167" s="14" t="b">
        <f aca="false">TRUE()</f>
        <v>1</v>
      </c>
      <c r="E167" s="11" t="n">
        <v>203</v>
      </c>
      <c r="F167" s="13" t="n">
        <f aca="false">E167/SUMIFS($E$2:$E$783,$A$2:$A$783,A167)</f>
        <v>0.918552036199095</v>
      </c>
      <c r="G167" s="11" t="n">
        <v>0</v>
      </c>
      <c r="H167" s="18" t="n">
        <v>45032</v>
      </c>
      <c r="I167" s="18" t="n">
        <v>45769</v>
      </c>
      <c r="J167" s="10" t="s">
        <v>854</v>
      </c>
      <c r="K167" s="10" t="s">
        <v>1026</v>
      </c>
      <c r="L167" s="2"/>
      <c r="M167" s="2"/>
      <c r="N167" s="2"/>
    </row>
    <row r="168" customFormat="false" ht="14.25" hidden="false" customHeight="false" outlineLevel="0" collapsed="false">
      <c r="A168" s="4" t="s">
        <v>252</v>
      </c>
      <c r="B168" s="4" t="s">
        <v>853</v>
      </c>
      <c r="C168" s="4" t="s">
        <v>807</v>
      </c>
      <c r="D168" s="8" t="b">
        <f aca="false">FALSE()</f>
        <v>0</v>
      </c>
      <c r="E168" s="5" t="n">
        <v>18</v>
      </c>
      <c r="F168" s="7" t="n">
        <f aca="false">E168/SUMIFS($E$2:$E$783,$A$2:$A$783,A168)</f>
        <v>0.081447963800905</v>
      </c>
      <c r="G168" s="5" t="n">
        <v>0</v>
      </c>
      <c r="H168" s="17" t="n">
        <v>44928</v>
      </c>
      <c r="I168" s="17" t="n">
        <v>45036</v>
      </c>
      <c r="J168" s="4" t="s">
        <v>856</v>
      </c>
      <c r="K168" s="4" t="s">
        <v>1027</v>
      </c>
      <c r="L168" s="2"/>
      <c r="M168" s="2"/>
      <c r="N168" s="2"/>
    </row>
    <row r="169" customFormat="false" ht="14.25" hidden="false" customHeight="false" outlineLevel="0" collapsed="false">
      <c r="A169" s="10" t="s">
        <v>253</v>
      </c>
      <c r="B169" s="10" t="s">
        <v>853</v>
      </c>
      <c r="C169" s="10" t="s">
        <v>249</v>
      </c>
      <c r="D169" s="14" t="b">
        <f aca="false">TRUE()</f>
        <v>1</v>
      </c>
      <c r="E169" s="11" t="n">
        <v>130</v>
      </c>
      <c r="F169" s="13" t="n">
        <f aca="false">E169/SUMIFS($E$2:$E$783,$A$2:$A$783,A169)</f>
        <v>0.948905109489051</v>
      </c>
      <c r="G169" s="11" t="n">
        <v>19</v>
      </c>
      <c r="H169" s="18" t="n">
        <v>45041</v>
      </c>
      <c r="I169" s="18" t="n">
        <v>46293</v>
      </c>
      <c r="J169" s="10" t="s">
        <v>854</v>
      </c>
      <c r="K169" s="10" t="s">
        <v>1028</v>
      </c>
      <c r="L169" s="2"/>
      <c r="M169" s="2"/>
      <c r="N169" s="2"/>
    </row>
    <row r="170" customFormat="false" ht="14.25" hidden="false" customHeight="false" outlineLevel="0" collapsed="false">
      <c r="A170" s="4" t="s">
        <v>253</v>
      </c>
      <c r="B170" s="4" t="s">
        <v>853</v>
      </c>
      <c r="C170" s="4" t="s">
        <v>807</v>
      </c>
      <c r="D170" s="8" t="b">
        <f aca="false">FALSE()</f>
        <v>0</v>
      </c>
      <c r="E170" s="5" t="n">
        <v>7</v>
      </c>
      <c r="F170" s="7" t="n">
        <f aca="false">E170/SUMIFS($E$2:$E$783,$A$2:$A$783,A170)</f>
        <v>0.0510948905109489</v>
      </c>
      <c r="G170" s="5" t="n">
        <v>0</v>
      </c>
      <c r="H170" s="17" t="n">
        <v>44952</v>
      </c>
      <c r="I170" s="17" t="n">
        <v>45044</v>
      </c>
      <c r="J170" s="4" t="s">
        <v>856</v>
      </c>
      <c r="K170" s="4" t="s">
        <v>1029</v>
      </c>
      <c r="L170" s="2"/>
      <c r="M170" s="2"/>
      <c r="N170" s="2"/>
    </row>
    <row r="171" customFormat="false" ht="14.25" hidden="false" customHeight="false" outlineLevel="0" collapsed="false">
      <c r="A171" s="10" t="s">
        <v>257</v>
      </c>
      <c r="B171" s="10" t="s">
        <v>853</v>
      </c>
      <c r="C171" s="10" t="s">
        <v>258</v>
      </c>
      <c r="D171" s="14" t="b">
        <f aca="false">TRUE()</f>
        <v>1</v>
      </c>
      <c r="E171" s="11" t="n">
        <v>22821</v>
      </c>
      <c r="F171" s="13" t="n">
        <f aca="false">E171/SUMIFS($E$2:$E$783,$A$2:$A$783,A171)</f>
        <v>0.957015851715172</v>
      </c>
      <c r="G171" s="11" t="n">
        <v>5364</v>
      </c>
      <c r="H171" s="18" t="n">
        <v>44928</v>
      </c>
      <c r="I171" s="18" t="n">
        <v>46296</v>
      </c>
      <c r="J171" s="10" t="s">
        <v>854</v>
      </c>
      <c r="K171" s="10" t="s">
        <v>936</v>
      </c>
      <c r="L171" s="2"/>
      <c r="M171" s="2"/>
      <c r="N171" s="2"/>
    </row>
    <row r="172" customFormat="false" ht="14.25" hidden="false" customHeight="false" outlineLevel="0" collapsed="false">
      <c r="A172" s="4" t="s">
        <v>257</v>
      </c>
      <c r="B172" s="4" t="s">
        <v>853</v>
      </c>
      <c r="C172" s="4" t="s">
        <v>809</v>
      </c>
      <c r="D172" s="8" t="b">
        <f aca="false">FALSE()</f>
        <v>0</v>
      </c>
      <c r="E172" s="5" t="n">
        <v>991</v>
      </c>
      <c r="F172" s="7" t="n">
        <f aca="false">E172/SUMIFS($E$2:$E$783,$A$2:$A$783,A172)</f>
        <v>0.0415583326344041</v>
      </c>
      <c r="G172" s="5" t="n">
        <v>0</v>
      </c>
      <c r="H172" s="17" t="n">
        <v>44928</v>
      </c>
      <c r="I172" s="17" t="n">
        <v>45048</v>
      </c>
      <c r="J172" s="4" t="s">
        <v>856</v>
      </c>
      <c r="K172" s="4" t="s">
        <v>1030</v>
      </c>
      <c r="L172" s="2"/>
      <c r="M172" s="2"/>
      <c r="N172" s="2"/>
    </row>
    <row r="173" customFormat="false" ht="14.25" hidden="false" customHeight="false" outlineLevel="0" collapsed="false">
      <c r="A173" s="4" t="s">
        <v>257</v>
      </c>
      <c r="B173" s="4" t="s">
        <v>853</v>
      </c>
      <c r="C173" s="4" t="s">
        <v>119</v>
      </c>
      <c r="D173" s="8" t="b">
        <f aca="false">FALSE()</f>
        <v>0</v>
      </c>
      <c r="E173" s="5" t="n">
        <v>34</v>
      </c>
      <c r="F173" s="7" t="n">
        <f aca="false">E173/SUMIFS($E$2:$E$783,$A$2:$A$783,A173)</f>
        <v>0.00142581565042355</v>
      </c>
      <c r="G173" s="5" t="n">
        <v>0</v>
      </c>
      <c r="H173" s="17" t="n">
        <v>44957</v>
      </c>
      <c r="I173" s="17" t="n">
        <v>44972</v>
      </c>
      <c r="J173" s="4" t="s">
        <v>859</v>
      </c>
      <c r="K173" s="4" t="s">
        <v>1031</v>
      </c>
      <c r="L173" s="2"/>
      <c r="M173" s="2"/>
      <c r="N173" s="2"/>
    </row>
    <row r="174" customFormat="false" ht="14.25" hidden="false" customHeight="false" outlineLevel="0" collapsed="false">
      <c r="A174" s="10" t="s">
        <v>259</v>
      </c>
      <c r="B174" s="10" t="s">
        <v>853</v>
      </c>
      <c r="C174" s="10" t="s">
        <v>258</v>
      </c>
      <c r="D174" s="14" t="b">
        <f aca="false">TRUE()</f>
        <v>1</v>
      </c>
      <c r="E174" s="11" t="n">
        <v>7073</v>
      </c>
      <c r="F174" s="13" t="n">
        <f aca="false">E174/SUMIFS($E$2:$E$783,$A$2:$A$783,A174)</f>
        <v>0.931147972617167</v>
      </c>
      <c r="G174" s="11" t="n">
        <v>1752</v>
      </c>
      <c r="H174" s="18" t="n">
        <v>44935</v>
      </c>
      <c r="I174" s="18" t="n">
        <v>46296</v>
      </c>
      <c r="J174" s="10" t="s">
        <v>854</v>
      </c>
      <c r="K174" s="10" t="s">
        <v>939</v>
      </c>
      <c r="L174" s="2"/>
      <c r="M174" s="2"/>
      <c r="N174" s="2"/>
    </row>
    <row r="175" customFormat="false" ht="14.25" hidden="false" customHeight="false" outlineLevel="0" collapsed="false">
      <c r="A175" s="4" t="s">
        <v>259</v>
      </c>
      <c r="B175" s="4" t="s">
        <v>853</v>
      </c>
      <c r="C175" s="4" t="s">
        <v>129</v>
      </c>
      <c r="D175" s="8" t="b">
        <f aca="false">FALSE()</f>
        <v>0</v>
      </c>
      <c r="E175" s="5" t="n">
        <v>417</v>
      </c>
      <c r="F175" s="7" t="n">
        <f aca="false">E175/SUMIFS($E$2:$E$783,$A$2:$A$783,A175)</f>
        <v>0.0548973143759874</v>
      </c>
      <c r="G175" s="5" t="n">
        <v>0</v>
      </c>
      <c r="H175" s="17" t="n">
        <v>44928</v>
      </c>
      <c r="I175" s="17" t="n">
        <v>45007</v>
      </c>
      <c r="J175" s="4" t="s">
        <v>859</v>
      </c>
      <c r="K175" s="4" t="s">
        <v>1032</v>
      </c>
      <c r="L175" s="2"/>
      <c r="M175" s="2"/>
      <c r="N175" s="2"/>
    </row>
    <row r="176" customFormat="false" ht="14.25" hidden="false" customHeight="false" outlineLevel="0" collapsed="false">
      <c r="A176" s="4" t="s">
        <v>259</v>
      </c>
      <c r="B176" s="4" t="s">
        <v>853</v>
      </c>
      <c r="C176" s="4" t="s">
        <v>809</v>
      </c>
      <c r="D176" s="8" t="b">
        <f aca="false">FALSE()</f>
        <v>0</v>
      </c>
      <c r="E176" s="5" t="n">
        <v>106</v>
      </c>
      <c r="F176" s="7" t="n">
        <f aca="false">E176/SUMIFS($E$2:$E$783,$A$2:$A$783,A176)</f>
        <v>0.0139547130068457</v>
      </c>
      <c r="G176" s="5" t="n">
        <v>0</v>
      </c>
      <c r="H176" s="17" t="n">
        <v>44992</v>
      </c>
      <c r="I176" s="17" t="n">
        <v>45053</v>
      </c>
      <c r="J176" s="4" t="s">
        <v>856</v>
      </c>
      <c r="K176" s="4" t="s">
        <v>1033</v>
      </c>
      <c r="L176" s="2"/>
      <c r="M176" s="2"/>
      <c r="N176" s="2"/>
    </row>
    <row r="177" customFormat="false" ht="14.25" hidden="false" customHeight="false" outlineLevel="0" collapsed="false">
      <c r="A177" s="10" t="s">
        <v>260</v>
      </c>
      <c r="B177" s="10" t="s">
        <v>853</v>
      </c>
      <c r="C177" s="10" t="s">
        <v>258</v>
      </c>
      <c r="D177" s="14" t="b">
        <f aca="false">TRUE()</f>
        <v>1</v>
      </c>
      <c r="E177" s="11" t="n">
        <v>6245</v>
      </c>
      <c r="F177" s="13" t="n">
        <f aca="false">E177/SUMIFS($E$2:$E$783,$A$2:$A$783,A177)</f>
        <v>0.938110259876821</v>
      </c>
      <c r="G177" s="11" t="n">
        <v>1388</v>
      </c>
      <c r="H177" s="18" t="n">
        <v>44931</v>
      </c>
      <c r="I177" s="18" t="n">
        <v>46296</v>
      </c>
      <c r="J177" s="10" t="s">
        <v>854</v>
      </c>
      <c r="K177" s="10" t="s">
        <v>943</v>
      </c>
      <c r="L177" s="2"/>
      <c r="M177" s="2"/>
      <c r="N177" s="2"/>
    </row>
    <row r="178" customFormat="false" ht="14.25" hidden="false" customHeight="false" outlineLevel="0" collapsed="false">
      <c r="A178" s="4" t="s">
        <v>260</v>
      </c>
      <c r="B178" s="4" t="s">
        <v>853</v>
      </c>
      <c r="C178" s="4" t="s">
        <v>129</v>
      </c>
      <c r="D178" s="8" t="b">
        <f aca="false">FALSE()</f>
        <v>0</v>
      </c>
      <c r="E178" s="5" t="n">
        <v>295</v>
      </c>
      <c r="F178" s="7" t="n">
        <f aca="false">E178/SUMIFS($E$2:$E$783,$A$2:$A$783,A178)</f>
        <v>0.0443142556707226</v>
      </c>
      <c r="G178" s="5" t="n">
        <v>0</v>
      </c>
      <c r="H178" s="17" t="n">
        <v>44928</v>
      </c>
      <c r="I178" s="17" t="n">
        <v>45008</v>
      </c>
      <c r="J178" s="4" t="s">
        <v>859</v>
      </c>
      <c r="K178" s="4" t="s">
        <v>1034</v>
      </c>
      <c r="L178" s="2"/>
      <c r="M178" s="2"/>
      <c r="N178" s="2"/>
    </row>
    <row r="179" customFormat="false" ht="14.25" hidden="false" customHeight="false" outlineLevel="0" collapsed="false">
      <c r="A179" s="4" t="s">
        <v>260</v>
      </c>
      <c r="B179" s="4" t="s">
        <v>853</v>
      </c>
      <c r="C179" s="4" t="s">
        <v>809</v>
      </c>
      <c r="D179" s="8" t="b">
        <f aca="false">FALSE()</f>
        <v>0</v>
      </c>
      <c r="E179" s="5" t="n">
        <v>117</v>
      </c>
      <c r="F179" s="7" t="n">
        <f aca="false">E179/SUMIFS($E$2:$E$783,$A$2:$A$783,A179)</f>
        <v>0.0175754844524561</v>
      </c>
      <c r="G179" s="5" t="n">
        <v>0</v>
      </c>
      <c r="H179" s="17" t="n">
        <v>44971</v>
      </c>
      <c r="I179" s="17" t="n">
        <v>45052</v>
      </c>
      <c r="J179" s="4" t="s">
        <v>856</v>
      </c>
      <c r="K179" s="4" t="s">
        <v>1035</v>
      </c>
      <c r="L179" s="2"/>
      <c r="M179" s="2"/>
      <c r="N179" s="2"/>
    </row>
    <row r="180" customFormat="false" ht="14.25" hidden="false" customHeight="false" outlineLevel="0" collapsed="false">
      <c r="A180" s="10" t="s">
        <v>261</v>
      </c>
      <c r="B180" s="10" t="s">
        <v>853</v>
      </c>
      <c r="C180" s="10" t="s">
        <v>258</v>
      </c>
      <c r="D180" s="14" t="b">
        <f aca="false">TRUE()</f>
        <v>1</v>
      </c>
      <c r="E180" s="11" t="n">
        <v>5332</v>
      </c>
      <c r="F180" s="13" t="n">
        <f aca="false">E180/SUMIFS($E$2:$E$783,$A$2:$A$783,A180)</f>
        <v>0.934291221307167</v>
      </c>
      <c r="G180" s="11" t="n">
        <v>1248</v>
      </c>
      <c r="H180" s="18" t="n">
        <v>44999</v>
      </c>
      <c r="I180" s="18" t="n">
        <v>46296</v>
      </c>
      <c r="J180" s="10" t="s">
        <v>854</v>
      </c>
      <c r="K180" s="10" t="s">
        <v>1036</v>
      </c>
      <c r="L180" s="2"/>
      <c r="M180" s="2"/>
      <c r="N180" s="2"/>
    </row>
    <row r="181" customFormat="false" ht="14.25" hidden="false" customHeight="false" outlineLevel="0" collapsed="false">
      <c r="A181" s="4" t="s">
        <v>261</v>
      </c>
      <c r="B181" s="4" t="s">
        <v>853</v>
      </c>
      <c r="C181" s="4" t="s">
        <v>809</v>
      </c>
      <c r="D181" s="8" t="b">
        <f aca="false">FALSE()</f>
        <v>0</v>
      </c>
      <c r="E181" s="5" t="n">
        <v>375</v>
      </c>
      <c r="F181" s="7" t="n">
        <f aca="false">E181/SUMIFS($E$2:$E$783,$A$2:$A$783,A181)</f>
        <v>0.0657087786928334</v>
      </c>
      <c r="G181" s="5" t="n">
        <v>0</v>
      </c>
      <c r="H181" s="17" t="n">
        <v>44994</v>
      </c>
      <c r="I181" s="17" t="n">
        <v>45053</v>
      </c>
      <c r="J181" s="4" t="s">
        <v>856</v>
      </c>
      <c r="K181" s="4" t="s">
        <v>1037</v>
      </c>
      <c r="L181" s="2"/>
      <c r="M181" s="2"/>
      <c r="N181" s="2"/>
    </row>
    <row r="182" customFormat="false" ht="14.25" hidden="false" customHeight="false" outlineLevel="0" collapsed="false">
      <c r="A182" s="10" t="s">
        <v>262</v>
      </c>
      <c r="B182" s="10" t="s">
        <v>853</v>
      </c>
      <c r="C182" s="10" t="s">
        <v>258</v>
      </c>
      <c r="D182" s="14" t="b">
        <f aca="false">TRUE()</f>
        <v>1</v>
      </c>
      <c r="E182" s="11" t="n">
        <v>5365</v>
      </c>
      <c r="F182" s="13" t="n">
        <f aca="false">E182/SUMIFS($E$2:$E$783,$A$2:$A$783,A182)</f>
        <v>0.957010346057795</v>
      </c>
      <c r="G182" s="11" t="n">
        <v>342</v>
      </c>
      <c r="H182" s="18" t="n">
        <v>45038</v>
      </c>
      <c r="I182" s="18" t="n">
        <v>46296</v>
      </c>
      <c r="J182" s="10" t="s">
        <v>854</v>
      </c>
      <c r="K182" s="10" t="s">
        <v>1038</v>
      </c>
      <c r="L182" s="2"/>
      <c r="M182" s="2"/>
      <c r="N182" s="2"/>
    </row>
    <row r="183" customFormat="false" ht="14.25" hidden="false" customHeight="false" outlineLevel="0" collapsed="false">
      <c r="A183" s="4" t="s">
        <v>262</v>
      </c>
      <c r="B183" s="4" t="s">
        <v>853</v>
      </c>
      <c r="C183" s="4" t="s">
        <v>809</v>
      </c>
      <c r="D183" s="8" t="b">
        <f aca="false">FALSE()</f>
        <v>0</v>
      </c>
      <c r="E183" s="5" t="n">
        <v>229</v>
      </c>
      <c r="F183" s="7" t="n">
        <f aca="false">E183/SUMIFS($E$2:$E$783,$A$2:$A$783,A183)</f>
        <v>0.0408490902604353</v>
      </c>
      <c r="G183" s="5" t="n">
        <v>0</v>
      </c>
      <c r="H183" s="17" t="n">
        <v>44933</v>
      </c>
      <c r="I183" s="17" t="n">
        <v>45043</v>
      </c>
      <c r="J183" s="4" t="s">
        <v>856</v>
      </c>
      <c r="K183" s="4" t="s">
        <v>1039</v>
      </c>
      <c r="L183" s="2"/>
      <c r="M183" s="2"/>
      <c r="N183" s="2"/>
    </row>
    <row r="184" customFormat="false" ht="14.25" hidden="false" customHeight="false" outlineLevel="0" collapsed="false">
      <c r="A184" s="4" t="s">
        <v>262</v>
      </c>
      <c r="B184" s="4" t="s">
        <v>853</v>
      </c>
      <c r="C184" s="4" t="s">
        <v>119</v>
      </c>
      <c r="D184" s="8" t="b">
        <f aca="false">FALSE()</f>
        <v>0</v>
      </c>
      <c r="E184" s="5" t="n">
        <v>12</v>
      </c>
      <c r="F184" s="7" t="n">
        <f aca="false">E184/SUMIFS($E$2:$E$783,$A$2:$A$783,A184)</f>
        <v>0.00214056368176953</v>
      </c>
      <c r="G184" s="5" t="n">
        <v>0</v>
      </c>
      <c r="H184" s="17" t="n">
        <v>44943</v>
      </c>
      <c r="I184" s="17" t="n">
        <v>44965</v>
      </c>
      <c r="J184" s="4" t="s">
        <v>859</v>
      </c>
      <c r="K184" s="4" t="s">
        <v>1040</v>
      </c>
      <c r="L184" s="2"/>
      <c r="M184" s="2"/>
      <c r="N184" s="2"/>
    </row>
    <row r="185" customFormat="false" ht="14.25" hidden="false" customHeight="false" outlineLevel="0" collapsed="false">
      <c r="A185" s="10" t="s">
        <v>263</v>
      </c>
      <c r="B185" s="10" t="s">
        <v>853</v>
      </c>
      <c r="C185" s="10" t="s">
        <v>258</v>
      </c>
      <c r="D185" s="14" t="b">
        <f aca="false">TRUE()</f>
        <v>1</v>
      </c>
      <c r="E185" s="11" t="n">
        <v>3906</v>
      </c>
      <c r="F185" s="13" t="n">
        <f aca="false">E185/SUMIFS($E$2:$E$783,$A$2:$A$783,A185)</f>
        <v>0.898757478140819</v>
      </c>
      <c r="G185" s="11" t="n">
        <v>1150</v>
      </c>
      <c r="H185" s="18" t="n">
        <v>45007</v>
      </c>
      <c r="I185" s="18" t="n">
        <v>46294</v>
      </c>
      <c r="J185" s="10" t="s">
        <v>854</v>
      </c>
      <c r="K185" s="10" t="s">
        <v>1041</v>
      </c>
      <c r="L185" s="2"/>
      <c r="M185" s="2"/>
      <c r="N185" s="2"/>
    </row>
    <row r="186" customFormat="false" ht="14.25" hidden="false" customHeight="false" outlineLevel="0" collapsed="false">
      <c r="A186" s="4" t="s">
        <v>263</v>
      </c>
      <c r="B186" s="4" t="s">
        <v>853</v>
      </c>
      <c r="C186" s="4" t="s">
        <v>809</v>
      </c>
      <c r="D186" s="8" t="b">
        <f aca="false">FALSE()</f>
        <v>0</v>
      </c>
      <c r="E186" s="5" t="n">
        <v>440</v>
      </c>
      <c r="F186" s="7" t="n">
        <f aca="false">E186/SUMIFS($E$2:$E$783,$A$2:$A$783,A186)</f>
        <v>0.101242521859181</v>
      </c>
      <c r="G186" s="5" t="n">
        <v>0</v>
      </c>
      <c r="H186" s="17" t="n">
        <v>45006</v>
      </c>
      <c r="I186" s="17" t="n">
        <v>45051</v>
      </c>
      <c r="J186" s="4" t="s">
        <v>856</v>
      </c>
      <c r="K186" s="4" t="s">
        <v>1042</v>
      </c>
      <c r="L186" s="2"/>
      <c r="M186" s="2"/>
      <c r="N186" s="2"/>
    </row>
    <row r="187" customFormat="false" ht="14.25" hidden="false" customHeight="false" outlineLevel="0" collapsed="false">
      <c r="A187" s="10" t="s">
        <v>264</v>
      </c>
      <c r="B187" s="10" t="s">
        <v>853</v>
      </c>
      <c r="C187" s="10" t="s">
        <v>258</v>
      </c>
      <c r="D187" s="14" t="b">
        <f aca="false">TRUE()</f>
        <v>1</v>
      </c>
      <c r="E187" s="11" t="n">
        <v>3399</v>
      </c>
      <c r="F187" s="13" t="n">
        <f aca="false">E187/SUMIFS($E$2:$E$783,$A$2:$A$783,A187)</f>
        <v>0.982938114517062</v>
      </c>
      <c r="G187" s="11" t="n">
        <v>0</v>
      </c>
      <c r="H187" s="18" t="n">
        <v>44928</v>
      </c>
      <c r="I187" s="18" t="n">
        <v>46002</v>
      </c>
      <c r="J187" s="10" t="s">
        <v>854</v>
      </c>
      <c r="K187" s="10" t="s">
        <v>1043</v>
      </c>
      <c r="L187" s="2"/>
      <c r="M187" s="2"/>
      <c r="N187" s="2"/>
    </row>
    <row r="188" customFormat="false" ht="14.25" hidden="false" customHeight="false" outlineLevel="0" collapsed="false">
      <c r="A188" s="4" t="s">
        <v>264</v>
      </c>
      <c r="B188" s="4" t="s">
        <v>853</v>
      </c>
      <c r="C188" s="4" t="s">
        <v>129</v>
      </c>
      <c r="D188" s="8" t="b">
        <f aca="false">FALSE()</f>
        <v>0</v>
      </c>
      <c r="E188" s="5" t="n">
        <v>50</v>
      </c>
      <c r="F188" s="7" t="n">
        <f aca="false">E188/SUMIFS($E$2:$E$783,$A$2:$A$783,A188)</f>
        <v>0.0144592249855408</v>
      </c>
      <c r="G188" s="5" t="n">
        <v>0</v>
      </c>
      <c r="H188" s="17" t="n">
        <v>44928</v>
      </c>
      <c r="I188" s="17" t="n">
        <v>45027</v>
      </c>
      <c r="J188" s="4" t="s">
        <v>859</v>
      </c>
      <c r="K188" s="4" t="s">
        <v>1044</v>
      </c>
      <c r="L188" s="2"/>
      <c r="M188" s="2"/>
      <c r="N188" s="2"/>
    </row>
    <row r="189" customFormat="false" ht="14.25" hidden="false" customHeight="false" outlineLevel="0" collapsed="false">
      <c r="A189" s="4" t="s">
        <v>264</v>
      </c>
      <c r="B189" s="4" t="s">
        <v>853</v>
      </c>
      <c r="C189" s="4" t="s">
        <v>809</v>
      </c>
      <c r="D189" s="8" t="b">
        <f aca="false">FALSE()</f>
        <v>0</v>
      </c>
      <c r="E189" s="5" t="n">
        <v>9</v>
      </c>
      <c r="F189" s="7" t="n">
        <f aca="false">E189/SUMIFS($E$2:$E$783,$A$2:$A$783,A189)</f>
        <v>0.00260266049739734</v>
      </c>
      <c r="G189" s="5" t="n">
        <v>0</v>
      </c>
      <c r="H189" s="17" t="n">
        <v>44931</v>
      </c>
      <c r="I189" s="17" t="n">
        <v>45052</v>
      </c>
      <c r="J189" s="4" t="s">
        <v>856</v>
      </c>
      <c r="K189" s="4" t="s">
        <v>1045</v>
      </c>
      <c r="L189" s="2"/>
      <c r="M189" s="2"/>
      <c r="N189" s="2"/>
    </row>
    <row r="190" customFormat="false" ht="14.25" hidden="false" customHeight="false" outlineLevel="0" collapsed="false">
      <c r="A190" s="10" t="s">
        <v>265</v>
      </c>
      <c r="B190" s="10" t="s">
        <v>853</v>
      </c>
      <c r="C190" s="10" t="s">
        <v>258</v>
      </c>
      <c r="D190" s="14" t="b">
        <f aca="false">TRUE()</f>
        <v>1</v>
      </c>
      <c r="E190" s="11" t="n">
        <v>2247</v>
      </c>
      <c r="F190" s="13" t="n">
        <f aca="false">E190/SUMIFS($E$2:$E$783,$A$2:$A$783,A190)</f>
        <v>0.910085054678007</v>
      </c>
      <c r="G190" s="11" t="n">
        <v>593</v>
      </c>
      <c r="H190" s="18" t="n">
        <v>44938</v>
      </c>
      <c r="I190" s="18" t="n">
        <v>46296</v>
      </c>
      <c r="J190" s="10" t="s">
        <v>854</v>
      </c>
      <c r="K190" s="10" t="s">
        <v>934</v>
      </c>
      <c r="L190" s="2"/>
      <c r="M190" s="2"/>
      <c r="N190" s="2"/>
    </row>
    <row r="191" customFormat="false" ht="14.25" hidden="false" customHeight="false" outlineLevel="0" collapsed="false">
      <c r="A191" s="4" t="s">
        <v>265</v>
      </c>
      <c r="B191" s="4" t="s">
        <v>853</v>
      </c>
      <c r="C191" s="4" t="s">
        <v>129</v>
      </c>
      <c r="D191" s="8" t="b">
        <f aca="false">FALSE()</f>
        <v>0</v>
      </c>
      <c r="E191" s="5" t="n">
        <v>150</v>
      </c>
      <c r="F191" s="7" t="n">
        <f aca="false">E191/SUMIFS($E$2:$E$783,$A$2:$A$783,A191)</f>
        <v>0.0607533414337789</v>
      </c>
      <c r="G191" s="5" t="n">
        <v>0</v>
      </c>
      <c r="H191" s="17" t="n">
        <v>44928</v>
      </c>
      <c r="I191" s="17" t="n">
        <v>45006</v>
      </c>
      <c r="J191" s="4" t="s">
        <v>859</v>
      </c>
      <c r="K191" s="4" t="s">
        <v>1046</v>
      </c>
      <c r="L191" s="2"/>
      <c r="M191" s="2"/>
      <c r="N191" s="2"/>
    </row>
    <row r="192" customFormat="false" ht="14.25" hidden="false" customHeight="false" outlineLevel="0" collapsed="false">
      <c r="A192" s="4" t="s">
        <v>265</v>
      </c>
      <c r="B192" s="4" t="s">
        <v>853</v>
      </c>
      <c r="C192" s="4" t="s">
        <v>809</v>
      </c>
      <c r="D192" s="8" t="b">
        <f aca="false">FALSE()</f>
        <v>0</v>
      </c>
      <c r="E192" s="5" t="n">
        <v>72</v>
      </c>
      <c r="F192" s="7" t="n">
        <f aca="false">E192/SUMIFS($E$2:$E$783,$A$2:$A$783,A192)</f>
        <v>0.0291616038882139</v>
      </c>
      <c r="G192" s="5" t="n">
        <v>0</v>
      </c>
      <c r="H192" s="17" t="n">
        <v>44988</v>
      </c>
      <c r="I192" s="17" t="n">
        <v>45050</v>
      </c>
      <c r="J192" s="4" t="s">
        <v>856</v>
      </c>
      <c r="K192" s="4" t="s">
        <v>1047</v>
      </c>
      <c r="L192" s="2"/>
      <c r="M192" s="2"/>
      <c r="N192" s="2"/>
    </row>
    <row r="193" customFormat="false" ht="14.25" hidden="false" customHeight="false" outlineLevel="0" collapsed="false">
      <c r="A193" s="10" t="s">
        <v>266</v>
      </c>
      <c r="B193" s="10" t="s">
        <v>853</v>
      </c>
      <c r="C193" s="10" t="s">
        <v>258</v>
      </c>
      <c r="D193" s="14" t="b">
        <f aca="false">TRUE()</f>
        <v>1</v>
      </c>
      <c r="E193" s="11" t="n">
        <v>1961</v>
      </c>
      <c r="F193" s="13" t="n">
        <f aca="false">E193/SUMIFS($E$2:$E$783,$A$2:$A$783,A193)</f>
        <v>0.929824561403509</v>
      </c>
      <c r="G193" s="11" t="n">
        <v>0</v>
      </c>
      <c r="H193" s="18" t="n">
        <v>44937</v>
      </c>
      <c r="I193" s="18" t="n">
        <v>45950</v>
      </c>
      <c r="J193" s="10" t="s">
        <v>854</v>
      </c>
      <c r="K193" s="10" t="s">
        <v>1048</v>
      </c>
      <c r="L193" s="2"/>
      <c r="M193" s="2"/>
      <c r="N193" s="2"/>
    </row>
    <row r="194" customFormat="false" ht="14.25" hidden="false" customHeight="false" outlineLevel="0" collapsed="false">
      <c r="A194" s="4" t="s">
        <v>266</v>
      </c>
      <c r="B194" s="4" t="s">
        <v>853</v>
      </c>
      <c r="C194" s="4" t="s">
        <v>809</v>
      </c>
      <c r="D194" s="8" t="b">
        <f aca="false">FALSE()</f>
        <v>0</v>
      </c>
      <c r="E194" s="5" t="n">
        <v>135</v>
      </c>
      <c r="F194" s="7" t="n">
        <f aca="false">E194/SUMIFS($E$2:$E$783,$A$2:$A$783,A194)</f>
        <v>0.0640113798008535</v>
      </c>
      <c r="G194" s="5" t="n">
        <v>0</v>
      </c>
      <c r="H194" s="17" t="n">
        <v>44956</v>
      </c>
      <c r="I194" s="17" t="n">
        <v>45054</v>
      </c>
      <c r="J194" s="4" t="s">
        <v>856</v>
      </c>
      <c r="K194" s="4" t="s">
        <v>1049</v>
      </c>
      <c r="L194" s="2"/>
      <c r="M194" s="2"/>
      <c r="N194" s="2"/>
    </row>
    <row r="195" customFormat="false" ht="14.25" hidden="false" customHeight="false" outlineLevel="0" collapsed="false">
      <c r="A195" s="4" t="s">
        <v>266</v>
      </c>
      <c r="B195" s="4" t="s">
        <v>853</v>
      </c>
      <c r="C195" s="4" t="s">
        <v>119</v>
      </c>
      <c r="D195" s="8" t="b">
        <f aca="false">FALSE()</f>
        <v>0</v>
      </c>
      <c r="E195" s="5" t="n">
        <v>13</v>
      </c>
      <c r="F195" s="7" t="n">
        <f aca="false">E195/SUMIFS($E$2:$E$783,$A$2:$A$783,A195)</f>
        <v>0.00616405879563774</v>
      </c>
      <c r="G195" s="5" t="n">
        <v>0</v>
      </c>
      <c r="H195" s="17" t="n">
        <v>44972</v>
      </c>
      <c r="I195" s="17" t="n">
        <v>44979</v>
      </c>
      <c r="J195" s="4" t="s">
        <v>859</v>
      </c>
      <c r="K195" s="4" t="s">
        <v>1050</v>
      </c>
      <c r="L195" s="2"/>
      <c r="M195" s="2"/>
      <c r="N195" s="2"/>
    </row>
    <row r="196" customFormat="false" ht="14.25" hidden="false" customHeight="false" outlineLevel="0" collapsed="false">
      <c r="A196" s="10" t="s">
        <v>267</v>
      </c>
      <c r="B196" s="10" t="s">
        <v>853</v>
      </c>
      <c r="C196" s="10" t="s">
        <v>258</v>
      </c>
      <c r="D196" s="14" t="b">
        <f aca="false">TRUE()</f>
        <v>1</v>
      </c>
      <c r="E196" s="11" t="n">
        <v>1569</v>
      </c>
      <c r="F196" s="13" t="n">
        <f aca="false">E196/SUMIFS($E$2:$E$783,$A$2:$A$783,A196)</f>
        <v>0.909038238702202</v>
      </c>
      <c r="G196" s="11" t="n">
        <v>388</v>
      </c>
      <c r="H196" s="18" t="n">
        <v>45022</v>
      </c>
      <c r="I196" s="18" t="n">
        <v>46294</v>
      </c>
      <c r="J196" s="10" t="s">
        <v>854</v>
      </c>
      <c r="K196" s="10" t="s">
        <v>1051</v>
      </c>
      <c r="L196" s="2"/>
      <c r="M196" s="2"/>
      <c r="N196" s="2"/>
    </row>
    <row r="197" customFormat="false" ht="14.25" hidden="false" customHeight="false" outlineLevel="0" collapsed="false">
      <c r="A197" s="4" t="s">
        <v>267</v>
      </c>
      <c r="B197" s="4" t="s">
        <v>853</v>
      </c>
      <c r="C197" s="4" t="s">
        <v>809</v>
      </c>
      <c r="D197" s="8" t="b">
        <f aca="false">FALSE()</f>
        <v>0</v>
      </c>
      <c r="E197" s="5" t="n">
        <v>144</v>
      </c>
      <c r="F197" s="7" t="n">
        <f aca="false">E197/SUMIFS($E$2:$E$783,$A$2:$A$783,A197)</f>
        <v>0.0834298957126304</v>
      </c>
      <c r="G197" s="5" t="n">
        <v>0</v>
      </c>
      <c r="H197" s="17" t="n">
        <v>45008</v>
      </c>
      <c r="I197" s="17" t="n">
        <v>45052</v>
      </c>
      <c r="J197" s="4" t="s">
        <v>856</v>
      </c>
      <c r="K197" s="4" t="s">
        <v>1052</v>
      </c>
      <c r="L197" s="2"/>
      <c r="M197" s="2"/>
      <c r="N197" s="2"/>
    </row>
    <row r="198" customFormat="false" ht="14.25" hidden="false" customHeight="false" outlineLevel="0" collapsed="false">
      <c r="A198" s="4" t="s">
        <v>267</v>
      </c>
      <c r="B198" s="4" t="s">
        <v>853</v>
      </c>
      <c r="C198" s="4" t="s">
        <v>129</v>
      </c>
      <c r="D198" s="8" t="b">
        <f aca="false">FALSE()</f>
        <v>0</v>
      </c>
      <c r="E198" s="5" t="n">
        <v>13</v>
      </c>
      <c r="F198" s="7" t="n">
        <f aca="false">E198/SUMIFS($E$2:$E$783,$A$2:$A$783,A198)</f>
        <v>0.00753186558516802</v>
      </c>
      <c r="G198" s="5" t="n">
        <v>0</v>
      </c>
      <c r="H198" s="17" t="n">
        <v>44974</v>
      </c>
      <c r="I198" s="17" t="n">
        <v>45007</v>
      </c>
      <c r="J198" s="4" t="s">
        <v>859</v>
      </c>
      <c r="K198" s="4" t="s">
        <v>1053</v>
      </c>
      <c r="L198" s="2"/>
      <c r="M198" s="2"/>
      <c r="N198" s="2"/>
    </row>
    <row r="199" customFormat="false" ht="14.25" hidden="false" customHeight="false" outlineLevel="0" collapsed="false">
      <c r="A199" s="10" t="s">
        <v>268</v>
      </c>
      <c r="B199" s="10" t="s">
        <v>853</v>
      </c>
      <c r="C199" s="10" t="s">
        <v>258</v>
      </c>
      <c r="D199" s="14" t="b">
        <f aca="false">TRUE()</f>
        <v>1</v>
      </c>
      <c r="E199" s="11" t="n">
        <v>1374</v>
      </c>
      <c r="F199" s="13" t="n">
        <f aca="false">E199/SUMIFS($E$2:$E$783,$A$2:$A$783,A199)</f>
        <v>0.866330390920555</v>
      </c>
      <c r="G199" s="11" t="n">
        <v>311</v>
      </c>
      <c r="H199" s="18" t="n">
        <v>44956</v>
      </c>
      <c r="I199" s="18" t="n">
        <v>46293</v>
      </c>
      <c r="J199" s="10" t="s">
        <v>854</v>
      </c>
      <c r="K199" s="10" t="s">
        <v>1054</v>
      </c>
      <c r="L199" s="2"/>
      <c r="M199" s="2"/>
      <c r="N199" s="2"/>
    </row>
    <row r="200" customFormat="false" ht="14.25" hidden="false" customHeight="false" outlineLevel="0" collapsed="false">
      <c r="A200" s="4" t="s">
        <v>268</v>
      </c>
      <c r="B200" s="4" t="s">
        <v>853</v>
      </c>
      <c r="C200" s="4" t="s">
        <v>129</v>
      </c>
      <c r="D200" s="8" t="b">
        <f aca="false">FALSE()</f>
        <v>0</v>
      </c>
      <c r="E200" s="5" t="n">
        <v>109</v>
      </c>
      <c r="F200" s="7" t="n">
        <f aca="false">E200/SUMIFS($E$2:$E$783,$A$2:$A$783,A200)</f>
        <v>0.0687263556116015</v>
      </c>
      <c r="G200" s="5" t="n">
        <v>0</v>
      </c>
      <c r="H200" s="17" t="n">
        <v>44929</v>
      </c>
      <c r="I200" s="17" t="n">
        <v>45003</v>
      </c>
      <c r="J200" s="4" t="s">
        <v>859</v>
      </c>
      <c r="K200" s="4" t="s">
        <v>1055</v>
      </c>
      <c r="L200" s="2"/>
      <c r="M200" s="2"/>
      <c r="N200" s="2"/>
    </row>
    <row r="201" customFormat="false" ht="14.25" hidden="false" customHeight="false" outlineLevel="0" collapsed="false">
      <c r="A201" s="4" t="s">
        <v>268</v>
      </c>
      <c r="B201" s="4" t="s">
        <v>853</v>
      </c>
      <c r="C201" s="4" t="s">
        <v>809</v>
      </c>
      <c r="D201" s="8" t="b">
        <f aca="false">FALSE()</f>
        <v>0</v>
      </c>
      <c r="E201" s="5" t="n">
        <v>103</v>
      </c>
      <c r="F201" s="7" t="n">
        <f aca="false">E201/SUMIFS($E$2:$E$783,$A$2:$A$783,A201)</f>
        <v>0.0649432534678436</v>
      </c>
      <c r="G201" s="5" t="n">
        <v>0</v>
      </c>
      <c r="H201" s="17" t="n">
        <v>44940</v>
      </c>
      <c r="I201" s="17" t="n">
        <v>45053</v>
      </c>
      <c r="J201" s="4" t="s">
        <v>856</v>
      </c>
      <c r="K201" s="4" t="s">
        <v>1056</v>
      </c>
      <c r="L201" s="2"/>
      <c r="M201" s="2"/>
      <c r="N201" s="2"/>
    </row>
    <row r="202" customFormat="false" ht="14.25" hidden="false" customHeight="false" outlineLevel="0" collapsed="false">
      <c r="A202" s="10" t="s">
        <v>270</v>
      </c>
      <c r="B202" s="10" t="s">
        <v>853</v>
      </c>
      <c r="C202" s="10" t="s">
        <v>258</v>
      </c>
      <c r="D202" s="14" t="b">
        <f aca="false">TRUE()</f>
        <v>1</v>
      </c>
      <c r="E202" s="11" t="n">
        <v>1072</v>
      </c>
      <c r="F202" s="13" t="n">
        <f aca="false">E202/SUMIFS($E$2:$E$783,$A$2:$A$783,A202)</f>
        <v>0.943661971830986</v>
      </c>
      <c r="G202" s="11" t="n">
        <v>186</v>
      </c>
      <c r="H202" s="18" t="n">
        <v>45043</v>
      </c>
      <c r="I202" s="18" t="n">
        <v>46295</v>
      </c>
      <c r="J202" s="10" t="s">
        <v>854</v>
      </c>
      <c r="K202" s="10" t="s">
        <v>1057</v>
      </c>
      <c r="L202" s="2"/>
      <c r="M202" s="2"/>
      <c r="N202" s="2"/>
    </row>
    <row r="203" customFormat="false" ht="14.25" hidden="false" customHeight="false" outlineLevel="0" collapsed="false">
      <c r="A203" s="4" t="s">
        <v>270</v>
      </c>
      <c r="B203" s="4" t="s">
        <v>853</v>
      </c>
      <c r="C203" s="4" t="s">
        <v>129</v>
      </c>
      <c r="D203" s="8" t="b">
        <f aca="false">FALSE()</f>
        <v>0</v>
      </c>
      <c r="E203" s="5" t="n">
        <v>64</v>
      </c>
      <c r="F203" s="7" t="n">
        <f aca="false">E203/SUMIFS($E$2:$E$783,$A$2:$A$783,A203)</f>
        <v>0.0563380281690141</v>
      </c>
      <c r="G203" s="5" t="n">
        <v>0</v>
      </c>
      <c r="H203" s="17" t="n">
        <v>44957</v>
      </c>
      <c r="I203" s="17" t="n">
        <v>45049</v>
      </c>
      <c r="J203" s="4" t="s">
        <v>859</v>
      </c>
      <c r="K203" s="4" t="s">
        <v>1058</v>
      </c>
      <c r="L203" s="2"/>
      <c r="M203" s="2"/>
      <c r="N203" s="2"/>
    </row>
    <row r="204" customFormat="false" ht="14.25" hidden="false" customHeight="false" outlineLevel="0" collapsed="false">
      <c r="A204" s="10" t="s">
        <v>271</v>
      </c>
      <c r="B204" s="10" t="s">
        <v>853</v>
      </c>
      <c r="C204" s="10" t="s">
        <v>258</v>
      </c>
      <c r="D204" s="14" t="b">
        <f aca="false">TRUE()</f>
        <v>1</v>
      </c>
      <c r="E204" s="11" t="n">
        <v>977</v>
      </c>
      <c r="F204" s="13" t="n">
        <f aca="false">E204/SUMIFS($E$2:$E$783,$A$2:$A$783,A204)</f>
        <v>0.943961352657005</v>
      </c>
      <c r="G204" s="11" t="n">
        <v>232</v>
      </c>
      <c r="H204" s="18" t="n">
        <v>45034</v>
      </c>
      <c r="I204" s="18" t="n">
        <v>46296</v>
      </c>
      <c r="J204" s="10" t="s">
        <v>854</v>
      </c>
      <c r="K204" s="10" t="s">
        <v>1059</v>
      </c>
      <c r="L204" s="2"/>
      <c r="M204" s="2"/>
      <c r="N204" s="2"/>
    </row>
    <row r="205" customFormat="false" ht="14.25" hidden="false" customHeight="false" outlineLevel="0" collapsed="false">
      <c r="A205" s="4" t="s">
        <v>271</v>
      </c>
      <c r="B205" s="4" t="s">
        <v>853</v>
      </c>
      <c r="C205" s="4" t="s">
        <v>129</v>
      </c>
      <c r="D205" s="8" t="b">
        <f aca="false">FALSE()</f>
        <v>0</v>
      </c>
      <c r="E205" s="5" t="n">
        <v>35</v>
      </c>
      <c r="F205" s="7" t="n">
        <f aca="false">E205/SUMIFS($E$2:$E$783,$A$2:$A$783,A205)</f>
        <v>0.0338164251207729</v>
      </c>
      <c r="G205" s="5" t="n">
        <v>0</v>
      </c>
      <c r="H205" s="17" t="n">
        <v>44928</v>
      </c>
      <c r="I205" s="17" t="n">
        <v>45003</v>
      </c>
      <c r="J205" s="4" t="s">
        <v>859</v>
      </c>
      <c r="K205" s="4" t="s">
        <v>1060</v>
      </c>
      <c r="L205" s="2"/>
      <c r="M205" s="2"/>
      <c r="N205" s="2"/>
    </row>
    <row r="206" customFormat="false" ht="14.25" hidden="false" customHeight="false" outlineLevel="0" collapsed="false">
      <c r="A206" s="4" t="s">
        <v>271</v>
      </c>
      <c r="B206" s="4" t="s">
        <v>853</v>
      </c>
      <c r="C206" s="4" t="s">
        <v>809</v>
      </c>
      <c r="D206" s="8" t="b">
        <f aca="false">FALSE()</f>
        <v>0</v>
      </c>
      <c r="E206" s="5" t="n">
        <v>23</v>
      </c>
      <c r="F206" s="7" t="n">
        <f aca="false">E206/SUMIFS($E$2:$E$783,$A$2:$A$783,A206)</f>
        <v>0.0222222222222222</v>
      </c>
      <c r="G206" s="5" t="n">
        <v>0</v>
      </c>
      <c r="H206" s="17" t="n">
        <v>44979</v>
      </c>
      <c r="I206" s="17" t="n">
        <v>45053</v>
      </c>
      <c r="J206" s="4" t="s">
        <v>856</v>
      </c>
      <c r="K206" s="4" t="s">
        <v>1061</v>
      </c>
      <c r="L206" s="2"/>
      <c r="M206" s="2"/>
      <c r="N206" s="2"/>
    </row>
    <row r="207" customFormat="false" ht="14.25" hidden="false" customHeight="false" outlineLevel="0" collapsed="false">
      <c r="A207" s="10" t="s">
        <v>272</v>
      </c>
      <c r="B207" s="10" t="s">
        <v>853</v>
      </c>
      <c r="C207" s="10" t="s">
        <v>258</v>
      </c>
      <c r="D207" s="14" t="b">
        <f aca="false">TRUE()</f>
        <v>1</v>
      </c>
      <c r="E207" s="11" t="n">
        <v>893</v>
      </c>
      <c r="F207" s="13" t="n">
        <f aca="false">E207/SUMIFS($E$2:$E$783,$A$2:$A$783,A207)</f>
        <v>0.864472410454986</v>
      </c>
      <c r="G207" s="11" t="n">
        <v>357</v>
      </c>
      <c r="H207" s="18" t="n">
        <v>45055</v>
      </c>
      <c r="I207" s="18" t="n">
        <v>46193</v>
      </c>
      <c r="J207" s="10" t="s">
        <v>854</v>
      </c>
      <c r="K207" s="10" t="s">
        <v>1062</v>
      </c>
      <c r="L207" s="2"/>
      <c r="M207" s="2"/>
      <c r="N207" s="2"/>
    </row>
    <row r="208" customFormat="false" ht="14.25" hidden="false" customHeight="false" outlineLevel="0" collapsed="false">
      <c r="A208" s="4" t="s">
        <v>272</v>
      </c>
      <c r="B208" s="4" t="s">
        <v>853</v>
      </c>
      <c r="C208" s="4" t="s">
        <v>809</v>
      </c>
      <c r="D208" s="8" t="b">
        <f aca="false">FALSE()</f>
        <v>0</v>
      </c>
      <c r="E208" s="5" t="n">
        <v>140</v>
      </c>
      <c r="F208" s="7" t="n">
        <f aca="false">E208/SUMIFS($E$2:$E$783,$A$2:$A$783,A208)</f>
        <v>0.135527589545015</v>
      </c>
      <c r="G208" s="5" t="n">
        <v>0</v>
      </c>
      <c r="H208" s="17" t="n">
        <v>45007</v>
      </c>
      <c r="I208" s="17" t="n">
        <v>45048</v>
      </c>
      <c r="J208" s="4" t="s">
        <v>856</v>
      </c>
      <c r="K208" s="4" t="s">
        <v>1063</v>
      </c>
      <c r="L208" s="2"/>
      <c r="M208" s="2"/>
      <c r="N208" s="2"/>
    </row>
    <row r="209" customFormat="false" ht="14.25" hidden="false" customHeight="false" outlineLevel="0" collapsed="false">
      <c r="A209" s="10" t="s">
        <v>273</v>
      </c>
      <c r="B209" s="10" t="s">
        <v>853</v>
      </c>
      <c r="C209" s="10" t="s">
        <v>258</v>
      </c>
      <c r="D209" s="14" t="b">
        <f aca="false">TRUE()</f>
        <v>1</v>
      </c>
      <c r="E209" s="11" t="n">
        <v>807</v>
      </c>
      <c r="F209" s="13" t="n">
        <f aca="false">E209/SUMIFS($E$2:$E$783,$A$2:$A$783,A209)</f>
        <v>0.96415770609319</v>
      </c>
      <c r="G209" s="11" t="n">
        <v>192</v>
      </c>
      <c r="H209" s="18" t="n">
        <v>45043</v>
      </c>
      <c r="I209" s="18" t="n">
        <v>46295</v>
      </c>
      <c r="J209" s="10" t="s">
        <v>854</v>
      </c>
      <c r="K209" s="10" t="s">
        <v>1057</v>
      </c>
      <c r="L209" s="2"/>
      <c r="M209" s="2"/>
      <c r="N209" s="2"/>
    </row>
    <row r="210" customFormat="false" ht="14.25" hidden="false" customHeight="false" outlineLevel="0" collapsed="false">
      <c r="A210" s="4" t="s">
        <v>273</v>
      </c>
      <c r="B210" s="4" t="s">
        <v>853</v>
      </c>
      <c r="C210" s="4" t="s">
        <v>129</v>
      </c>
      <c r="D210" s="8" t="b">
        <f aca="false">FALSE()</f>
        <v>0</v>
      </c>
      <c r="E210" s="5" t="n">
        <v>30</v>
      </c>
      <c r="F210" s="7" t="n">
        <f aca="false">E210/SUMIFS($E$2:$E$783,$A$2:$A$783,A210)</f>
        <v>0.03584229390681</v>
      </c>
      <c r="G210" s="5" t="n">
        <v>0</v>
      </c>
      <c r="H210" s="17" t="n">
        <v>44986</v>
      </c>
      <c r="I210" s="17" t="n">
        <v>45052</v>
      </c>
      <c r="J210" s="4" t="s">
        <v>859</v>
      </c>
      <c r="K210" s="4" t="s">
        <v>1064</v>
      </c>
      <c r="L210" s="2"/>
      <c r="M210" s="2"/>
      <c r="N210" s="2"/>
    </row>
    <row r="211" customFormat="false" ht="14.25" hidden="false" customHeight="false" outlineLevel="0" collapsed="false">
      <c r="A211" s="10" t="s">
        <v>275</v>
      </c>
      <c r="B211" s="10" t="s">
        <v>853</v>
      </c>
      <c r="C211" s="10" t="s">
        <v>258</v>
      </c>
      <c r="D211" s="14" t="b">
        <f aca="false">TRUE()</f>
        <v>1</v>
      </c>
      <c r="E211" s="11" t="n">
        <v>570</v>
      </c>
      <c r="F211" s="13" t="n">
        <f aca="false">E211/SUMIFS($E$2:$E$783,$A$2:$A$783,A211)</f>
        <v>0.974358974358974</v>
      </c>
      <c r="G211" s="11" t="n">
        <v>0</v>
      </c>
      <c r="H211" s="18" t="n">
        <v>45043</v>
      </c>
      <c r="I211" s="18" t="n">
        <v>45707</v>
      </c>
      <c r="J211" s="10" t="s">
        <v>854</v>
      </c>
      <c r="K211" s="10" t="s">
        <v>1065</v>
      </c>
      <c r="L211" s="2"/>
      <c r="M211" s="2"/>
      <c r="N211" s="2"/>
    </row>
    <row r="212" customFormat="false" ht="14.25" hidden="false" customHeight="false" outlineLevel="0" collapsed="false">
      <c r="A212" s="4" t="s">
        <v>275</v>
      </c>
      <c r="B212" s="4" t="s">
        <v>853</v>
      </c>
      <c r="C212" s="4" t="s">
        <v>809</v>
      </c>
      <c r="D212" s="8" t="b">
        <f aca="false">FALSE()</f>
        <v>0</v>
      </c>
      <c r="E212" s="5" t="n">
        <v>14</v>
      </c>
      <c r="F212" s="7" t="n">
        <f aca="false">E212/SUMIFS($E$2:$E$783,$A$2:$A$783,A212)</f>
        <v>0.0239316239316239</v>
      </c>
      <c r="G212" s="5" t="n">
        <v>0</v>
      </c>
      <c r="H212" s="17" t="n">
        <v>44943</v>
      </c>
      <c r="I212" s="17" t="n">
        <v>45049</v>
      </c>
      <c r="J212" s="4" t="s">
        <v>856</v>
      </c>
      <c r="K212" s="4" t="s">
        <v>1066</v>
      </c>
      <c r="L212" s="2"/>
      <c r="M212" s="2"/>
      <c r="N212" s="2"/>
    </row>
    <row r="213" customFormat="false" ht="14.25" hidden="false" customHeight="false" outlineLevel="0" collapsed="false">
      <c r="A213" s="4" t="s">
        <v>275</v>
      </c>
      <c r="B213" s="4" t="s">
        <v>853</v>
      </c>
      <c r="C213" s="4" t="s">
        <v>119</v>
      </c>
      <c r="D213" s="8" t="b">
        <f aca="false">FALSE()</f>
        <v>0</v>
      </c>
      <c r="E213" s="5" t="n">
        <v>1</v>
      </c>
      <c r="F213" s="7" t="n">
        <f aca="false">E213/SUMIFS($E$2:$E$783,$A$2:$A$783,A213)</f>
        <v>0.00170940170940171</v>
      </c>
      <c r="G213" s="5" t="n">
        <v>0</v>
      </c>
      <c r="H213" s="17" t="n">
        <v>44964</v>
      </c>
      <c r="I213" s="17" t="n">
        <v>44964</v>
      </c>
      <c r="J213" s="4" t="s">
        <v>859</v>
      </c>
      <c r="K213" s="4" t="s">
        <v>1067</v>
      </c>
      <c r="L213" s="2"/>
      <c r="M213" s="2"/>
      <c r="N213" s="2"/>
    </row>
    <row r="214" customFormat="false" ht="14.25" hidden="false" customHeight="false" outlineLevel="0" collapsed="false">
      <c r="A214" s="10" t="s">
        <v>276</v>
      </c>
      <c r="B214" s="10" t="s">
        <v>853</v>
      </c>
      <c r="C214" s="10" t="s">
        <v>258</v>
      </c>
      <c r="D214" s="14" t="b">
        <f aca="false">TRUE()</f>
        <v>1</v>
      </c>
      <c r="E214" s="11" t="n">
        <v>470</v>
      </c>
      <c r="F214" s="13" t="n">
        <f aca="false">E214/SUMIFS($E$2:$E$783,$A$2:$A$783,A214)</f>
        <v>0.928853754940711</v>
      </c>
      <c r="G214" s="11" t="n">
        <v>86</v>
      </c>
      <c r="H214" s="18" t="n">
        <v>45062</v>
      </c>
      <c r="I214" s="18" t="n">
        <v>46291</v>
      </c>
      <c r="J214" s="10" t="s">
        <v>854</v>
      </c>
      <c r="K214" s="10" t="s">
        <v>1068</v>
      </c>
      <c r="L214" s="2"/>
      <c r="M214" s="2"/>
      <c r="N214" s="2"/>
    </row>
    <row r="215" customFormat="false" ht="14.25" hidden="false" customHeight="false" outlineLevel="0" collapsed="false">
      <c r="A215" s="4" t="s">
        <v>276</v>
      </c>
      <c r="B215" s="4" t="s">
        <v>853</v>
      </c>
      <c r="C215" s="4" t="s">
        <v>129</v>
      </c>
      <c r="D215" s="8" t="b">
        <f aca="false">FALSE()</f>
        <v>0</v>
      </c>
      <c r="E215" s="5" t="n">
        <v>36</v>
      </c>
      <c r="F215" s="7" t="n">
        <f aca="false">E215/SUMIFS($E$2:$E$783,$A$2:$A$783,A215)</f>
        <v>0.0711462450592885</v>
      </c>
      <c r="G215" s="5" t="n">
        <v>0</v>
      </c>
      <c r="H215" s="17" t="n">
        <v>44987</v>
      </c>
      <c r="I215" s="17" t="n">
        <v>45054</v>
      </c>
      <c r="J215" s="4" t="s">
        <v>859</v>
      </c>
      <c r="K215" s="4" t="s">
        <v>1069</v>
      </c>
      <c r="L215" s="2"/>
      <c r="M215" s="2"/>
      <c r="N215" s="2"/>
    </row>
    <row r="216" customFormat="false" ht="14.25" hidden="false" customHeight="false" outlineLevel="0" collapsed="false">
      <c r="A216" s="10" t="s">
        <v>277</v>
      </c>
      <c r="B216" s="10" t="s">
        <v>853</v>
      </c>
      <c r="C216" s="10" t="s">
        <v>258</v>
      </c>
      <c r="D216" s="14" t="b">
        <f aca="false">TRUE()</f>
        <v>1</v>
      </c>
      <c r="E216" s="11" t="n">
        <v>443</v>
      </c>
      <c r="F216" s="13" t="n">
        <f aca="false">E216/SUMIFS($E$2:$E$783,$A$2:$A$783,A216)</f>
        <v>0.932631578947368</v>
      </c>
      <c r="G216" s="11" t="n">
        <v>84</v>
      </c>
      <c r="H216" s="18" t="n">
        <v>45064</v>
      </c>
      <c r="I216" s="18" t="n">
        <v>46292</v>
      </c>
      <c r="J216" s="10" t="s">
        <v>854</v>
      </c>
      <c r="K216" s="10" t="s">
        <v>1070</v>
      </c>
      <c r="L216" s="2"/>
      <c r="M216" s="2"/>
      <c r="N216" s="2"/>
    </row>
    <row r="217" customFormat="false" ht="14.25" hidden="false" customHeight="false" outlineLevel="0" collapsed="false">
      <c r="A217" s="4" t="s">
        <v>277</v>
      </c>
      <c r="B217" s="4" t="s">
        <v>853</v>
      </c>
      <c r="C217" s="4" t="s">
        <v>809</v>
      </c>
      <c r="D217" s="8" t="b">
        <f aca="false">FALSE()</f>
        <v>0</v>
      </c>
      <c r="E217" s="5" t="n">
        <v>26</v>
      </c>
      <c r="F217" s="7" t="n">
        <f aca="false">E217/SUMIFS($E$2:$E$783,$A$2:$A$783,A217)</f>
        <v>0.0547368421052632</v>
      </c>
      <c r="G217" s="5" t="n">
        <v>0</v>
      </c>
      <c r="H217" s="17" t="n">
        <v>44988</v>
      </c>
      <c r="I217" s="17" t="n">
        <v>45054</v>
      </c>
      <c r="J217" s="4" t="s">
        <v>856</v>
      </c>
      <c r="K217" s="4" t="s">
        <v>1071</v>
      </c>
      <c r="L217" s="2"/>
      <c r="M217" s="2"/>
      <c r="N217" s="2"/>
    </row>
    <row r="218" customFormat="false" ht="14.25" hidden="false" customHeight="false" outlineLevel="0" collapsed="false">
      <c r="A218" s="4" t="s">
        <v>277</v>
      </c>
      <c r="B218" s="4" t="s">
        <v>853</v>
      </c>
      <c r="C218" s="4" t="s">
        <v>129</v>
      </c>
      <c r="D218" s="8" t="b">
        <f aca="false">FALSE()</f>
        <v>0</v>
      </c>
      <c r="E218" s="5" t="n">
        <v>6</v>
      </c>
      <c r="F218" s="7" t="n">
        <f aca="false">E218/SUMIFS($E$2:$E$783,$A$2:$A$783,A218)</f>
        <v>0.0126315789473684</v>
      </c>
      <c r="G218" s="5" t="n">
        <v>0</v>
      </c>
      <c r="H218" s="17" t="n">
        <v>44991</v>
      </c>
      <c r="I218" s="17" t="n">
        <v>44993</v>
      </c>
      <c r="J218" s="4" t="s">
        <v>859</v>
      </c>
      <c r="K218" s="4" t="s">
        <v>1072</v>
      </c>
      <c r="L218" s="2"/>
      <c r="M218" s="2"/>
      <c r="N218" s="2"/>
    </row>
    <row r="219" customFormat="false" ht="14.25" hidden="false" customHeight="false" outlineLevel="0" collapsed="false">
      <c r="A219" s="10" t="s">
        <v>278</v>
      </c>
      <c r="B219" s="10" t="s">
        <v>853</v>
      </c>
      <c r="C219" s="10" t="s">
        <v>258</v>
      </c>
      <c r="D219" s="14" t="b">
        <f aca="false">TRUE()</f>
        <v>1</v>
      </c>
      <c r="E219" s="11" t="n">
        <v>408</v>
      </c>
      <c r="F219" s="13" t="n">
        <f aca="false">E219/SUMIFS($E$2:$E$783,$A$2:$A$783,A219)</f>
        <v>0.948837209302326</v>
      </c>
      <c r="G219" s="11" t="n">
        <v>66</v>
      </c>
      <c r="H219" s="18" t="n">
        <v>45053</v>
      </c>
      <c r="I219" s="18" t="n">
        <v>46294</v>
      </c>
      <c r="J219" s="10" t="s">
        <v>854</v>
      </c>
      <c r="K219" s="10" t="s">
        <v>1073</v>
      </c>
      <c r="L219" s="2"/>
      <c r="M219" s="2"/>
      <c r="N219" s="2"/>
    </row>
    <row r="220" customFormat="false" ht="14.25" hidden="false" customHeight="false" outlineLevel="0" collapsed="false">
      <c r="A220" s="4" t="s">
        <v>278</v>
      </c>
      <c r="B220" s="4" t="s">
        <v>853</v>
      </c>
      <c r="C220" s="4" t="s">
        <v>129</v>
      </c>
      <c r="D220" s="8" t="b">
        <f aca="false">FALSE()</f>
        <v>0</v>
      </c>
      <c r="E220" s="5" t="n">
        <v>22</v>
      </c>
      <c r="F220" s="7" t="n">
        <f aca="false">E220/SUMIFS($E$2:$E$783,$A$2:$A$783,A220)</f>
        <v>0.0511627906976744</v>
      </c>
      <c r="G220" s="5" t="n">
        <v>0</v>
      </c>
      <c r="H220" s="17" t="n">
        <v>44973</v>
      </c>
      <c r="I220" s="17" t="n">
        <v>45051</v>
      </c>
      <c r="J220" s="4" t="s">
        <v>859</v>
      </c>
      <c r="K220" s="4" t="s">
        <v>1074</v>
      </c>
      <c r="L220" s="2"/>
      <c r="M220" s="2"/>
      <c r="N220" s="2"/>
    </row>
    <row r="221" customFormat="false" ht="14.25" hidden="false" customHeight="false" outlineLevel="0" collapsed="false">
      <c r="A221" s="10" t="s">
        <v>279</v>
      </c>
      <c r="B221" s="10" t="s">
        <v>853</v>
      </c>
      <c r="C221" s="10" t="s">
        <v>258</v>
      </c>
      <c r="D221" s="14" t="b">
        <f aca="false">TRUE()</f>
        <v>1</v>
      </c>
      <c r="E221" s="11" t="n">
        <v>376</v>
      </c>
      <c r="F221" s="13" t="n">
        <f aca="false">E221/SUMIFS($E$2:$E$783,$A$2:$A$783,A221)</f>
        <v>0.901678657074341</v>
      </c>
      <c r="G221" s="11" t="n">
        <v>75</v>
      </c>
      <c r="H221" s="18" t="n">
        <v>45054</v>
      </c>
      <c r="I221" s="18" t="n">
        <v>46295</v>
      </c>
      <c r="J221" s="10" t="s">
        <v>854</v>
      </c>
      <c r="K221" s="10" t="s">
        <v>1075</v>
      </c>
      <c r="L221" s="2"/>
      <c r="M221" s="2"/>
      <c r="N221" s="2"/>
    </row>
    <row r="222" customFormat="false" ht="14.25" hidden="false" customHeight="false" outlineLevel="0" collapsed="false">
      <c r="A222" s="4" t="s">
        <v>279</v>
      </c>
      <c r="B222" s="4" t="s">
        <v>853</v>
      </c>
      <c r="C222" s="4" t="s">
        <v>129</v>
      </c>
      <c r="D222" s="8" t="b">
        <f aca="false">FALSE()</f>
        <v>0</v>
      </c>
      <c r="E222" s="5" t="n">
        <v>41</v>
      </c>
      <c r="F222" s="7" t="n">
        <f aca="false">E222/SUMIFS($E$2:$E$783,$A$2:$A$783,A222)</f>
        <v>0.0983213429256595</v>
      </c>
      <c r="G222" s="5" t="n">
        <v>0</v>
      </c>
      <c r="H222" s="17" t="n">
        <v>44960</v>
      </c>
      <c r="I222" s="17" t="n">
        <v>45039</v>
      </c>
      <c r="J222" s="4" t="s">
        <v>859</v>
      </c>
      <c r="K222" s="4" t="s">
        <v>1076</v>
      </c>
      <c r="L222" s="2"/>
      <c r="M222" s="2"/>
      <c r="N222" s="2"/>
    </row>
    <row r="223" customFormat="false" ht="14.25" hidden="false" customHeight="false" outlineLevel="0" collapsed="false">
      <c r="A223" s="10" t="s">
        <v>280</v>
      </c>
      <c r="B223" s="10" t="s">
        <v>853</v>
      </c>
      <c r="C223" s="10" t="s">
        <v>258</v>
      </c>
      <c r="D223" s="14" t="b">
        <f aca="false">TRUE()</f>
        <v>1</v>
      </c>
      <c r="E223" s="11" t="n">
        <v>394</v>
      </c>
      <c r="F223" s="13" t="n">
        <f aca="false">E223/SUMIFS($E$2:$E$783,$A$2:$A$783,A223)</f>
        <v>0.947115384615385</v>
      </c>
      <c r="G223" s="11" t="n">
        <v>60</v>
      </c>
      <c r="H223" s="18" t="n">
        <v>45055</v>
      </c>
      <c r="I223" s="18" t="n">
        <v>46285</v>
      </c>
      <c r="J223" s="10" t="s">
        <v>854</v>
      </c>
      <c r="K223" s="10" t="s">
        <v>1077</v>
      </c>
      <c r="L223" s="2"/>
      <c r="M223" s="2"/>
      <c r="N223" s="2"/>
    </row>
    <row r="224" customFormat="false" ht="14.25" hidden="false" customHeight="false" outlineLevel="0" collapsed="false">
      <c r="A224" s="4" t="s">
        <v>280</v>
      </c>
      <c r="B224" s="4" t="s">
        <v>853</v>
      </c>
      <c r="C224" s="4" t="s">
        <v>129</v>
      </c>
      <c r="D224" s="8" t="b">
        <f aca="false">FALSE()</f>
        <v>0</v>
      </c>
      <c r="E224" s="5" t="n">
        <v>22</v>
      </c>
      <c r="F224" s="7" t="n">
        <f aca="false">E224/SUMIFS($E$2:$E$783,$A$2:$A$783,A224)</f>
        <v>0.0528846153846154</v>
      </c>
      <c r="G224" s="5" t="n">
        <v>0</v>
      </c>
      <c r="H224" s="17" t="n">
        <v>44987</v>
      </c>
      <c r="I224" s="17" t="n">
        <v>45049</v>
      </c>
      <c r="J224" s="4" t="s">
        <v>859</v>
      </c>
      <c r="K224" s="4" t="s">
        <v>1078</v>
      </c>
      <c r="L224" s="2"/>
      <c r="M224" s="2"/>
      <c r="N224" s="2"/>
    </row>
    <row r="225" customFormat="false" ht="14.25" hidden="false" customHeight="false" outlineLevel="0" collapsed="false">
      <c r="A225" s="10" t="s">
        <v>281</v>
      </c>
      <c r="B225" s="10" t="s">
        <v>853</v>
      </c>
      <c r="C225" s="10" t="s">
        <v>258</v>
      </c>
      <c r="D225" s="14" t="b">
        <f aca="false">TRUE()</f>
        <v>1</v>
      </c>
      <c r="E225" s="11" t="n">
        <v>350</v>
      </c>
      <c r="F225" s="13" t="n">
        <f aca="false">E225/SUMIFS($E$2:$E$783,$A$2:$A$783,A225)</f>
        <v>0.86848635235732</v>
      </c>
      <c r="G225" s="11" t="n">
        <v>0</v>
      </c>
      <c r="H225" s="18" t="n">
        <v>45055</v>
      </c>
      <c r="I225" s="18" t="n">
        <v>45874</v>
      </c>
      <c r="J225" s="10" t="s">
        <v>854</v>
      </c>
      <c r="K225" s="10" t="s">
        <v>1079</v>
      </c>
      <c r="L225" s="2"/>
      <c r="M225" s="2"/>
      <c r="N225" s="2"/>
    </row>
    <row r="226" customFormat="false" ht="14.25" hidden="false" customHeight="false" outlineLevel="0" collapsed="false">
      <c r="A226" s="4" t="s">
        <v>281</v>
      </c>
      <c r="B226" s="4" t="s">
        <v>853</v>
      </c>
      <c r="C226" s="4" t="s">
        <v>809</v>
      </c>
      <c r="D226" s="8" t="b">
        <f aca="false">FALSE()</f>
        <v>0</v>
      </c>
      <c r="E226" s="5" t="n">
        <v>32</v>
      </c>
      <c r="F226" s="7" t="n">
        <f aca="false">E226/SUMIFS($E$2:$E$783,$A$2:$A$783,A226)</f>
        <v>0.0794044665012407</v>
      </c>
      <c r="G226" s="5" t="n">
        <v>0</v>
      </c>
      <c r="H226" s="17" t="n">
        <v>44966</v>
      </c>
      <c r="I226" s="17" t="n">
        <v>45048</v>
      </c>
      <c r="J226" s="4" t="s">
        <v>856</v>
      </c>
      <c r="K226" s="4" t="s">
        <v>1080</v>
      </c>
      <c r="L226" s="2"/>
      <c r="M226" s="2"/>
      <c r="N226" s="2"/>
    </row>
    <row r="227" customFormat="false" ht="14.25" hidden="false" customHeight="false" outlineLevel="0" collapsed="false">
      <c r="A227" s="4" t="s">
        <v>281</v>
      </c>
      <c r="B227" s="4" t="s">
        <v>853</v>
      </c>
      <c r="C227" s="4" t="s">
        <v>129</v>
      </c>
      <c r="D227" s="8" t="b">
        <f aca="false">FALSE()</f>
        <v>0</v>
      </c>
      <c r="E227" s="5" t="n">
        <v>21</v>
      </c>
      <c r="F227" s="7" t="n">
        <f aca="false">E227/SUMIFS($E$2:$E$783,$A$2:$A$783,A227)</f>
        <v>0.0521091811414392</v>
      </c>
      <c r="G227" s="5" t="n">
        <v>0</v>
      </c>
      <c r="H227" s="17" t="n">
        <v>44931</v>
      </c>
      <c r="I227" s="17" t="n">
        <v>44976</v>
      </c>
      <c r="J227" s="4" t="s">
        <v>859</v>
      </c>
      <c r="K227" s="4" t="s">
        <v>1081</v>
      </c>
      <c r="L227" s="2"/>
      <c r="M227" s="2"/>
      <c r="N227" s="2"/>
    </row>
    <row r="228" customFormat="false" ht="14.25" hidden="false" customHeight="false" outlineLevel="0" collapsed="false">
      <c r="A228" s="10" t="s">
        <v>282</v>
      </c>
      <c r="B228" s="10" t="s">
        <v>853</v>
      </c>
      <c r="C228" s="10" t="s">
        <v>258</v>
      </c>
      <c r="D228" s="14" t="b">
        <f aca="false">TRUE()</f>
        <v>1</v>
      </c>
      <c r="E228" s="11" t="n">
        <v>350</v>
      </c>
      <c r="F228" s="13" t="n">
        <f aca="false">E228/SUMIFS($E$2:$E$783,$A$2:$A$783,A228)</f>
        <v>0.923482849604222</v>
      </c>
      <c r="G228" s="11" t="n">
        <v>10</v>
      </c>
      <c r="H228" s="18" t="n">
        <v>44932</v>
      </c>
      <c r="I228" s="18" t="n">
        <v>46084</v>
      </c>
      <c r="J228" s="10" t="s">
        <v>854</v>
      </c>
      <c r="K228" s="10" t="s">
        <v>1082</v>
      </c>
      <c r="L228" s="2"/>
      <c r="M228" s="2"/>
      <c r="N228" s="2"/>
    </row>
    <row r="229" customFormat="false" ht="14.25" hidden="false" customHeight="false" outlineLevel="0" collapsed="false">
      <c r="A229" s="4" t="s">
        <v>282</v>
      </c>
      <c r="B229" s="4" t="s">
        <v>853</v>
      </c>
      <c r="C229" s="4" t="s">
        <v>129</v>
      </c>
      <c r="D229" s="8" t="b">
        <f aca="false">FALSE()</f>
        <v>0</v>
      </c>
      <c r="E229" s="5" t="n">
        <v>29</v>
      </c>
      <c r="F229" s="7" t="n">
        <f aca="false">E229/SUMIFS($E$2:$E$783,$A$2:$A$783,A229)</f>
        <v>0.0765171503957784</v>
      </c>
      <c r="G229" s="5" t="n">
        <v>0</v>
      </c>
      <c r="H229" s="17" t="n">
        <v>44928</v>
      </c>
      <c r="I229" s="17" t="n">
        <v>45020</v>
      </c>
      <c r="J229" s="4" t="s">
        <v>859</v>
      </c>
      <c r="K229" s="4" t="s">
        <v>1083</v>
      </c>
      <c r="L229" s="2"/>
      <c r="M229" s="2"/>
      <c r="N229" s="2"/>
    </row>
    <row r="230" customFormat="false" ht="14.25" hidden="false" customHeight="false" outlineLevel="0" collapsed="false">
      <c r="A230" s="10" t="s">
        <v>283</v>
      </c>
      <c r="B230" s="10" t="s">
        <v>853</v>
      </c>
      <c r="C230" s="10" t="s">
        <v>258</v>
      </c>
      <c r="D230" s="14" t="b">
        <f aca="false">TRUE()</f>
        <v>1</v>
      </c>
      <c r="E230" s="11" t="n">
        <v>312</v>
      </c>
      <c r="F230" s="13" t="n">
        <f aca="false">E230/SUMIFS($E$2:$E$783,$A$2:$A$783,A230)</f>
        <v>0.954128440366973</v>
      </c>
      <c r="G230" s="11" t="n">
        <v>56</v>
      </c>
      <c r="H230" s="18" t="n">
        <v>45054</v>
      </c>
      <c r="I230" s="18" t="n">
        <v>46289</v>
      </c>
      <c r="J230" s="10" t="s">
        <v>854</v>
      </c>
      <c r="K230" s="10" t="s">
        <v>1084</v>
      </c>
      <c r="L230" s="2"/>
      <c r="M230" s="2"/>
      <c r="N230" s="2"/>
    </row>
    <row r="231" customFormat="false" ht="14.25" hidden="false" customHeight="false" outlineLevel="0" collapsed="false">
      <c r="A231" s="4" t="s">
        <v>283</v>
      </c>
      <c r="B231" s="4" t="s">
        <v>853</v>
      </c>
      <c r="C231" s="4" t="s">
        <v>129</v>
      </c>
      <c r="D231" s="8" t="b">
        <f aca="false">FALSE()</f>
        <v>0</v>
      </c>
      <c r="E231" s="5" t="n">
        <v>15</v>
      </c>
      <c r="F231" s="7" t="n">
        <f aca="false">E231/SUMIFS($E$2:$E$783,$A$2:$A$783,A231)</f>
        <v>0.0458715596330275</v>
      </c>
      <c r="G231" s="5" t="n">
        <v>0</v>
      </c>
      <c r="H231" s="17" t="n">
        <v>44989</v>
      </c>
      <c r="I231" s="17" t="n">
        <v>45050</v>
      </c>
      <c r="J231" s="4" t="s">
        <v>859</v>
      </c>
      <c r="K231" s="4" t="s">
        <v>1085</v>
      </c>
      <c r="L231" s="2"/>
      <c r="M231" s="2"/>
      <c r="N231" s="2"/>
    </row>
    <row r="232" customFormat="false" ht="14.25" hidden="false" customHeight="false" outlineLevel="0" collapsed="false">
      <c r="A232" s="10" t="s">
        <v>284</v>
      </c>
      <c r="B232" s="10" t="s">
        <v>853</v>
      </c>
      <c r="C232" s="10" t="s">
        <v>258</v>
      </c>
      <c r="D232" s="14" t="b">
        <f aca="false">TRUE()</f>
        <v>1</v>
      </c>
      <c r="E232" s="11" t="n">
        <v>298</v>
      </c>
      <c r="F232" s="13" t="n">
        <f aca="false">E232/SUMIFS($E$2:$E$783,$A$2:$A$783,A232)</f>
        <v>0.952076677316294</v>
      </c>
      <c r="G232" s="11" t="n">
        <v>60</v>
      </c>
      <c r="H232" s="18" t="n">
        <v>45051</v>
      </c>
      <c r="I232" s="18" t="n">
        <v>46294</v>
      </c>
      <c r="J232" s="10" t="s">
        <v>854</v>
      </c>
      <c r="K232" s="10" t="s">
        <v>1086</v>
      </c>
      <c r="L232" s="2"/>
      <c r="M232" s="2"/>
      <c r="N232" s="2"/>
    </row>
    <row r="233" customFormat="false" ht="14.25" hidden="false" customHeight="false" outlineLevel="0" collapsed="false">
      <c r="A233" s="4" t="s">
        <v>284</v>
      </c>
      <c r="B233" s="4" t="s">
        <v>853</v>
      </c>
      <c r="C233" s="4" t="s">
        <v>129</v>
      </c>
      <c r="D233" s="8" t="b">
        <f aca="false">FALSE()</f>
        <v>0</v>
      </c>
      <c r="E233" s="5" t="n">
        <v>15</v>
      </c>
      <c r="F233" s="7" t="n">
        <f aca="false">E233/SUMIFS($E$2:$E$783,$A$2:$A$783,A233)</f>
        <v>0.0479233226837061</v>
      </c>
      <c r="G233" s="5" t="n">
        <v>0</v>
      </c>
      <c r="H233" s="17" t="n">
        <v>44989</v>
      </c>
      <c r="I233" s="17" t="n">
        <v>45048</v>
      </c>
      <c r="J233" s="4" t="s">
        <v>859</v>
      </c>
      <c r="K233" s="4" t="s">
        <v>1087</v>
      </c>
      <c r="L233" s="2"/>
      <c r="M233" s="2"/>
      <c r="N233" s="2"/>
    </row>
    <row r="234" customFormat="false" ht="14.25" hidden="false" customHeight="false" outlineLevel="0" collapsed="false">
      <c r="A234" s="10" t="s">
        <v>285</v>
      </c>
      <c r="B234" s="10" t="s">
        <v>853</v>
      </c>
      <c r="C234" s="10" t="s">
        <v>258</v>
      </c>
      <c r="D234" s="14" t="b">
        <f aca="false">TRUE()</f>
        <v>1</v>
      </c>
      <c r="E234" s="11" t="n">
        <v>279</v>
      </c>
      <c r="F234" s="13" t="n">
        <f aca="false">E234/SUMIFS($E$2:$E$783,$A$2:$A$783,A234)</f>
        <v>0.962068965517241</v>
      </c>
      <c r="G234" s="11" t="n">
        <v>44</v>
      </c>
      <c r="H234" s="18" t="n">
        <v>45038</v>
      </c>
      <c r="I234" s="18" t="n">
        <v>46287</v>
      </c>
      <c r="J234" s="10" t="s">
        <v>854</v>
      </c>
      <c r="K234" s="10" t="s">
        <v>1088</v>
      </c>
      <c r="L234" s="2"/>
      <c r="M234" s="2"/>
      <c r="N234" s="2"/>
    </row>
    <row r="235" customFormat="false" ht="14.25" hidden="false" customHeight="false" outlineLevel="0" collapsed="false">
      <c r="A235" s="4" t="s">
        <v>285</v>
      </c>
      <c r="B235" s="4" t="s">
        <v>853</v>
      </c>
      <c r="C235" s="4" t="s">
        <v>129</v>
      </c>
      <c r="D235" s="8" t="b">
        <f aca="false">FALSE()</f>
        <v>0</v>
      </c>
      <c r="E235" s="5" t="n">
        <v>11</v>
      </c>
      <c r="F235" s="7" t="n">
        <f aca="false">E235/SUMIFS($E$2:$E$783,$A$2:$A$783,A235)</f>
        <v>0.0379310344827586</v>
      </c>
      <c r="G235" s="5" t="n">
        <v>0</v>
      </c>
      <c r="H235" s="17" t="n">
        <v>44991</v>
      </c>
      <c r="I235" s="17" t="n">
        <v>45043</v>
      </c>
      <c r="J235" s="4" t="s">
        <v>859</v>
      </c>
      <c r="K235" s="4" t="s">
        <v>1089</v>
      </c>
      <c r="L235" s="2"/>
      <c r="M235" s="2"/>
      <c r="N235" s="2"/>
    </row>
    <row r="236" customFormat="false" ht="14.25" hidden="false" customHeight="false" outlineLevel="0" collapsed="false">
      <c r="A236" s="10" t="s">
        <v>286</v>
      </c>
      <c r="B236" s="10" t="s">
        <v>853</v>
      </c>
      <c r="C236" s="10" t="s">
        <v>258</v>
      </c>
      <c r="D236" s="14" t="b">
        <f aca="false">TRUE()</f>
        <v>1</v>
      </c>
      <c r="E236" s="11" t="n">
        <v>248</v>
      </c>
      <c r="F236" s="13" t="n">
        <f aca="false">E236/SUMIFS($E$2:$E$783,$A$2:$A$783,A236)</f>
        <v>0.964980544747082</v>
      </c>
      <c r="G236" s="11" t="n">
        <v>44</v>
      </c>
      <c r="H236" s="18" t="n">
        <v>45051</v>
      </c>
      <c r="I236" s="18" t="n">
        <v>46296</v>
      </c>
      <c r="J236" s="10" t="s">
        <v>854</v>
      </c>
      <c r="K236" s="10" t="s">
        <v>1090</v>
      </c>
      <c r="L236" s="2"/>
      <c r="M236" s="2"/>
      <c r="N236" s="2"/>
    </row>
    <row r="237" customFormat="false" ht="14.25" hidden="false" customHeight="false" outlineLevel="0" collapsed="false">
      <c r="A237" s="4" t="s">
        <v>286</v>
      </c>
      <c r="B237" s="4" t="s">
        <v>853</v>
      </c>
      <c r="C237" s="4" t="s">
        <v>129</v>
      </c>
      <c r="D237" s="8" t="b">
        <f aca="false">FALSE()</f>
        <v>0</v>
      </c>
      <c r="E237" s="5" t="n">
        <v>9</v>
      </c>
      <c r="F237" s="7" t="n">
        <f aca="false">E237/SUMIFS($E$2:$E$783,$A$2:$A$783,A237)</f>
        <v>0.0350194552529183</v>
      </c>
      <c r="G237" s="5" t="n">
        <v>0</v>
      </c>
      <c r="H237" s="17" t="n">
        <v>44992</v>
      </c>
      <c r="I237" s="17" t="n">
        <v>45041</v>
      </c>
      <c r="J237" s="4" t="s">
        <v>859</v>
      </c>
      <c r="K237" s="4" t="s">
        <v>1091</v>
      </c>
      <c r="L237" s="2"/>
      <c r="M237" s="2"/>
      <c r="N237" s="2"/>
    </row>
    <row r="238" customFormat="false" ht="14.25" hidden="false" customHeight="false" outlineLevel="0" collapsed="false">
      <c r="A238" s="10" t="s">
        <v>287</v>
      </c>
      <c r="B238" s="10" t="s">
        <v>853</v>
      </c>
      <c r="C238" s="10" t="s">
        <v>258</v>
      </c>
      <c r="D238" s="14" t="b">
        <f aca="false">TRUE()</f>
        <v>1</v>
      </c>
      <c r="E238" s="11" t="n">
        <v>229</v>
      </c>
      <c r="F238" s="13" t="n">
        <f aca="false">E238/SUMIFS($E$2:$E$783,$A$2:$A$783,A238)</f>
        <v>0.954166666666667</v>
      </c>
      <c r="G238" s="11" t="n">
        <v>38</v>
      </c>
      <c r="H238" s="18" t="n">
        <v>45043</v>
      </c>
      <c r="I238" s="18" t="n">
        <v>46290</v>
      </c>
      <c r="J238" s="10" t="s">
        <v>854</v>
      </c>
      <c r="K238" s="10" t="s">
        <v>1092</v>
      </c>
      <c r="L238" s="2"/>
      <c r="M238" s="2"/>
      <c r="N238" s="2"/>
    </row>
    <row r="239" customFormat="false" ht="14.25" hidden="false" customHeight="false" outlineLevel="0" collapsed="false">
      <c r="A239" s="4" t="s">
        <v>287</v>
      </c>
      <c r="B239" s="4" t="s">
        <v>853</v>
      </c>
      <c r="C239" s="4" t="s">
        <v>129</v>
      </c>
      <c r="D239" s="8" t="b">
        <f aca="false">FALSE()</f>
        <v>0</v>
      </c>
      <c r="E239" s="5" t="n">
        <v>11</v>
      </c>
      <c r="F239" s="7" t="n">
        <f aca="false">E239/SUMIFS($E$2:$E$783,$A$2:$A$783,A239)</f>
        <v>0.0458333333333333</v>
      </c>
      <c r="G239" s="5" t="n">
        <v>0</v>
      </c>
      <c r="H239" s="17" t="n">
        <v>44981</v>
      </c>
      <c r="I239" s="17" t="n">
        <v>45034</v>
      </c>
      <c r="J239" s="4" t="s">
        <v>859</v>
      </c>
      <c r="K239" s="4" t="s">
        <v>1093</v>
      </c>
      <c r="L239" s="2"/>
      <c r="M239" s="2"/>
      <c r="N239" s="2"/>
    </row>
    <row r="240" customFormat="false" ht="14.25" hidden="false" customHeight="false" outlineLevel="0" collapsed="false">
      <c r="A240" s="10" t="s">
        <v>288</v>
      </c>
      <c r="B240" s="10" t="s">
        <v>853</v>
      </c>
      <c r="C240" s="10" t="s">
        <v>258</v>
      </c>
      <c r="D240" s="14" t="b">
        <f aca="false">TRUE()</f>
        <v>1</v>
      </c>
      <c r="E240" s="11" t="n">
        <v>221</v>
      </c>
      <c r="F240" s="13" t="n">
        <f aca="false">E240/SUMIFS($E$2:$E$783,$A$2:$A$783,A240)</f>
        <v>0.924686192468619</v>
      </c>
      <c r="G240" s="11" t="n">
        <v>36</v>
      </c>
      <c r="H240" s="18" t="n">
        <v>44978</v>
      </c>
      <c r="I240" s="18" t="n">
        <v>46293</v>
      </c>
      <c r="J240" s="10" t="s">
        <v>854</v>
      </c>
      <c r="K240" s="10" t="s">
        <v>1094</v>
      </c>
      <c r="L240" s="2"/>
      <c r="M240" s="2"/>
      <c r="N240" s="2"/>
    </row>
    <row r="241" customFormat="false" ht="14.25" hidden="false" customHeight="false" outlineLevel="0" collapsed="false">
      <c r="A241" s="4" t="s">
        <v>288</v>
      </c>
      <c r="B241" s="4" t="s">
        <v>853</v>
      </c>
      <c r="C241" s="4" t="s">
        <v>129</v>
      </c>
      <c r="D241" s="8" t="b">
        <f aca="false">FALSE()</f>
        <v>0</v>
      </c>
      <c r="E241" s="5" t="n">
        <v>18</v>
      </c>
      <c r="F241" s="7" t="n">
        <f aca="false">E241/SUMIFS($E$2:$E$783,$A$2:$A$783,A241)</f>
        <v>0.0753138075313808</v>
      </c>
      <c r="G241" s="5" t="n">
        <v>0</v>
      </c>
      <c r="H241" s="17" t="n">
        <v>44987</v>
      </c>
      <c r="I241" s="17" t="n">
        <v>45048</v>
      </c>
      <c r="J241" s="4" t="s">
        <v>859</v>
      </c>
      <c r="K241" s="4" t="s">
        <v>1095</v>
      </c>
      <c r="L241" s="2"/>
      <c r="M241" s="2"/>
      <c r="N241" s="2"/>
    </row>
    <row r="242" customFormat="false" ht="14.25" hidden="false" customHeight="false" outlineLevel="0" collapsed="false">
      <c r="A242" s="10" t="s">
        <v>289</v>
      </c>
      <c r="B242" s="10" t="s">
        <v>853</v>
      </c>
      <c r="C242" s="10" t="s">
        <v>258</v>
      </c>
      <c r="D242" s="14" t="b">
        <f aca="false">TRUE()</f>
        <v>1</v>
      </c>
      <c r="E242" s="11" t="n">
        <v>185</v>
      </c>
      <c r="F242" s="13" t="n">
        <f aca="false">E242/SUMIFS($E$2:$E$783,$A$2:$A$783,A242)</f>
        <v>0.963541666666667</v>
      </c>
      <c r="G242" s="11" t="n">
        <v>41</v>
      </c>
      <c r="H242" s="18" t="n">
        <v>45057</v>
      </c>
      <c r="I242" s="18" t="n">
        <v>46296</v>
      </c>
      <c r="J242" s="10" t="s">
        <v>854</v>
      </c>
      <c r="K242" s="10" t="s">
        <v>1096</v>
      </c>
      <c r="L242" s="2"/>
      <c r="M242" s="2"/>
      <c r="N242" s="2"/>
    </row>
    <row r="243" customFormat="false" ht="14.25" hidden="false" customHeight="false" outlineLevel="0" collapsed="false">
      <c r="A243" s="4" t="s">
        <v>289</v>
      </c>
      <c r="B243" s="4" t="s">
        <v>853</v>
      </c>
      <c r="C243" s="4" t="s">
        <v>129</v>
      </c>
      <c r="D243" s="8" t="b">
        <f aca="false">FALSE()</f>
        <v>0</v>
      </c>
      <c r="E243" s="5" t="n">
        <v>7</v>
      </c>
      <c r="F243" s="7" t="n">
        <f aca="false">E243/SUMIFS($E$2:$E$783,$A$2:$A$783,A243)</f>
        <v>0.0364583333333333</v>
      </c>
      <c r="G243" s="5" t="n">
        <v>0</v>
      </c>
      <c r="H243" s="17" t="n">
        <v>44978</v>
      </c>
      <c r="I243" s="17" t="n">
        <v>45051</v>
      </c>
      <c r="J243" s="4" t="s">
        <v>859</v>
      </c>
      <c r="K243" s="4" t="s">
        <v>1097</v>
      </c>
      <c r="L243" s="2"/>
      <c r="M243" s="2"/>
      <c r="N243" s="2"/>
    </row>
    <row r="244" customFormat="false" ht="14.25" hidden="false" customHeight="false" outlineLevel="0" collapsed="false">
      <c r="A244" s="10" t="s">
        <v>290</v>
      </c>
      <c r="B244" s="10" t="s">
        <v>853</v>
      </c>
      <c r="C244" s="10" t="s">
        <v>258</v>
      </c>
      <c r="D244" s="14" t="b">
        <f aca="false">TRUE()</f>
        <v>1</v>
      </c>
      <c r="E244" s="11" t="n">
        <v>133</v>
      </c>
      <c r="F244" s="13" t="n">
        <f aca="false">E244/SUMIFS($E$2:$E$783,$A$2:$A$783,A244)</f>
        <v>0.738888888888889</v>
      </c>
      <c r="G244" s="11" t="n">
        <v>25</v>
      </c>
      <c r="H244" s="18" t="n">
        <v>45215</v>
      </c>
      <c r="I244" s="18" t="n">
        <v>46140</v>
      </c>
      <c r="J244" s="10" t="s">
        <v>854</v>
      </c>
      <c r="K244" s="10" t="s">
        <v>1098</v>
      </c>
      <c r="L244" s="2"/>
      <c r="M244" s="2"/>
      <c r="N244" s="2"/>
    </row>
    <row r="245" customFormat="false" ht="14.25" hidden="false" customHeight="false" outlineLevel="0" collapsed="false">
      <c r="A245" s="4" t="s">
        <v>290</v>
      </c>
      <c r="B245" s="4" t="s">
        <v>853</v>
      </c>
      <c r="C245" s="4" t="s">
        <v>809</v>
      </c>
      <c r="D245" s="8" t="b">
        <f aca="false">FALSE()</f>
        <v>0</v>
      </c>
      <c r="E245" s="5" t="n">
        <v>39</v>
      </c>
      <c r="F245" s="7" t="n">
        <f aca="false">E245/SUMIFS($E$2:$E$783,$A$2:$A$783,A245)</f>
        <v>0.216666666666667</v>
      </c>
      <c r="G245" s="5" t="n">
        <v>0</v>
      </c>
      <c r="H245" s="17" t="n">
        <v>44978</v>
      </c>
      <c r="I245" s="17" t="n">
        <v>45022</v>
      </c>
      <c r="J245" s="4" t="s">
        <v>856</v>
      </c>
      <c r="K245" s="4" t="s">
        <v>1099</v>
      </c>
      <c r="L245" s="2"/>
      <c r="M245" s="2"/>
      <c r="N245" s="2"/>
    </row>
    <row r="246" customFormat="false" ht="14.25" hidden="false" customHeight="false" outlineLevel="0" collapsed="false">
      <c r="A246" s="4" t="s">
        <v>290</v>
      </c>
      <c r="B246" s="4" t="s">
        <v>853</v>
      </c>
      <c r="C246" s="4" t="s">
        <v>119</v>
      </c>
      <c r="D246" s="8" t="b">
        <f aca="false">FALSE()</f>
        <v>0</v>
      </c>
      <c r="E246" s="5" t="n">
        <v>8</v>
      </c>
      <c r="F246" s="7" t="n">
        <f aca="false">E246/SUMIFS($E$2:$E$783,$A$2:$A$783,A246)</f>
        <v>0.0444444444444444</v>
      </c>
      <c r="G246" s="5" t="n">
        <v>0</v>
      </c>
      <c r="H246" s="17" t="n">
        <v>44966</v>
      </c>
      <c r="I246" s="17" t="n">
        <v>44978</v>
      </c>
      <c r="J246" s="4" t="s">
        <v>859</v>
      </c>
      <c r="K246" s="4" t="s">
        <v>1100</v>
      </c>
      <c r="L246" s="2"/>
      <c r="M246" s="2"/>
      <c r="N246" s="2"/>
    </row>
    <row r="247" customFormat="false" ht="14.25" hidden="false" customHeight="false" outlineLevel="0" collapsed="false">
      <c r="A247" s="10" t="s">
        <v>291</v>
      </c>
      <c r="B247" s="10" t="s">
        <v>853</v>
      </c>
      <c r="C247" s="10" t="s">
        <v>258</v>
      </c>
      <c r="D247" s="14" t="b">
        <f aca="false">TRUE()</f>
        <v>1</v>
      </c>
      <c r="E247" s="11" t="n">
        <v>171</v>
      </c>
      <c r="F247" s="13" t="n">
        <f aca="false">E247/SUMIFS($E$2:$E$783,$A$2:$A$783,A247)</f>
        <v>0.95</v>
      </c>
      <c r="G247" s="11" t="n">
        <v>35</v>
      </c>
      <c r="H247" s="18" t="n">
        <v>45016</v>
      </c>
      <c r="I247" s="18" t="n">
        <v>46282</v>
      </c>
      <c r="J247" s="10" t="s">
        <v>854</v>
      </c>
      <c r="K247" s="10" t="s">
        <v>1101</v>
      </c>
      <c r="L247" s="2"/>
      <c r="M247" s="2"/>
      <c r="N247" s="2"/>
    </row>
    <row r="248" customFormat="false" ht="14.25" hidden="false" customHeight="false" outlineLevel="0" collapsed="false">
      <c r="A248" s="4" t="s">
        <v>291</v>
      </c>
      <c r="B248" s="4" t="s">
        <v>853</v>
      </c>
      <c r="C248" s="4" t="s">
        <v>809</v>
      </c>
      <c r="D248" s="8" t="b">
        <f aca="false">FALSE()</f>
        <v>0</v>
      </c>
      <c r="E248" s="5" t="n">
        <v>9</v>
      </c>
      <c r="F248" s="7" t="n">
        <f aca="false">E248/SUMIFS($E$2:$E$783,$A$2:$A$783,A248)</f>
        <v>0.05</v>
      </c>
      <c r="G248" s="5" t="n">
        <v>0</v>
      </c>
      <c r="H248" s="17" t="n">
        <v>44938</v>
      </c>
      <c r="I248" s="17" t="n">
        <v>45029</v>
      </c>
      <c r="J248" s="4" t="s">
        <v>856</v>
      </c>
      <c r="K248" s="4" t="s">
        <v>1102</v>
      </c>
      <c r="L248" s="2"/>
      <c r="M248" s="2"/>
      <c r="N248" s="2"/>
    </row>
    <row r="249" customFormat="false" ht="14.25" hidden="false" customHeight="false" outlineLevel="0" collapsed="false">
      <c r="A249" s="10" t="s">
        <v>292</v>
      </c>
      <c r="B249" s="10" t="s">
        <v>853</v>
      </c>
      <c r="C249" s="10" t="s">
        <v>258</v>
      </c>
      <c r="D249" s="14" t="b">
        <f aca="false">TRUE()</f>
        <v>1</v>
      </c>
      <c r="E249" s="11" t="n">
        <v>169</v>
      </c>
      <c r="F249" s="13" t="n">
        <f aca="false">E249/SUMIFS($E$2:$E$783,$A$2:$A$783,A249)</f>
        <v>0.982558139534884</v>
      </c>
      <c r="G249" s="11" t="n">
        <v>53</v>
      </c>
      <c r="H249" s="18" t="n">
        <v>44971</v>
      </c>
      <c r="I249" s="18" t="n">
        <v>46294</v>
      </c>
      <c r="J249" s="10" t="s">
        <v>854</v>
      </c>
      <c r="K249" s="10" t="s">
        <v>1103</v>
      </c>
      <c r="L249" s="2"/>
      <c r="M249" s="2"/>
      <c r="N249" s="2"/>
    </row>
    <row r="250" customFormat="false" ht="14.25" hidden="false" customHeight="false" outlineLevel="0" collapsed="false">
      <c r="A250" s="4" t="s">
        <v>292</v>
      </c>
      <c r="B250" s="4" t="s">
        <v>853</v>
      </c>
      <c r="C250" s="4" t="s">
        <v>809</v>
      </c>
      <c r="D250" s="8" t="b">
        <f aca="false">FALSE()</f>
        <v>0</v>
      </c>
      <c r="E250" s="5" t="n">
        <v>2</v>
      </c>
      <c r="F250" s="7" t="n">
        <f aca="false">E250/SUMIFS($E$2:$E$783,$A$2:$A$783,A250)</f>
        <v>0.0116279069767442</v>
      </c>
      <c r="G250" s="5" t="n">
        <v>0</v>
      </c>
      <c r="H250" s="17" t="n">
        <v>44970</v>
      </c>
      <c r="I250" s="17" t="n">
        <v>44988</v>
      </c>
      <c r="J250" s="4" t="s">
        <v>856</v>
      </c>
      <c r="K250" s="4" t="s">
        <v>1104</v>
      </c>
      <c r="L250" s="2"/>
      <c r="M250" s="2"/>
      <c r="N250" s="2"/>
    </row>
    <row r="251" customFormat="false" ht="14.25" hidden="false" customHeight="false" outlineLevel="0" collapsed="false">
      <c r="A251" s="4" t="s">
        <v>292</v>
      </c>
      <c r="B251" s="4" t="s">
        <v>853</v>
      </c>
      <c r="C251" s="4" t="s">
        <v>119</v>
      </c>
      <c r="D251" s="8" t="b">
        <f aca="false">FALSE()</f>
        <v>0</v>
      </c>
      <c r="E251" s="5" t="n">
        <v>1</v>
      </c>
      <c r="F251" s="7" t="n">
        <f aca="false">E251/SUMIFS($E$2:$E$783,$A$2:$A$783,A251)</f>
        <v>0.00581395348837209</v>
      </c>
      <c r="G251" s="5" t="n">
        <v>0</v>
      </c>
      <c r="H251" s="17" t="n">
        <v>44951</v>
      </c>
      <c r="I251" s="17" t="n">
        <v>44951</v>
      </c>
      <c r="J251" s="4" t="s">
        <v>859</v>
      </c>
      <c r="K251" s="4" t="s">
        <v>1105</v>
      </c>
      <c r="L251" s="2"/>
      <c r="M251" s="2"/>
      <c r="N251" s="2"/>
    </row>
    <row r="252" customFormat="false" ht="14.25" hidden="false" customHeight="false" outlineLevel="0" collapsed="false">
      <c r="A252" s="10" t="s">
        <v>293</v>
      </c>
      <c r="B252" s="10" t="s">
        <v>853</v>
      </c>
      <c r="C252" s="10" t="s">
        <v>258</v>
      </c>
      <c r="D252" s="14" t="b">
        <f aca="false">TRUE()</f>
        <v>1</v>
      </c>
      <c r="E252" s="11" t="n">
        <v>168</v>
      </c>
      <c r="F252" s="13" t="n">
        <f aca="false">E252/SUMIFS($E$2:$E$783,$A$2:$A$783,A252)</f>
        <v>0.976744186046512</v>
      </c>
      <c r="G252" s="11" t="n">
        <v>30</v>
      </c>
      <c r="H252" s="18" t="n">
        <v>45056</v>
      </c>
      <c r="I252" s="18" t="n">
        <v>46280</v>
      </c>
      <c r="J252" s="10" t="s">
        <v>854</v>
      </c>
      <c r="K252" s="10" t="s">
        <v>1106</v>
      </c>
      <c r="L252" s="2"/>
      <c r="M252" s="2"/>
      <c r="N252" s="2"/>
    </row>
    <row r="253" customFormat="false" ht="14.25" hidden="false" customHeight="false" outlineLevel="0" collapsed="false">
      <c r="A253" s="4" t="s">
        <v>293</v>
      </c>
      <c r="B253" s="4" t="s">
        <v>853</v>
      </c>
      <c r="C253" s="4" t="s">
        <v>129</v>
      </c>
      <c r="D253" s="8" t="b">
        <f aca="false">FALSE()</f>
        <v>0</v>
      </c>
      <c r="E253" s="5" t="n">
        <v>4</v>
      </c>
      <c r="F253" s="7" t="n">
        <f aca="false">E253/SUMIFS($E$2:$E$783,$A$2:$A$783,A253)</f>
        <v>0.0232558139534884</v>
      </c>
      <c r="G253" s="5" t="n">
        <v>0</v>
      </c>
      <c r="H253" s="17" t="n">
        <v>45027</v>
      </c>
      <c r="I253" s="17" t="n">
        <v>45054</v>
      </c>
      <c r="J253" s="4" t="s">
        <v>859</v>
      </c>
      <c r="K253" s="4" t="s">
        <v>1107</v>
      </c>
      <c r="L253" s="2"/>
      <c r="M253" s="2"/>
      <c r="N253" s="2"/>
    </row>
    <row r="254" customFormat="false" ht="14.25" hidden="false" customHeight="false" outlineLevel="0" collapsed="false">
      <c r="A254" s="10" t="s">
        <v>294</v>
      </c>
      <c r="B254" s="10" t="s">
        <v>853</v>
      </c>
      <c r="C254" s="10" t="s">
        <v>258</v>
      </c>
      <c r="D254" s="14" t="b">
        <f aca="false">TRUE()</f>
        <v>1</v>
      </c>
      <c r="E254" s="11" t="n">
        <v>162</v>
      </c>
      <c r="F254" s="13" t="n">
        <f aca="false">E254/SUMIFS($E$2:$E$783,$A$2:$A$783,A254)</f>
        <v>0.952941176470588</v>
      </c>
      <c r="G254" s="11" t="n">
        <v>24</v>
      </c>
      <c r="H254" s="18" t="n">
        <v>45056</v>
      </c>
      <c r="I254" s="18" t="n">
        <v>46284</v>
      </c>
      <c r="J254" s="10" t="s">
        <v>854</v>
      </c>
      <c r="K254" s="10" t="s">
        <v>1108</v>
      </c>
      <c r="L254" s="2"/>
      <c r="M254" s="2"/>
      <c r="N254" s="2"/>
    </row>
    <row r="255" customFormat="false" ht="14.25" hidden="false" customHeight="false" outlineLevel="0" collapsed="false">
      <c r="A255" s="4" t="s">
        <v>294</v>
      </c>
      <c r="B255" s="4" t="s">
        <v>853</v>
      </c>
      <c r="C255" s="4" t="s">
        <v>129</v>
      </c>
      <c r="D255" s="8" t="b">
        <f aca="false">FALSE()</f>
        <v>0</v>
      </c>
      <c r="E255" s="5" t="n">
        <v>8</v>
      </c>
      <c r="F255" s="7" t="n">
        <f aca="false">E255/SUMIFS($E$2:$E$783,$A$2:$A$783,A255)</f>
        <v>0.0470588235294118</v>
      </c>
      <c r="G255" s="5" t="n">
        <v>0</v>
      </c>
      <c r="H255" s="17" t="n">
        <v>44996</v>
      </c>
      <c r="I255" s="17" t="n">
        <v>45040</v>
      </c>
      <c r="J255" s="4" t="s">
        <v>859</v>
      </c>
      <c r="K255" s="4" t="s">
        <v>1109</v>
      </c>
      <c r="L255" s="2"/>
      <c r="M255" s="2"/>
      <c r="N255" s="2"/>
    </row>
    <row r="256" customFormat="false" ht="14.25" hidden="false" customHeight="false" outlineLevel="0" collapsed="false">
      <c r="A256" s="10" t="s">
        <v>295</v>
      </c>
      <c r="B256" s="10" t="s">
        <v>853</v>
      </c>
      <c r="C256" s="10" t="s">
        <v>258</v>
      </c>
      <c r="D256" s="14" t="b">
        <f aca="false">TRUE()</f>
        <v>1</v>
      </c>
      <c r="E256" s="11" t="n">
        <v>129</v>
      </c>
      <c r="F256" s="13" t="n">
        <f aca="false">E256/SUMIFS($E$2:$E$783,$A$2:$A$783,A256)</f>
        <v>0.895833333333333</v>
      </c>
      <c r="G256" s="11" t="n">
        <v>0</v>
      </c>
      <c r="H256" s="18" t="n">
        <v>45052</v>
      </c>
      <c r="I256" s="18" t="n">
        <v>45863</v>
      </c>
      <c r="J256" s="10" t="s">
        <v>854</v>
      </c>
      <c r="K256" s="10" t="s">
        <v>1110</v>
      </c>
      <c r="L256" s="2"/>
      <c r="M256" s="2"/>
      <c r="N256" s="2"/>
    </row>
    <row r="257" customFormat="false" ht="14.25" hidden="false" customHeight="false" outlineLevel="0" collapsed="false">
      <c r="A257" s="4" t="s">
        <v>295</v>
      </c>
      <c r="B257" s="4" t="s">
        <v>853</v>
      </c>
      <c r="C257" s="4" t="s">
        <v>129</v>
      </c>
      <c r="D257" s="8" t="b">
        <f aca="false">FALSE()</f>
        <v>0</v>
      </c>
      <c r="E257" s="5" t="n">
        <v>15</v>
      </c>
      <c r="F257" s="7" t="n">
        <f aca="false">E257/SUMIFS($E$2:$E$783,$A$2:$A$783,A257)</f>
        <v>0.104166666666667</v>
      </c>
      <c r="G257" s="5" t="n">
        <v>0</v>
      </c>
      <c r="H257" s="17" t="n">
        <v>44987</v>
      </c>
      <c r="I257" s="17" t="n">
        <v>45055</v>
      </c>
      <c r="J257" s="4" t="s">
        <v>859</v>
      </c>
      <c r="K257" s="4" t="s">
        <v>1111</v>
      </c>
      <c r="L257" s="2"/>
      <c r="M257" s="2"/>
      <c r="N257" s="2"/>
    </row>
    <row r="258" customFormat="false" ht="14.25" hidden="false" customHeight="false" outlineLevel="0" collapsed="false">
      <c r="A258" s="10" t="s">
        <v>298</v>
      </c>
      <c r="B258" s="10" t="s">
        <v>853</v>
      </c>
      <c r="C258" s="10" t="s">
        <v>258</v>
      </c>
      <c r="D258" s="14" t="b">
        <f aca="false">TRUE()</f>
        <v>1</v>
      </c>
      <c r="E258" s="11" t="n">
        <v>111</v>
      </c>
      <c r="F258" s="13" t="n">
        <f aca="false">E258/SUMIFS($E$2:$E$783,$A$2:$A$783,A258)</f>
        <v>0.991071428571429</v>
      </c>
      <c r="G258" s="11" t="n">
        <v>39</v>
      </c>
      <c r="H258" s="18" t="n">
        <v>45056</v>
      </c>
      <c r="I258" s="18" t="n">
        <v>46296</v>
      </c>
      <c r="J258" s="10" t="s">
        <v>854</v>
      </c>
      <c r="K258" s="10" t="s">
        <v>1112</v>
      </c>
      <c r="L258" s="2"/>
      <c r="M258" s="2"/>
      <c r="N258" s="2"/>
    </row>
    <row r="259" customFormat="false" ht="14.25" hidden="false" customHeight="false" outlineLevel="0" collapsed="false">
      <c r="A259" s="4" t="s">
        <v>298</v>
      </c>
      <c r="B259" s="4" t="s">
        <v>853</v>
      </c>
      <c r="C259" s="4" t="s">
        <v>129</v>
      </c>
      <c r="D259" s="8" t="b">
        <f aca="false">FALSE()</f>
        <v>0</v>
      </c>
      <c r="E259" s="5" t="n">
        <v>1</v>
      </c>
      <c r="F259" s="7" t="n">
        <f aca="false">E259/SUMIFS($E$2:$E$783,$A$2:$A$783,A259)</f>
        <v>0.00892857142857143</v>
      </c>
      <c r="G259" s="5" t="n">
        <v>0</v>
      </c>
      <c r="H259" s="17" t="n">
        <v>44975</v>
      </c>
      <c r="I259" s="17" t="n">
        <v>44975</v>
      </c>
      <c r="J259" s="4" t="s">
        <v>859</v>
      </c>
      <c r="K259" s="4" t="s">
        <v>1113</v>
      </c>
      <c r="L259" s="2"/>
      <c r="M259" s="2"/>
      <c r="N259" s="2"/>
    </row>
    <row r="260" customFormat="false" ht="14.25" hidden="false" customHeight="false" outlineLevel="0" collapsed="false">
      <c r="A260" s="10" t="s">
        <v>299</v>
      </c>
      <c r="B260" s="10" t="s">
        <v>853</v>
      </c>
      <c r="C260" s="10" t="s">
        <v>258</v>
      </c>
      <c r="D260" s="14" t="b">
        <f aca="false">TRUE()</f>
        <v>1</v>
      </c>
      <c r="E260" s="11" t="n">
        <v>107</v>
      </c>
      <c r="F260" s="13" t="n">
        <f aca="false">E260/SUMIFS($E$2:$E$783,$A$2:$A$783,A260)</f>
        <v>0.963963963963964</v>
      </c>
      <c r="G260" s="11" t="n">
        <v>38</v>
      </c>
      <c r="H260" s="18" t="n">
        <v>45040</v>
      </c>
      <c r="I260" s="18" t="n">
        <v>46287</v>
      </c>
      <c r="J260" s="10" t="s">
        <v>854</v>
      </c>
      <c r="K260" s="10" t="s">
        <v>1114</v>
      </c>
      <c r="L260" s="2"/>
      <c r="M260" s="2"/>
      <c r="N260" s="2"/>
    </row>
    <row r="261" customFormat="false" ht="14.25" hidden="false" customHeight="false" outlineLevel="0" collapsed="false">
      <c r="A261" s="4" t="s">
        <v>299</v>
      </c>
      <c r="B261" s="4" t="s">
        <v>853</v>
      </c>
      <c r="C261" s="4" t="s">
        <v>809</v>
      </c>
      <c r="D261" s="8" t="b">
        <f aca="false">FALSE()</f>
        <v>0</v>
      </c>
      <c r="E261" s="5" t="n">
        <v>4</v>
      </c>
      <c r="F261" s="7" t="n">
        <f aca="false">E261/SUMIFS($E$2:$E$783,$A$2:$A$783,A261)</f>
        <v>0.036036036036036</v>
      </c>
      <c r="G261" s="5" t="n">
        <v>0</v>
      </c>
      <c r="H261" s="17" t="n">
        <v>44937</v>
      </c>
      <c r="I261" s="17" t="n">
        <v>45022</v>
      </c>
      <c r="J261" s="4" t="s">
        <v>856</v>
      </c>
      <c r="K261" s="4" t="s">
        <v>1115</v>
      </c>
      <c r="L261" s="2"/>
      <c r="M261" s="2"/>
      <c r="N261" s="2"/>
    </row>
    <row r="262" customFormat="false" ht="14.25" hidden="false" customHeight="false" outlineLevel="0" collapsed="false">
      <c r="A262" s="10" t="s">
        <v>301</v>
      </c>
      <c r="B262" s="10" t="s">
        <v>853</v>
      </c>
      <c r="C262" s="10" t="s">
        <v>258</v>
      </c>
      <c r="D262" s="14" t="b">
        <f aca="false">TRUE()</f>
        <v>1</v>
      </c>
      <c r="E262" s="11" t="n">
        <v>76</v>
      </c>
      <c r="F262" s="13" t="n">
        <f aca="false">E262/SUMIFS($E$2:$E$783,$A$2:$A$783,A262)</f>
        <v>0.883720930232558</v>
      </c>
      <c r="G262" s="11" t="n">
        <v>14</v>
      </c>
      <c r="H262" s="18" t="n">
        <v>45056</v>
      </c>
      <c r="I262" s="18" t="n">
        <v>46257</v>
      </c>
      <c r="J262" s="10" t="s">
        <v>854</v>
      </c>
      <c r="K262" s="10" t="s">
        <v>1116</v>
      </c>
      <c r="L262" s="2"/>
      <c r="M262" s="2"/>
      <c r="N262" s="2"/>
    </row>
    <row r="263" customFormat="false" ht="14.25" hidden="false" customHeight="false" outlineLevel="0" collapsed="false">
      <c r="A263" s="4" t="s">
        <v>301</v>
      </c>
      <c r="B263" s="4" t="s">
        <v>853</v>
      </c>
      <c r="C263" s="4" t="s">
        <v>119</v>
      </c>
      <c r="D263" s="8" t="b">
        <f aca="false">FALSE()</f>
        <v>0</v>
      </c>
      <c r="E263" s="5" t="n">
        <v>10</v>
      </c>
      <c r="F263" s="7" t="n">
        <f aca="false">E263/SUMIFS($E$2:$E$783,$A$2:$A$783,A263)</f>
        <v>0.116279069767442</v>
      </c>
      <c r="G263" s="5" t="n">
        <v>0</v>
      </c>
      <c r="H263" s="17" t="n">
        <v>44955</v>
      </c>
      <c r="I263" s="17" t="n">
        <v>45039</v>
      </c>
      <c r="J263" s="4" t="s">
        <v>859</v>
      </c>
      <c r="K263" s="4" t="s">
        <v>1117</v>
      </c>
      <c r="L263" s="2"/>
      <c r="M263" s="2"/>
      <c r="N263" s="2"/>
    </row>
    <row r="264" customFormat="false" ht="14.25" hidden="false" customHeight="false" outlineLevel="0" collapsed="false">
      <c r="A264" s="10" t="s">
        <v>303</v>
      </c>
      <c r="B264" s="10" t="s">
        <v>853</v>
      </c>
      <c r="C264" s="10" t="s">
        <v>258</v>
      </c>
      <c r="D264" s="14" t="b">
        <f aca="false">TRUE()</f>
        <v>1</v>
      </c>
      <c r="E264" s="11" t="n">
        <v>76</v>
      </c>
      <c r="F264" s="13" t="n">
        <f aca="false">E264/SUMIFS($E$2:$E$783,$A$2:$A$783,A264)</f>
        <v>0.91566265060241</v>
      </c>
      <c r="G264" s="11" t="n">
        <v>3</v>
      </c>
      <c r="H264" s="18" t="n">
        <v>45013</v>
      </c>
      <c r="I264" s="18" t="n">
        <v>46079</v>
      </c>
      <c r="J264" s="10" t="s">
        <v>854</v>
      </c>
      <c r="K264" s="10" t="s">
        <v>1118</v>
      </c>
      <c r="L264" s="2"/>
      <c r="M264" s="2"/>
      <c r="N264" s="2"/>
    </row>
    <row r="265" customFormat="false" ht="14.25" hidden="false" customHeight="false" outlineLevel="0" collapsed="false">
      <c r="A265" s="4" t="s">
        <v>303</v>
      </c>
      <c r="B265" s="4" t="s">
        <v>853</v>
      </c>
      <c r="C265" s="4" t="s">
        <v>809</v>
      </c>
      <c r="D265" s="8" t="b">
        <f aca="false">FALSE()</f>
        <v>0</v>
      </c>
      <c r="E265" s="5" t="n">
        <v>7</v>
      </c>
      <c r="F265" s="7" t="n">
        <f aca="false">E265/SUMIFS($E$2:$E$783,$A$2:$A$783,A265)</f>
        <v>0.0843373493975904</v>
      </c>
      <c r="G265" s="5" t="n">
        <v>0</v>
      </c>
      <c r="H265" s="17" t="n">
        <v>44986</v>
      </c>
      <c r="I265" s="17" t="n">
        <v>45021</v>
      </c>
      <c r="J265" s="4" t="s">
        <v>856</v>
      </c>
      <c r="K265" s="4" t="s">
        <v>1119</v>
      </c>
      <c r="L265" s="2"/>
      <c r="M265" s="2"/>
      <c r="N265" s="2"/>
    </row>
    <row r="266" customFormat="false" ht="14.25" hidden="false" customHeight="false" outlineLevel="0" collapsed="false">
      <c r="A266" s="10" t="s">
        <v>304</v>
      </c>
      <c r="B266" s="10" t="s">
        <v>853</v>
      </c>
      <c r="C266" s="10" t="s">
        <v>258</v>
      </c>
      <c r="D266" s="14" t="b">
        <f aca="false">TRUE()</f>
        <v>1</v>
      </c>
      <c r="E266" s="11" t="n">
        <v>57</v>
      </c>
      <c r="F266" s="13" t="n">
        <f aca="false">E266/SUMIFS($E$2:$E$783,$A$2:$A$783,A266)</f>
        <v>0.966101694915254</v>
      </c>
      <c r="G266" s="11" t="n">
        <v>16</v>
      </c>
      <c r="H266" s="18" t="n">
        <v>45049</v>
      </c>
      <c r="I266" s="18" t="n">
        <v>46293</v>
      </c>
      <c r="J266" s="10" t="s">
        <v>854</v>
      </c>
      <c r="K266" s="10" t="s">
        <v>1120</v>
      </c>
      <c r="L266" s="2"/>
      <c r="M266" s="2"/>
      <c r="N266" s="2"/>
    </row>
    <row r="267" customFormat="false" ht="14.25" hidden="false" customHeight="false" outlineLevel="0" collapsed="false">
      <c r="A267" s="4" t="s">
        <v>304</v>
      </c>
      <c r="B267" s="4" t="s">
        <v>853</v>
      </c>
      <c r="C267" s="4" t="s">
        <v>129</v>
      </c>
      <c r="D267" s="8" t="b">
        <f aca="false">FALSE()</f>
        <v>0</v>
      </c>
      <c r="E267" s="5" t="n">
        <v>2</v>
      </c>
      <c r="F267" s="7" t="n">
        <f aca="false">E267/SUMIFS($E$2:$E$783,$A$2:$A$783,A267)</f>
        <v>0.0338983050847458</v>
      </c>
      <c r="G267" s="5" t="n">
        <v>0</v>
      </c>
      <c r="H267" s="17" t="n">
        <v>45034</v>
      </c>
      <c r="I267" s="17" t="n">
        <v>45048</v>
      </c>
      <c r="J267" s="4" t="s">
        <v>859</v>
      </c>
      <c r="K267" s="4" t="s">
        <v>1121</v>
      </c>
      <c r="L267" s="2"/>
      <c r="M267" s="2"/>
      <c r="N267" s="2"/>
    </row>
    <row r="268" customFormat="false" ht="14.25" hidden="false" customHeight="false" outlineLevel="0" collapsed="false">
      <c r="A268" s="10" t="s">
        <v>305</v>
      </c>
      <c r="B268" s="10" t="s">
        <v>853</v>
      </c>
      <c r="C268" s="10" t="s">
        <v>258</v>
      </c>
      <c r="D268" s="14" t="b">
        <f aca="false">TRUE()</f>
        <v>1</v>
      </c>
      <c r="E268" s="11" t="n">
        <v>47</v>
      </c>
      <c r="F268" s="13" t="n">
        <f aca="false">E268/SUMIFS($E$2:$E$783,$A$2:$A$783,A268)</f>
        <v>0.959183673469388</v>
      </c>
      <c r="G268" s="11" t="n">
        <v>18</v>
      </c>
      <c r="H268" s="18" t="n">
        <v>45066</v>
      </c>
      <c r="I268" s="18" t="n">
        <v>46275</v>
      </c>
      <c r="J268" s="10" t="s">
        <v>854</v>
      </c>
      <c r="K268" s="10" t="s">
        <v>1122</v>
      </c>
      <c r="L268" s="2"/>
      <c r="M268" s="2"/>
      <c r="N268" s="2"/>
    </row>
    <row r="269" customFormat="false" ht="14.25" hidden="false" customHeight="false" outlineLevel="0" collapsed="false">
      <c r="A269" s="4" t="s">
        <v>305</v>
      </c>
      <c r="B269" s="4" t="s">
        <v>853</v>
      </c>
      <c r="C269" s="4" t="s">
        <v>129</v>
      </c>
      <c r="D269" s="8" t="b">
        <f aca="false">FALSE()</f>
        <v>0</v>
      </c>
      <c r="E269" s="5" t="n">
        <v>2</v>
      </c>
      <c r="F269" s="7" t="n">
        <f aca="false">E269/SUMIFS($E$2:$E$783,$A$2:$A$783,A269)</f>
        <v>0.0408163265306122</v>
      </c>
      <c r="G269" s="5" t="n">
        <v>0</v>
      </c>
      <c r="H269" s="17" t="n">
        <v>44991</v>
      </c>
      <c r="I269" s="17" t="n">
        <v>45047</v>
      </c>
      <c r="J269" s="4" t="s">
        <v>859</v>
      </c>
      <c r="K269" s="4" t="s">
        <v>1123</v>
      </c>
      <c r="L269" s="2"/>
      <c r="M269" s="2"/>
      <c r="N269" s="2"/>
    </row>
    <row r="270" customFormat="false" ht="14.25" hidden="false" customHeight="false" outlineLevel="0" collapsed="false">
      <c r="A270" s="10" t="s">
        <v>306</v>
      </c>
      <c r="B270" s="10" t="s">
        <v>853</v>
      </c>
      <c r="C270" s="10" t="s">
        <v>258</v>
      </c>
      <c r="D270" s="14" t="b">
        <f aca="false">TRUE()</f>
        <v>1</v>
      </c>
      <c r="E270" s="11" t="n">
        <v>38</v>
      </c>
      <c r="F270" s="13" t="n">
        <f aca="false">E270/SUMIFS($E$2:$E$783,$A$2:$A$783,A270)</f>
        <v>0.926829268292683</v>
      </c>
      <c r="G270" s="11" t="n">
        <v>10</v>
      </c>
      <c r="H270" s="18" t="n">
        <v>45079</v>
      </c>
      <c r="I270" s="18" t="n">
        <v>46252</v>
      </c>
      <c r="J270" s="10" t="s">
        <v>854</v>
      </c>
      <c r="K270" s="10" t="s">
        <v>1124</v>
      </c>
      <c r="L270" s="2"/>
      <c r="M270" s="2"/>
      <c r="N270" s="2"/>
    </row>
    <row r="271" customFormat="false" ht="14.25" hidden="false" customHeight="false" outlineLevel="0" collapsed="false">
      <c r="A271" s="4" t="s">
        <v>306</v>
      </c>
      <c r="B271" s="4" t="s">
        <v>853</v>
      </c>
      <c r="C271" s="4" t="s">
        <v>809</v>
      </c>
      <c r="D271" s="8" t="b">
        <f aca="false">FALSE()</f>
        <v>0</v>
      </c>
      <c r="E271" s="5" t="n">
        <v>3</v>
      </c>
      <c r="F271" s="7" t="n">
        <f aca="false">E271/SUMIFS($E$2:$E$783,$A$2:$A$783,A271)</f>
        <v>0.0731707317073171</v>
      </c>
      <c r="G271" s="5" t="n">
        <v>0</v>
      </c>
      <c r="H271" s="17" t="n">
        <v>45008</v>
      </c>
      <c r="I271" s="17" t="n">
        <v>45043</v>
      </c>
      <c r="J271" s="4" t="s">
        <v>856</v>
      </c>
      <c r="K271" s="4" t="s">
        <v>1125</v>
      </c>
      <c r="L271" s="2"/>
      <c r="M271" s="2"/>
      <c r="N271" s="2"/>
    </row>
    <row r="272" customFormat="false" ht="14.25" hidden="false" customHeight="false" outlineLevel="0" collapsed="false">
      <c r="A272" s="10" t="s">
        <v>307</v>
      </c>
      <c r="B272" s="10" t="s">
        <v>853</v>
      </c>
      <c r="C272" s="10" t="s">
        <v>258</v>
      </c>
      <c r="D272" s="14" t="b">
        <f aca="false">TRUE()</f>
        <v>1</v>
      </c>
      <c r="E272" s="11" t="n">
        <v>27</v>
      </c>
      <c r="F272" s="13" t="n">
        <f aca="false">E272/SUMIFS($E$2:$E$783,$A$2:$A$783,A272)</f>
        <v>0.964285714285714</v>
      </c>
      <c r="G272" s="11" t="n">
        <v>0</v>
      </c>
      <c r="H272" s="18" t="n">
        <v>45280</v>
      </c>
      <c r="I272" s="18" t="n">
        <v>45948</v>
      </c>
      <c r="J272" s="10" t="s">
        <v>854</v>
      </c>
      <c r="K272" s="10" t="s">
        <v>1126</v>
      </c>
      <c r="L272" s="2"/>
      <c r="M272" s="2"/>
      <c r="N272" s="2"/>
    </row>
    <row r="273" customFormat="false" ht="14.25" hidden="false" customHeight="false" outlineLevel="0" collapsed="false">
      <c r="A273" s="4" t="s">
        <v>307</v>
      </c>
      <c r="B273" s="4" t="s">
        <v>853</v>
      </c>
      <c r="C273" s="4" t="s">
        <v>809</v>
      </c>
      <c r="D273" s="8" t="b">
        <f aca="false">FALSE()</f>
        <v>0</v>
      </c>
      <c r="E273" s="5" t="n">
        <v>1</v>
      </c>
      <c r="F273" s="7" t="n">
        <f aca="false">E273/SUMIFS($E$2:$E$783,$A$2:$A$783,A273)</f>
        <v>0.0357142857142857</v>
      </c>
      <c r="G273" s="5" t="n">
        <v>0</v>
      </c>
      <c r="H273" s="17" t="n">
        <v>44983</v>
      </c>
      <c r="I273" s="17" t="n">
        <v>44983</v>
      </c>
      <c r="J273" s="4" t="s">
        <v>856</v>
      </c>
      <c r="K273" s="4" t="s">
        <v>1127</v>
      </c>
      <c r="L273" s="2"/>
      <c r="M273" s="2"/>
      <c r="N273" s="2"/>
    </row>
    <row r="274" customFormat="false" ht="14.25" hidden="false" customHeight="false" outlineLevel="0" collapsed="false">
      <c r="A274" s="10" t="s">
        <v>336</v>
      </c>
      <c r="B274" s="10" t="s">
        <v>853</v>
      </c>
      <c r="C274" s="10" t="s">
        <v>337</v>
      </c>
      <c r="D274" s="14" t="b">
        <f aca="false">TRUE()</f>
        <v>1</v>
      </c>
      <c r="E274" s="11" t="n">
        <v>275</v>
      </c>
      <c r="F274" s="13" t="n">
        <f aca="false">E274/SUMIFS($E$2:$E$783,$A$2:$A$783,A274)</f>
        <v>0.892857142857143</v>
      </c>
      <c r="G274" s="11" t="n">
        <v>0</v>
      </c>
      <c r="H274" s="18" t="n">
        <v>45051</v>
      </c>
      <c r="I274" s="18" t="n">
        <v>45650</v>
      </c>
      <c r="J274" s="10" t="s">
        <v>854</v>
      </c>
      <c r="K274" s="10" t="s">
        <v>1128</v>
      </c>
      <c r="L274" s="2"/>
      <c r="M274" s="2"/>
      <c r="N274" s="2"/>
    </row>
    <row r="275" customFormat="false" ht="14.25" hidden="false" customHeight="false" outlineLevel="0" collapsed="false">
      <c r="A275" s="4" t="s">
        <v>336</v>
      </c>
      <c r="B275" s="4" t="s">
        <v>853</v>
      </c>
      <c r="C275" s="4" t="s">
        <v>816</v>
      </c>
      <c r="D275" s="8" t="b">
        <f aca="false">FALSE()</f>
        <v>0</v>
      </c>
      <c r="E275" s="5" t="n">
        <v>33</v>
      </c>
      <c r="F275" s="7" t="n">
        <f aca="false">E275/SUMIFS($E$2:$E$783,$A$2:$A$783,A275)</f>
        <v>0.107142857142857</v>
      </c>
      <c r="G275" s="5" t="n">
        <v>0</v>
      </c>
      <c r="H275" s="17" t="n">
        <v>44933</v>
      </c>
      <c r="I275" s="17" t="n">
        <v>45048</v>
      </c>
      <c r="J275" s="4" t="s">
        <v>859</v>
      </c>
      <c r="K275" s="4" t="s">
        <v>1129</v>
      </c>
      <c r="L275" s="2"/>
      <c r="M275" s="2"/>
      <c r="N275" s="2"/>
    </row>
    <row r="276" customFormat="false" ht="14.25" hidden="false" customHeight="false" outlineLevel="0" collapsed="false">
      <c r="A276" s="10" t="s">
        <v>338</v>
      </c>
      <c r="B276" s="10" t="s">
        <v>853</v>
      </c>
      <c r="C276" s="10" t="s">
        <v>337</v>
      </c>
      <c r="D276" s="14" t="b">
        <f aca="false">TRUE()</f>
        <v>1</v>
      </c>
      <c r="E276" s="11" t="n">
        <v>223</v>
      </c>
      <c r="F276" s="13" t="n">
        <f aca="false">E276/SUMIFS($E$2:$E$783,$A$2:$A$783,A276)</f>
        <v>0.881422924901186</v>
      </c>
      <c r="G276" s="11" t="n">
        <v>0</v>
      </c>
      <c r="H276" s="18" t="n">
        <v>45048</v>
      </c>
      <c r="I276" s="18" t="n">
        <v>45609</v>
      </c>
      <c r="J276" s="10" t="s">
        <v>854</v>
      </c>
      <c r="K276" s="10" t="s">
        <v>1130</v>
      </c>
      <c r="L276" s="2"/>
      <c r="M276" s="2"/>
      <c r="N276" s="2"/>
    </row>
    <row r="277" customFormat="false" ht="14.25" hidden="false" customHeight="false" outlineLevel="0" collapsed="false">
      <c r="A277" s="4" t="s">
        <v>338</v>
      </c>
      <c r="B277" s="4" t="s">
        <v>853</v>
      </c>
      <c r="C277" s="4" t="s">
        <v>816</v>
      </c>
      <c r="D277" s="8" t="b">
        <f aca="false">FALSE()</f>
        <v>0</v>
      </c>
      <c r="E277" s="5" t="n">
        <v>30</v>
      </c>
      <c r="F277" s="7" t="n">
        <f aca="false">E277/SUMIFS($E$2:$E$783,$A$2:$A$783,A277)</f>
        <v>0.118577075098814</v>
      </c>
      <c r="G277" s="5" t="n">
        <v>0</v>
      </c>
      <c r="H277" s="17" t="n">
        <v>44936</v>
      </c>
      <c r="I277" s="17" t="n">
        <v>45049</v>
      </c>
      <c r="J277" s="4" t="s">
        <v>859</v>
      </c>
      <c r="K277" s="4" t="s">
        <v>1131</v>
      </c>
      <c r="L277" s="2"/>
      <c r="M277" s="2"/>
      <c r="N277" s="2"/>
    </row>
    <row r="278" customFormat="false" ht="14.25" hidden="false" customHeight="false" outlineLevel="0" collapsed="false">
      <c r="A278" s="10" t="s">
        <v>340</v>
      </c>
      <c r="B278" s="10" t="s">
        <v>853</v>
      </c>
      <c r="C278" s="10" t="s">
        <v>337</v>
      </c>
      <c r="D278" s="14" t="b">
        <f aca="false">TRUE()</f>
        <v>1</v>
      </c>
      <c r="E278" s="11" t="n">
        <v>12</v>
      </c>
      <c r="F278" s="13" t="n">
        <f aca="false">E278/SUMIFS($E$2:$E$783,$A$2:$A$783,A278)</f>
        <v>0.571428571428571</v>
      </c>
      <c r="G278" s="11" t="n">
        <v>0</v>
      </c>
      <c r="H278" s="18" t="n">
        <v>45058</v>
      </c>
      <c r="I278" s="18" t="n">
        <v>45169</v>
      </c>
      <c r="J278" s="10" t="s">
        <v>854</v>
      </c>
      <c r="K278" s="10" t="s">
        <v>1132</v>
      </c>
      <c r="L278" s="2"/>
      <c r="M278" s="2"/>
      <c r="N278" s="2"/>
    </row>
    <row r="279" customFormat="false" ht="14.25" hidden="false" customHeight="false" outlineLevel="0" collapsed="false">
      <c r="A279" s="4" t="s">
        <v>340</v>
      </c>
      <c r="B279" s="4" t="s">
        <v>853</v>
      </c>
      <c r="C279" s="4" t="s">
        <v>816</v>
      </c>
      <c r="D279" s="8" t="b">
        <f aca="false">FALSE()</f>
        <v>0</v>
      </c>
      <c r="E279" s="5" t="n">
        <v>9</v>
      </c>
      <c r="F279" s="7" t="n">
        <f aca="false">E279/SUMIFS($E$2:$E$783,$A$2:$A$783,A279)</f>
        <v>0.428571428571429</v>
      </c>
      <c r="G279" s="5" t="n">
        <v>0</v>
      </c>
      <c r="H279" s="17" t="n">
        <v>44959</v>
      </c>
      <c r="I279" s="17" t="n">
        <v>45041</v>
      </c>
      <c r="J279" s="4" t="s">
        <v>859</v>
      </c>
      <c r="K279" s="4" t="s">
        <v>1133</v>
      </c>
      <c r="L279" s="2"/>
      <c r="M279" s="2"/>
      <c r="N279" s="2"/>
    </row>
    <row r="280" customFormat="false" ht="14.25" hidden="false" customHeight="false" outlineLevel="0" collapsed="false">
      <c r="A280" s="10" t="s">
        <v>350</v>
      </c>
      <c r="B280" s="10" t="s">
        <v>1134</v>
      </c>
      <c r="C280" s="10" t="s">
        <v>349</v>
      </c>
      <c r="D280" s="14" t="b">
        <f aca="false">TRUE()</f>
        <v>1</v>
      </c>
      <c r="E280" s="11" t="n">
        <v>946</v>
      </c>
      <c r="F280" s="13" t="n">
        <f aca="false">E280/SUMIFS($E$2:$E$783,$A$2:$A$783,A280)</f>
        <v>0.990575916230366</v>
      </c>
      <c r="G280" s="11" t="n">
        <v>263</v>
      </c>
      <c r="H280" s="18" t="n">
        <v>45034</v>
      </c>
      <c r="I280" s="18" t="n">
        <v>46293</v>
      </c>
      <c r="J280" s="10" t="s">
        <v>854</v>
      </c>
      <c r="K280" s="10" t="s">
        <v>1135</v>
      </c>
      <c r="L280" s="2"/>
      <c r="M280" s="2"/>
      <c r="N280" s="2"/>
    </row>
    <row r="281" customFormat="false" ht="14.25" hidden="false" customHeight="false" outlineLevel="0" collapsed="false">
      <c r="A281" s="4" t="s">
        <v>350</v>
      </c>
      <c r="B281" s="4" t="s">
        <v>1134</v>
      </c>
      <c r="C281" s="4" t="s">
        <v>433</v>
      </c>
      <c r="D281" s="8" t="b">
        <f aca="false">FALSE()</f>
        <v>0</v>
      </c>
      <c r="E281" s="5" t="n">
        <v>9</v>
      </c>
      <c r="F281" s="7" t="n">
        <f aca="false">E281/SUMIFS($E$2:$E$783,$A$2:$A$783,A281)</f>
        <v>0.00942408376963351</v>
      </c>
      <c r="G281" s="5" t="n">
        <v>0</v>
      </c>
      <c r="H281" s="17" t="n">
        <v>45089</v>
      </c>
      <c r="I281" s="17" t="n">
        <v>45229</v>
      </c>
      <c r="J281" s="4" t="s">
        <v>867</v>
      </c>
      <c r="K281" s="4" t="s">
        <v>1136</v>
      </c>
      <c r="L281" s="2"/>
      <c r="M281" s="2"/>
      <c r="N281" s="2"/>
    </row>
    <row r="282" customFormat="false" ht="14.25" hidden="false" customHeight="false" outlineLevel="0" collapsed="false">
      <c r="A282" s="10" t="s">
        <v>351</v>
      </c>
      <c r="B282" s="10" t="s">
        <v>1134</v>
      </c>
      <c r="C282" s="10" t="s">
        <v>349</v>
      </c>
      <c r="D282" s="14" t="b">
        <f aca="false">TRUE()</f>
        <v>1</v>
      </c>
      <c r="E282" s="11" t="n">
        <v>432</v>
      </c>
      <c r="F282" s="13" t="n">
        <f aca="false">E282/SUMIFS($E$2:$E$783,$A$2:$A$783,A282)</f>
        <v>0.997690531177829</v>
      </c>
      <c r="G282" s="11" t="n">
        <v>126</v>
      </c>
      <c r="H282" s="18" t="n">
        <v>45051</v>
      </c>
      <c r="I282" s="18" t="n">
        <v>46296</v>
      </c>
      <c r="J282" s="10" t="s">
        <v>854</v>
      </c>
      <c r="K282" s="10" t="s">
        <v>1090</v>
      </c>
      <c r="L282" s="2"/>
      <c r="M282" s="2"/>
      <c r="N282" s="2"/>
    </row>
    <row r="283" customFormat="false" ht="14.25" hidden="false" customHeight="false" outlineLevel="0" collapsed="false">
      <c r="A283" s="4" t="s">
        <v>351</v>
      </c>
      <c r="B283" s="4" t="s">
        <v>1134</v>
      </c>
      <c r="C283" s="4" t="s">
        <v>433</v>
      </c>
      <c r="D283" s="8" t="b">
        <f aca="false">FALSE()</f>
        <v>0</v>
      </c>
      <c r="E283" s="5" t="n">
        <v>1</v>
      </c>
      <c r="F283" s="7" t="n">
        <f aca="false">E283/SUMIFS($E$2:$E$783,$A$2:$A$783,A283)</f>
        <v>0.0023094688221709</v>
      </c>
      <c r="G283" s="5" t="n">
        <v>0</v>
      </c>
      <c r="H283" s="17" t="n">
        <v>45217</v>
      </c>
      <c r="I283" s="17" t="n">
        <v>45217</v>
      </c>
      <c r="J283" s="4" t="s">
        <v>867</v>
      </c>
      <c r="K283" s="4" t="s">
        <v>1137</v>
      </c>
      <c r="L283" s="2"/>
      <c r="M283" s="2"/>
      <c r="N283" s="2"/>
    </row>
    <row r="284" customFormat="false" ht="14.25" hidden="false" customHeight="false" outlineLevel="0" collapsed="false">
      <c r="A284" s="10" t="s">
        <v>353</v>
      </c>
      <c r="B284" s="10" t="s">
        <v>853</v>
      </c>
      <c r="C284" s="10" t="s">
        <v>349</v>
      </c>
      <c r="D284" s="14" t="b">
        <f aca="false">TRUE()</f>
        <v>1</v>
      </c>
      <c r="E284" s="11" t="n">
        <v>266</v>
      </c>
      <c r="F284" s="13" t="n">
        <f aca="false">E284/SUMIFS($E$2:$E$783,$A$2:$A$783,A284)</f>
        <v>0.917241379310345</v>
      </c>
      <c r="G284" s="11" t="n">
        <v>0</v>
      </c>
      <c r="H284" s="18" t="n">
        <v>45021</v>
      </c>
      <c r="I284" s="18" t="n">
        <v>45630</v>
      </c>
      <c r="J284" s="10" t="s">
        <v>854</v>
      </c>
      <c r="K284" s="10" t="s">
        <v>1138</v>
      </c>
      <c r="L284" s="2"/>
      <c r="M284" s="2"/>
      <c r="N284" s="2"/>
    </row>
    <row r="285" customFormat="false" ht="14.25" hidden="false" customHeight="false" outlineLevel="0" collapsed="false">
      <c r="A285" s="4" t="s">
        <v>353</v>
      </c>
      <c r="B285" s="4" t="s">
        <v>853</v>
      </c>
      <c r="C285" s="4" t="s">
        <v>1139</v>
      </c>
      <c r="D285" s="8" t="b">
        <f aca="false">FALSE()</f>
        <v>0</v>
      </c>
      <c r="E285" s="5" t="n">
        <v>24</v>
      </c>
      <c r="F285" s="7" t="n">
        <f aca="false">E285/SUMIFS($E$2:$E$783,$A$2:$A$783,A285)</f>
        <v>0.0827586206896552</v>
      </c>
      <c r="G285" s="5" t="n">
        <v>0</v>
      </c>
      <c r="H285" s="17" t="n">
        <v>44932</v>
      </c>
      <c r="I285" s="17" t="n">
        <v>45050</v>
      </c>
      <c r="J285" s="4" t="s">
        <v>859</v>
      </c>
      <c r="K285" s="4" t="s">
        <v>1140</v>
      </c>
      <c r="L285" s="2"/>
      <c r="M285" s="2"/>
      <c r="N285" s="2"/>
    </row>
    <row r="286" customFormat="false" ht="14.25" hidden="false" customHeight="false" outlineLevel="0" collapsed="false">
      <c r="A286" s="10" t="s">
        <v>355</v>
      </c>
      <c r="B286" s="10" t="s">
        <v>853</v>
      </c>
      <c r="C286" s="10" t="s">
        <v>349</v>
      </c>
      <c r="D286" s="14" t="b">
        <f aca="false">TRUE()</f>
        <v>1</v>
      </c>
      <c r="E286" s="11" t="n">
        <v>216</v>
      </c>
      <c r="F286" s="13" t="n">
        <f aca="false">E286/SUMIFS($E$2:$E$783,$A$2:$A$783,A286)</f>
        <v>0.964285714285714</v>
      </c>
      <c r="G286" s="11" t="n">
        <v>0</v>
      </c>
      <c r="H286" s="18" t="n">
        <v>44970</v>
      </c>
      <c r="I286" s="18" t="n">
        <v>45631</v>
      </c>
      <c r="J286" s="10" t="s">
        <v>854</v>
      </c>
      <c r="K286" s="10" t="s">
        <v>1141</v>
      </c>
      <c r="L286" s="2"/>
      <c r="M286" s="2"/>
      <c r="N286" s="2"/>
    </row>
    <row r="287" customFormat="false" ht="14.25" hidden="false" customHeight="false" outlineLevel="0" collapsed="false">
      <c r="A287" s="4" t="s">
        <v>355</v>
      </c>
      <c r="B287" s="4" t="s">
        <v>853</v>
      </c>
      <c r="C287" s="4" t="s">
        <v>1139</v>
      </c>
      <c r="D287" s="8" t="b">
        <f aca="false">FALSE()</f>
        <v>0</v>
      </c>
      <c r="E287" s="5" t="n">
        <v>8</v>
      </c>
      <c r="F287" s="7" t="n">
        <f aca="false">E287/SUMIFS($E$2:$E$783,$A$2:$A$783,A287)</f>
        <v>0.0357142857142857</v>
      </c>
      <c r="G287" s="5" t="n">
        <v>0</v>
      </c>
      <c r="H287" s="17" t="n">
        <v>44936</v>
      </c>
      <c r="I287" s="17" t="n">
        <v>45045</v>
      </c>
      <c r="J287" s="4" t="s">
        <v>859</v>
      </c>
      <c r="K287" s="4" t="s">
        <v>1142</v>
      </c>
      <c r="L287" s="2"/>
      <c r="M287" s="2"/>
      <c r="N287" s="2"/>
    </row>
    <row r="288" customFormat="false" ht="14.25" hidden="false" customHeight="false" outlineLevel="0" collapsed="false">
      <c r="A288" s="10" t="s">
        <v>360</v>
      </c>
      <c r="B288" s="10" t="s">
        <v>853</v>
      </c>
      <c r="C288" s="10" t="s">
        <v>349</v>
      </c>
      <c r="D288" s="14" t="b">
        <f aca="false">TRUE()</f>
        <v>1</v>
      </c>
      <c r="E288" s="11" t="n">
        <v>129</v>
      </c>
      <c r="F288" s="13" t="n">
        <f aca="false">E288/SUMIFS($E$2:$E$783,$A$2:$A$783,A288)</f>
        <v>0.934782608695652</v>
      </c>
      <c r="G288" s="11" t="n">
        <v>0</v>
      </c>
      <c r="H288" s="18" t="n">
        <v>45056</v>
      </c>
      <c r="I288" s="18" t="n">
        <v>45635</v>
      </c>
      <c r="J288" s="10" t="s">
        <v>854</v>
      </c>
      <c r="K288" s="10" t="s">
        <v>1143</v>
      </c>
      <c r="L288" s="2"/>
      <c r="M288" s="2"/>
      <c r="N288" s="2"/>
    </row>
    <row r="289" customFormat="false" ht="14.25" hidden="false" customHeight="false" outlineLevel="0" collapsed="false">
      <c r="A289" s="4" t="s">
        <v>360</v>
      </c>
      <c r="B289" s="4" t="s">
        <v>853</v>
      </c>
      <c r="C289" s="4" t="s">
        <v>1139</v>
      </c>
      <c r="D289" s="8" t="b">
        <f aca="false">FALSE()</f>
        <v>0</v>
      </c>
      <c r="E289" s="5" t="n">
        <v>9</v>
      </c>
      <c r="F289" s="7" t="n">
        <f aca="false">E289/SUMIFS($E$2:$E$783,$A$2:$A$783,A289)</f>
        <v>0.0652173913043478</v>
      </c>
      <c r="G289" s="5" t="n">
        <v>0</v>
      </c>
      <c r="H289" s="17" t="n">
        <v>44944</v>
      </c>
      <c r="I289" s="17" t="n">
        <v>45049</v>
      </c>
      <c r="J289" s="4" t="s">
        <v>859</v>
      </c>
      <c r="K289" s="4" t="s">
        <v>1144</v>
      </c>
      <c r="L289" s="2"/>
      <c r="M289" s="2"/>
      <c r="N289" s="2"/>
    </row>
    <row r="290" customFormat="false" ht="14.25" hidden="false" customHeight="false" outlineLevel="0" collapsed="false">
      <c r="A290" s="10" t="s">
        <v>367</v>
      </c>
      <c r="B290" s="10" t="s">
        <v>853</v>
      </c>
      <c r="C290" s="10" t="s">
        <v>349</v>
      </c>
      <c r="D290" s="14" t="b">
        <f aca="false">TRUE()</f>
        <v>1</v>
      </c>
      <c r="E290" s="11" t="n">
        <v>36</v>
      </c>
      <c r="F290" s="13" t="n">
        <f aca="false">E290/SUMIFS($E$2:$E$783,$A$2:$A$783,A290)</f>
        <v>0.972972972972973</v>
      </c>
      <c r="G290" s="11" t="n">
        <v>0</v>
      </c>
      <c r="H290" s="18" t="n">
        <v>45076</v>
      </c>
      <c r="I290" s="18" t="n">
        <v>45637</v>
      </c>
      <c r="J290" s="10" t="s">
        <v>854</v>
      </c>
      <c r="K290" s="10" t="s">
        <v>1145</v>
      </c>
      <c r="L290" s="2"/>
      <c r="M290" s="2"/>
      <c r="N290" s="2"/>
    </row>
    <row r="291" customFormat="false" ht="14.25" hidden="false" customHeight="false" outlineLevel="0" collapsed="false">
      <c r="A291" s="4" t="s">
        <v>367</v>
      </c>
      <c r="B291" s="4" t="s">
        <v>853</v>
      </c>
      <c r="C291" s="4" t="s">
        <v>1139</v>
      </c>
      <c r="D291" s="8" t="b">
        <f aca="false">FALSE()</f>
        <v>0</v>
      </c>
      <c r="E291" s="5" t="n">
        <v>1</v>
      </c>
      <c r="F291" s="7" t="n">
        <f aca="false">E291/SUMIFS($E$2:$E$783,$A$2:$A$783,A291)</f>
        <v>0.027027027027027</v>
      </c>
      <c r="G291" s="5" t="n">
        <v>0</v>
      </c>
      <c r="H291" s="17" t="n">
        <v>44935</v>
      </c>
      <c r="I291" s="17" t="n">
        <v>44935</v>
      </c>
      <c r="J291" s="4" t="s">
        <v>859</v>
      </c>
      <c r="K291" s="4" t="s">
        <v>1146</v>
      </c>
      <c r="L291" s="2"/>
      <c r="M291" s="2"/>
      <c r="N291" s="2"/>
    </row>
    <row r="292" customFormat="false" ht="14.25" hidden="false" customHeight="false" outlineLevel="0" collapsed="false">
      <c r="A292" s="10" t="s">
        <v>371</v>
      </c>
      <c r="B292" s="10" t="s">
        <v>853</v>
      </c>
      <c r="C292" s="10" t="s">
        <v>349</v>
      </c>
      <c r="D292" s="14" t="b">
        <f aca="false">TRUE()</f>
        <v>1</v>
      </c>
      <c r="E292" s="11" t="n">
        <v>13</v>
      </c>
      <c r="F292" s="13" t="n">
        <f aca="false">E292/SUMIFS($E$2:$E$783,$A$2:$A$783,A292)</f>
        <v>0.8125</v>
      </c>
      <c r="G292" s="11" t="n">
        <v>0</v>
      </c>
      <c r="H292" s="18" t="n">
        <v>45097</v>
      </c>
      <c r="I292" s="18" t="n">
        <v>45425</v>
      </c>
      <c r="J292" s="10" t="s">
        <v>854</v>
      </c>
      <c r="K292" s="10" t="s">
        <v>1147</v>
      </c>
      <c r="L292" s="2"/>
      <c r="M292" s="2"/>
      <c r="N292" s="2"/>
    </row>
    <row r="293" customFormat="false" ht="14.25" hidden="false" customHeight="false" outlineLevel="0" collapsed="false">
      <c r="A293" s="4" t="s">
        <v>371</v>
      </c>
      <c r="B293" s="4" t="s">
        <v>853</v>
      </c>
      <c r="C293" s="4" t="s">
        <v>1139</v>
      </c>
      <c r="D293" s="8" t="b">
        <f aca="false">FALSE()</f>
        <v>0</v>
      </c>
      <c r="E293" s="5" t="n">
        <v>3</v>
      </c>
      <c r="F293" s="7" t="n">
        <f aca="false">E293/SUMIFS($E$2:$E$783,$A$2:$A$783,A293)</f>
        <v>0.1875</v>
      </c>
      <c r="G293" s="5" t="n">
        <v>0</v>
      </c>
      <c r="H293" s="17" t="n">
        <v>44930</v>
      </c>
      <c r="I293" s="17" t="n">
        <v>45022</v>
      </c>
      <c r="J293" s="4" t="s">
        <v>859</v>
      </c>
      <c r="K293" s="4" t="s">
        <v>1148</v>
      </c>
      <c r="L293" s="2"/>
      <c r="M293" s="2"/>
      <c r="N293" s="2"/>
    </row>
    <row r="294" customFormat="false" ht="14.25" hidden="false" customHeight="false" outlineLevel="0" collapsed="false">
      <c r="A294" s="10" t="s">
        <v>376</v>
      </c>
      <c r="B294" s="10" t="s">
        <v>853</v>
      </c>
      <c r="C294" s="10" t="s">
        <v>377</v>
      </c>
      <c r="D294" s="14" t="b">
        <f aca="false">TRUE()</f>
        <v>1</v>
      </c>
      <c r="E294" s="11" t="n">
        <v>1873</v>
      </c>
      <c r="F294" s="13" t="n">
        <f aca="false">E294/SUMIFS($E$2:$E$783,$A$2:$A$783,A294)</f>
        <v>0.93369890329013</v>
      </c>
      <c r="G294" s="11" t="n">
        <v>442</v>
      </c>
      <c r="H294" s="18" t="n">
        <v>44952</v>
      </c>
      <c r="I294" s="18" t="n">
        <v>46296</v>
      </c>
      <c r="J294" s="10" t="s">
        <v>854</v>
      </c>
      <c r="K294" s="10" t="s">
        <v>1149</v>
      </c>
      <c r="L294" s="2"/>
      <c r="M294" s="2"/>
      <c r="N294" s="2"/>
    </row>
    <row r="295" customFormat="false" ht="14.25" hidden="false" customHeight="false" outlineLevel="0" collapsed="false">
      <c r="A295" s="4" t="s">
        <v>376</v>
      </c>
      <c r="B295" s="4" t="s">
        <v>853</v>
      </c>
      <c r="C295" s="4" t="s">
        <v>1150</v>
      </c>
      <c r="D295" s="8" t="b">
        <f aca="false">FALSE()</f>
        <v>0</v>
      </c>
      <c r="E295" s="5" t="n">
        <v>133</v>
      </c>
      <c r="F295" s="7" t="n">
        <f aca="false">E295/SUMIFS($E$2:$E$783,$A$2:$A$783,A295)</f>
        <v>0.0663010967098704</v>
      </c>
      <c r="G295" s="5" t="n">
        <v>0</v>
      </c>
      <c r="H295" s="17" t="n">
        <v>44930</v>
      </c>
      <c r="I295" s="17" t="n">
        <v>45054</v>
      </c>
      <c r="J295" s="4" t="s">
        <v>856</v>
      </c>
      <c r="K295" s="4" t="s">
        <v>1151</v>
      </c>
      <c r="L295" s="2"/>
      <c r="M295" s="2"/>
      <c r="N295" s="2"/>
    </row>
    <row r="296" customFormat="false" ht="14.25" hidden="false" customHeight="false" outlineLevel="0" collapsed="false">
      <c r="A296" s="10" t="s">
        <v>378</v>
      </c>
      <c r="B296" s="10" t="s">
        <v>853</v>
      </c>
      <c r="C296" s="10" t="s">
        <v>377</v>
      </c>
      <c r="D296" s="14" t="b">
        <f aca="false">TRUE()</f>
        <v>1</v>
      </c>
      <c r="E296" s="11" t="n">
        <v>508</v>
      </c>
      <c r="F296" s="13" t="n">
        <f aca="false">E296/SUMIFS($E$2:$E$783,$A$2:$A$783,A296)</f>
        <v>0.908765652951699</v>
      </c>
      <c r="G296" s="11" t="n">
        <v>84</v>
      </c>
      <c r="H296" s="18" t="n">
        <v>44947</v>
      </c>
      <c r="I296" s="18" t="n">
        <v>46296</v>
      </c>
      <c r="J296" s="10" t="s">
        <v>854</v>
      </c>
      <c r="K296" s="10" t="s">
        <v>957</v>
      </c>
      <c r="L296" s="2"/>
      <c r="M296" s="2"/>
      <c r="N296" s="2"/>
    </row>
    <row r="297" customFormat="false" ht="14.25" hidden="false" customHeight="false" outlineLevel="0" collapsed="false">
      <c r="A297" s="4" t="s">
        <v>378</v>
      </c>
      <c r="B297" s="4" t="s">
        <v>853</v>
      </c>
      <c r="C297" s="4" t="s">
        <v>1150</v>
      </c>
      <c r="D297" s="8" t="b">
        <f aca="false">FALSE()</f>
        <v>0</v>
      </c>
      <c r="E297" s="5" t="n">
        <v>51</v>
      </c>
      <c r="F297" s="7" t="n">
        <f aca="false">E297/SUMIFS($E$2:$E$783,$A$2:$A$783,A297)</f>
        <v>0.0912343470483005</v>
      </c>
      <c r="G297" s="5" t="n">
        <v>0</v>
      </c>
      <c r="H297" s="17" t="n">
        <v>44930</v>
      </c>
      <c r="I297" s="17" t="n">
        <v>45050</v>
      </c>
      <c r="J297" s="4" t="s">
        <v>856</v>
      </c>
      <c r="K297" s="4" t="s">
        <v>1152</v>
      </c>
      <c r="L297" s="2"/>
      <c r="M297" s="2"/>
      <c r="N297" s="2"/>
    </row>
    <row r="298" customFormat="false" ht="14.25" hidden="false" customHeight="false" outlineLevel="0" collapsed="false">
      <c r="A298" s="10" t="s">
        <v>379</v>
      </c>
      <c r="B298" s="10" t="s">
        <v>853</v>
      </c>
      <c r="C298" s="10" t="s">
        <v>377</v>
      </c>
      <c r="D298" s="14" t="b">
        <f aca="false">TRUE()</f>
        <v>1</v>
      </c>
      <c r="E298" s="11" t="n">
        <v>430</v>
      </c>
      <c r="F298" s="13" t="n">
        <f aca="false">E298/SUMIFS($E$2:$E$783,$A$2:$A$783,A298)</f>
        <v>0.892116182572614</v>
      </c>
      <c r="G298" s="11" t="n">
        <v>76</v>
      </c>
      <c r="H298" s="18" t="n">
        <v>45051</v>
      </c>
      <c r="I298" s="18" t="n">
        <v>46294</v>
      </c>
      <c r="J298" s="10" t="s">
        <v>854</v>
      </c>
      <c r="K298" s="10" t="s">
        <v>1086</v>
      </c>
      <c r="L298" s="2"/>
      <c r="M298" s="2"/>
      <c r="N298" s="2"/>
    </row>
    <row r="299" customFormat="false" ht="14.25" hidden="false" customHeight="false" outlineLevel="0" collapsed="false">
      <c r="A299" s="4" t="s">
        <v>379</v>
      </c>
      <c r="B299" s="4" t="s">
        <v>853</v>
      </c>
      <c r="C299" s="4" t="s">
        <v>1150</v>
      </c>
      <c r="D299" s="8" t="b">
        <f aca="false">FALSE()</f>
        <v>0</v>
      </c>
      <c r="E299" s="5" t="n">
        <v>52</v>
      </c>
      <c r="F299" s="7" t="n">
        <f aca="false">E299/SUMIFS($E$2:$E$783,$A$2:$A$783,A299)</f>
        <v>0.107883817427386</v>
      </c>
      <c r="G299" s="5" t="n">
        <v>0</v>
      </c>
      <c r="H299" s="17" t="n">
        <v>44936</v>
      </c>
      <c r="I299" s="17" t="n">
        <v>45048</v>
      </c>
      <c r="J299" s="4" t="s">
        <v>856</v>
      </c>
      <c r="K299" s="4" t="s">
        <v>1153</v>
      </c>
      <c r="L299" s="2"/>
      <c r="M299" s="2"/>
      <c r="N299" s="2"/>
    </row>
    <row r="300" customFormat="false" ht="14.25" hidden="false" customHeight="false" outlineLevel="0" collapsed="false">
      <c r="A300" s="10" t="s">
        <v>380</v>
      </c>
      <c r="B300" s="10" t="s">
        <v>853</v>
      </c>
      <c r="C300" s="10" t="s">
        <v>377</v>
      </c>
      <c r="D300" s="14" t="b">
        <f aca="false">TRUE()</f>
        <v>1</v>
      </c>
      <c r="E300" s="11" t="n">
        <v>81</v>
      </c>
      <c r="F300" s="13" t="n">
        <f aca="false">E300/SUMIFS($E$2:$E$783,$A$2:$A$783,A300)</f>
        <v>0.920454545454545</v>
      </c>
      <c r="G300" s="11" t="n">
        <v>13</v>
      </c>
      <c r="H300" s="18" t="n">
        <v>45055</v>
      </c>
      <c r="I300" s="18" t="n">
        <v>46233</v>
      </c>
      <c r="J300" s="10" t="s">
        <v>854</v>
      </c>
      <c r="K300" s="10" t="s">
        <v>1154</v>
      </c>
      <c r="L300" s="2"/>
      <c r="M300" s="2"/>
      <c r="N300" s="2"/>
    </row>
    <row r="301" customFormat="false" ht="14.25" hidden="false" customHeight="false" outlineLevel="0" collapsed="false">
      <c r="A301" s="4" t="s">
        <v>380</v>
      </c>
      <c r="B301" s="4" t="s">
        <v>853</v>
      </c>
      <c r="C301" s="4" t="s">
        <v>1150</v>
      </c>
      <c r="D301" s="8" t="b">
        <f aca="false">FALSE()</f>
        <v>0</v>
      </c>
      <c r="E301" s="5" t="n">
        <v>7</v>
      </c>
      <c r="F301" s="7" t="n">
        <f aca="false">E301/SUMIFS($E$2:$E$783,$A$2:$A$783,A301)</f>
        <v>0.0795454545454545</v>
      </c>
      <c r="G301" s="5" t="n">
        <v>0</v>
      </c>
      <c r="H301" s="17" t="n">
        <v>44931</v>
      </c>
      <c r="I301" s="17" t="n">
        <v>45048</v>
      </c>
      <c r="J301" s="4" t="s">
        <v>856</v>
      </c>
      <c r="K301" s="4" t="s">
        <v>1155</v>
      </c>
      <c r="L301" s="2"/>
      <c r="M301" s="2"/>
      <c r="N301" s="2"/>
    </row>
    <row r="302" customFormat="false" ht="14.25" hidden="false" customHeight="false" outlineLevel="0" collapsed="false">
      <c r="A302" s="10" t="s">
        <v>381</v>
      </c>
      <c r="B302" s="10" t="s">
        <v>853</v>
      </c>
      <c r="C302" s="10" t="s">
        <v>377</v>
      </c>
      <c r="D302" s="14" t="b">
        <f aca="false">TRUE()</f>
        <v>1</v>
      </c>
      <c r="E302" s="11" t="n">
        <v>53</v>
      </c>
      <c r="F302" s="13" t="n">
        <f aca="false">E302/SUMIFS($E$2:$E$783,$A$2:$A$783,A302)</f>
        <v>0.883333333333333</v>
      </c>
      <c r="G302" s="11" t="n">
        <v>13</v>
      </c>
      <c r="H302" s="18" t="n">
        <v>45061</v>
      </c>
      <c r="I302" s="18" t="n">
        <v>46258</v>
      </c>
      <c r="J302" s="10" t="s">
        <v>854</v>
      </c>
      <c r="K302" s="10" t="s">
        <v>1156</v>
      </c>
      <c r="L302" s="2"/>
      <c r="M302" s="2"/>
      <c r="N302" s="2"/>
    </row>
    <row r="303" customFormat="false" ht="14.25" hidden="false" customHeight="false" outlineLevel="0" collapsed="false">
      <c r="A303" s="4" t="s">
        <v>381</v>
      </c>
      <c r="B303" s="4" t="s">
        <v>853</v>
      </c>
      <c r="C303" s="4" t="s">
        <v>1150</v>
      </c>
      <c r="D303" s="8" t="b">
        <f aca="false">FALSE()</f>
        <v>0</v>
      </c>
      <c r="E303" s="5" t="n">
        <v>7</v>
      </c>
      <c r="F303" s="7" t="n">
        <f aca="false">E303/SUMIFS($E$2:$E$783,$A$2:$A$783,A303)</f>
        <v>0.116666666666667</v>
      </c>
      <c r="G303" s="5" t="n">
        <v>0</v>
      </c>
      <c r="H303" s="17" t="n">
        <v>44978</v>
      </c>
      <c r="I303" s="17" t="n">
        <v>45036</v>
      </c>
      <c r="J303" s="4" t="s">
        <v>856</v>
      </c>
      <c r="K303" s="4" t="s">
        <v>1157</v>
      </c>
      <c r="L303" s="2"/>
      <c r="M303" s="2"/>
      <c r="N303" s="2"/>
    </row>
    <row r="304" customFormat="false" ht="14.25" hidden="false" customHeight="false" outlineLevel="0" collapsed="false">
      <c r="A304" s="10" t="s">
        <v>384</v>
      </c>
      <c r="B304" s="10" t="s">
        <v>853</v>
      </c>
      <c r="C304" s="10" t="s">
        <v>383</v>
      </c>
      <c r="D304" s="14" t="b">
        <f aca="false">TRUE()</f>
        <v>1</v>
      </c>
      <c r="E304" s="11" t="n">
        <v>199</v>
      </c>
      <c r="F304" s="13" t="n">
        <f aca="false">E304/SUMIFS($E$2:$E$783,$A$2:$A$783,A304)</f>
        <v>0.753787878787879</v>
      </c>
      <c r="G304" s="11" t="n">
        <v>0</v>
      </c>
      <c r="H304" s="18" t="n">
        <v>45036</v>
      </c>
      <c r="I304" s="18" t="n">
        <v>45250</v>
      </c>
      <c r="J304" s="10" t="s">
        <v>854</v>
      </c>
      <c r="K304" s="10" t="s">
        <v>1158</v>
      </c>
      <c r="L304" s="2"/>
      <c r="M304" s="2"/>
      <c r="N304" s="2"/>
    </row>
    <row r="305" customFormat="false" ht="14.25" hidden="false" customHeight="false" outlineLevel="0" collapsed="false">
      <c r="A305" s="4" t="s">
        <v>384</v>
      </c>
      <c r="B305" s="4" t="s">
        <v>853</v>
      </c>
      <c r="C305" s="4" t="s">
        <v>822</v>
      </c>
      <c r="D305" s="8" t="b">
        <f aca="false">FALSE()</f>
        <v>0</v>
      </c>
      <c r="E305" s="5" t="n">
        <v>65</v>
      </c>
      <c r="F305" s="7" t="n">
        <f aca="false">E305/SUMIFS($E$2:$E$783,$A$2:$A$783,A305)</f>
        <v>0.246212121212121</v>
      </c>
      <c r="G305" s="5" t="n">
        <v>0</v>
      </c>
      <c r="H305" s="17" t="n">
        <v>44929</v>
      </c>
      <c r="I305" s="17" t="n">
        <v>45055</v>
      </c>
      <c r="J305" s="4" t="s">
        <v>859</v>
      </c>
      <c r="K305" s="4" t="s">
        <v>1159</v>
      </c>
      <c r="L305" s="2"/>
      <c r="M305" s="2"/>
      <c r="N305" s="2"/>
    </row>
    <row r="306" customFormat="false" ht="14.25" hidden="false" customHeight="false" outlineLevel="0" collapsed="false">
      <c r="A306" s="10" t="s">
        <v>391</v>
      </c>
      <c r="B306" s="10" t="s">
        <v>853</v>
      </c>
      <c r="C306" s="10" t="s">
        <v>390</v>
      </c>
      <c r="D306" s="14" t="b">
        <f aca="false">TRUE()</f>
        <v>1</v>
      </c>
      <c r="E306" s="11" t="n">
        <v>43</v>
      </c>
      <c r="F306" s="13" t="n">
        <f aca="false">E306/SUMIFS($E$2:$E$783,$A$2:$A$783,A306)</f>
        <v>0.86</v>
      </c>
      <c r="G306" s="11" t="n">
        <v>0</v>
      </c>
      <c r="H306" s="18" t="n">
        <v>45013</v>
      </c>
      <c r="I306" s="18" t="n">
        <v>45715</v>
      </c>
      <c r="J306" s="10" t="s">
        <v>854</v>
      </c>
      <c r="K306" s="10" t="s">
        <v>1160</v>
      </c>
      <c r="L306" s="2"/>
      <c r="M306" s="2"/>
      <c r="N306" s="2"/>
    </row>
    <row r="307" customFormat="false" ht="14.25" hidden="false" customHeight="false" outlineLevel="0" collapsed="false">
      <c r="A307" s="4" t="s">
        <v>391</v>
      </c>
      <c r="B307" s="4" t="s">
        <v>853</v>
      </c>
      <c r="C307" s="4" t="s">
        <v>1161</v>
      </c>
      <c r="D307" s="8" t="b">
        <f aca="false">FALSE()</f>
        <v>0</v>
      </c>
      <c r="E307" s="5" t="n">
        <v>7</v>
      </c>
      <c r="F307" s="7" t="n">
        <f aca="false">E307/SUMIFS($E$2:$E$783,$A$2:$A$783,A307)</f>
        <v>0.14</v>
      </c>
      <c r="G307" s="5" t="n">
        <v>0</v>
      </c>
      <c r="H307" s="17" t="n">
        <v>44951</v>
      </c>
      <c r="I307" s="17" t="n">
        <v>45031</v>
      </c>
      <c r="J307" s="4" t="s">
        <v>856</v>
      </c>
      <c r="K307" s="4" t="s">
        <v>1162</v>
      </c>
      <c r="L307" s="2"/>
      <c r="M307" s="2"/>
      <c r="N307" s="2"/>
    </row>
    <row r="308" customFormat="false" ht="14.25" hidden="false" customHeight="false" outlineLevel="0" collapsed="false">
      <c r="A308" s="10" t="s">
        <v>392</v>
      </c>
      <c r="B308" s="10" t="s">
        <v>853</v>
      </c>
      <c r="C308" s="10" t="s">
        <v>390</v>
      </c>
      <c r="D308" s="14" t="b">
        <f aca="false">TRUE()</f>
        <v>1</v>
      </c>
      <c r="E308" s="11" t="n">
        <v>32</v>
      </c>
      <c r="F308" s="13" t="n">
        <f aca="false">E308/SUMIFS($E$2:$E$783,$A$2:$A$783,A308)</f>
        <v>0.864864864864865</v>
      </c>
      <c r="G308" s="11" t="n">
        <v>0</v>
      </c>
      <c r="H308" s="18" t="n">
        <v>45055</v>
      </c>
      <c r="I308" s="18" t="n">
        <v>45715</v>
      </c>
      <c r="J308" s="10" t="s">
        <v>854</v>
      </c>
      <c r="K308" s="10" t="s">
        <v>1163</v>
      </c>
      <c r="L308" s="2"/>
      <c r="M308" s="2"/>
      <c r="N308" s="2"/>
    </row>
    <row r="309" customFormat="false" ht="14.25" hidden="false" customHeight="false" outlineLevel="0" collapsed="false">
      <c r="A309" s="4" t="s">
        <v>392</v>
      </c>
      <c r="B309" s="4" t="s">
        <v>853</v>
      </c>
      <c r="C309" s="4" t="s">
        <v>1161</v>
      </c>
      <c r="D309" s="8" t="b">
        <f aca="false">FALSE()</f>
        <v>0</v>
      </c>
      <c r="E309" s="5" t="n">
        <v>5</v>
      </c>
      <c r="F309" s="7" t="n">
        <f aca="false">E309/SUMIFS($E$2:$E$783,$A$2:$A$783,A309)</f>
        <v>0.135135135135135</v>
      </c>
      <c r="G309" s="5" t="n">
        <v>0</v>
      </c>
      <c r="H309" s="17" t="n">
        <v>44978</v>
      </c>
      <c r="I309" s="17" t="n">
        <v>45041</v>
      </c>
      <c r="J309" s="4" t="s">
        <v>856</v>
      </c>
      <c r="K309" s="4" t="s">
        <v>1164</v>
      </c>
      <c r="L309" s="2"/>
      <c r="M309" s="2"/>
      <c r="N309" s="2"/>
    </row>
    <row r="310" customFormat="false" ht="14.25" hidden="false" customHeight="false" outlineLevel="0" collapsed="false">
      <c r="A310" s="10" t="s">
        <v>394</v>
      </c>
      <c r="B310" s="10" t="s">
        <v>853</v>
      </c>
      <c r="C310" s="10" t="s">
        <v>390</v>
      </c>
      <c r="D310" s="14" t="b">
        <f aca="false">TRUE()</f>
        <v>1</v>
      </c>
      <c r="E310" s="11" t="n">
        <v>16</v>
      </c>
      <c r="F310" s="13" t="n">
        <f aca="false">E310/SUMIFS($E$2:$E$783,$A$2:$A$783,A310)</f>
        <v>0.551724137931035</v>
      </c>
      <c r="G310" s="11" t="n">
        <v>0</v>
      </c>
      <c r="H310" s="18" t="n">
        <v>45002</v>
      </c>
      <c r="I310" s="18" t="n">
        <v>45178</v>
      </c>
      <c r="J310" s="10" t="s">
        <v>854</v>
      </c>
      <c r="K310" s="10" t="s">
        <v>1165</v>
      </c>
      <c r="L310" s="2"/>
      <c r="M310" s="2"/>
      <c r="N310" s="2"/>
    </row>
    <row r="311" customFormat="false" ht="14.25" hidden="false" customHeight="false" outlineLevel="0" collapsed="false">
      <c r="A311" s="4" t="s">
        <v>394</v>
      </c>
      <c r="B311" s="4" t="s">
        <v>853</v>
      </c>
      <c r="C311" s="4" t="s">
        <v>1161</v>
      </c>
      <c r="D311" s="8" t="b">
        <f aca="false">FALSE()</f>
        <v>0</v>
      </c>
      <c r="E311" s="5" t="n">
        <v>13</v>
      </c>
      <c r="F311" s="7" t="n">
        <f aca="false">E311/SUMIFS($E$2:$E$783,$A$2:$A$783,A311)</f>
        <v>0.448275862068966</v>
      </c>
      <c r="G311" s="5" t="n">
        <v>0</v>
      </c>
      <c r="H311" s="17" t="n">
        <v>44937</v>
      </c>
      <c r="I311" s="17" t="n">
        <v>45008</v>
      </c>
      <c r="J311" s="4" t="s">
        <v>856</v>
      </c>
      <c r="K311" s="4" t="s">
        <v>1166</v>
      </c>
      <c r="L311" s="2"/>
      <c r="M311" s="2"/>
      <c r="N311" s="2"/>
    </row>
    <row r="312" customFormat="false" ht="14.25" hidden="false" customHeight="false" outlineLevel="0" collapsed="false">
      <c r="A312" s="10" t="s">
        <v>396</v>
      </c>
      <c r="B312" s="10" t="s">
        <v>853</v>
      </c>
      <c r="C312" s="10" t="s">
        <v>390</v>
      </c>
      <c r="D312" s="14" t="b">
        <f aca="false">TRUE()</f>
        <v>1</v>
      </c>
      <c r="E312" s="11" t="n">
        <v>5</v>
      </c>
      <c r="F312" s="13" t="n">
        <f aca="false">E312/SUMIFS($E$2:$E$783,$A$2:$A$783,A312)</f>
        <v>0.714285714285714</v>
      </c>
      <c r="G312" s="11" t="n">
        <v>0</v>
      </c>
      <c r="H312" s="18" t="n">
        <v>45132</v>
      </c>
      <c r="I312" s="18" t="n">
        <v>45442</v>
      </c>
      <c r="J312" s="10" t="s">
        <v>854</v>
      </c>
      <c r="K312" s="10" t="s">
        <v>1167</v>
      </c>
      <c r="L312" s="2"/>
      <c r="M312" s="2"/>
      <c r="N312" s="2"/>
    </row>
    <row r="313" customFormat="false" ht="14.25" hidden="false" customHeight="false" outlineLevel="0" collapsed="false">
      <c r="A313" s="4" t="s">
        <v>396</v>
      </c>
      <c r="B313" s="4" t="s">
        <v>853</v>
      </c>
      <c r="C313" s="4" t="s">
        <v>1161</v>
      </c>
      <c r="D313" s="8" t="b">
        <f aca="false">FALSE()</f>
        <v>0</v>
      </c>
      <c r="E313" s="5" t="n">
        <v>2</v>
      </c>
      <c r="F313" s="7" t="n">
        <f aca="false">E313/SUMIFS($E$2:$E$783,$A$2:$A$783,A313)</f>
        <v>0.285714285714286</v>
      </c>
      <c r="G313" s="5" t="n">
        <v>0</v>
      </c>
      <c r="H313" s="17" t="n">
        <v>44939</v>
      </c>
      <c r="I313" s="17" t="n">
        <v>45047</v>
      </c>
      <c r="J313" s="4" t="s">
        <v>856</v>
      </c>
      <c r="K313" s="4" t="s">
        <v>1168</v>
      </c>
      <c r="L313" s="2"/>
      <c r="M313" s="2"/>
      <c r="N313" s="2"/>
    </row>
    <row r="314" customFormat="false" ht="14.25" hidden="false" customHeight="false" outlineLevel="0" collapsed="false">
      <c r="A314" s="10" t="s">
        <v>397</v>
      </c>
      <c r="B314" s="10" t="s">
        <v>853</v>
      </c>
      <c r="C314" s="10" t="s">
        <v>398</v>
      </c>
      <c r="D314" s="14" t="b">
        <f aca="false">TRUE()</f>
        <v>1</v>
      </c>
      <c r="E314" s="11" t="n">
        <v>18</v>
      </c>
      <c r="F314" s="13" t="n">
        <f aca="false">E314/SUMIFS($E$2:$E$783,$A$2:$A$783,A314)</f>
        <v>0.72</v>
      </c>
      <c r="G314" s="11" t="n">
        <v>0</v>
      </c>
      <c r="H314" s="18" t="n">
        <v>44936</v>
      </c>
      <c r="I314" s="18" t="n">
        <v>45691</v>
      </c>
      <c r="J314" s="10" t="s">
        <v>854</v>
      </c>
      <c r="K314" s="10" t="s">
        <v>1169</v>
      </c>
      <c r="L314" s="2"/>
      <c r="M314" s="2"/>
      <c r="N314" s="2"/>
    </row>
    <row r="315" customFormat="false" ht="14.25" hidden="false" customHeight="false" outlineLevel="0" collapsed="false">
      <c r="A315" s="4" t="s">
        <v>397</v>
      </c>
      <c r="B315" s="4" t="s">
        <v>853</v>
      </c>
      <c r="C315" s="4" t="s">
        <v>1170</v>
      </c>
      <c r="D315" s="8" t="b">
        <f aca="false">FALSE()</f>
        <v>0</v>
      </c>
      <c r="E315" s="5" t="n">
        <v>7</v>
      </c>
      <c r="F315" s="7" t="n">
        <f aca="false">E315/SUMIFS($E$2:$E$783,$A$2:$A$783,A315)</f>
        <v>0.28</v>
      </c>
      <c r="G315" s="5" t="n">
        <v>0</v>
      </c>
      <c r="H315" s="17" t="n">
        <v>44991</v>
      </c>
      <c r="I315" s="17" t="n">
        <v>45041</v>
      </c>
      <c r="J315" s="4" t="s">
        <v>856</v>
      </c>
      <c r="K315" s="4" t="s">
        <v>1171</v>
      </c>
      <c r="L315" s="2"/>
      <c r="M315" s="2"/>
      <c r="N315" s="2"/>
    </row>
    <row r="316" customFormat="false" ht="14.25" hidden="false" customHeight="false" outlineLevel="0" collapsed="false">
      <c r="A316" s="10" t="s">
        <v>399</v>
      </c>
      <c r="B316" s="10" t="s">
        <v>853</v>
      </c>
      <c r="C316" s="10" t="s">
        <v>400</v>
      </c>
      <c r="D316" s="14" t="b">
        <f aca="false">TRUE()</f>
        <v>1</v>
      </c>
      <c r="E316" s="11" t="n">
        <v>3976</v>
      </c>
      <c r="F316" s="13" t="n">
        <f aca="false">E316/SUMIFS($E$2:$E$783,$A$2:$A$783,A316)</f>
        <v>0.90036231884058</v>
      </c>
      <c r="G316" s="11" t="n">
        <v>607</v>
      </c>
      <c r="H316" s="18" t="n">
        <v>44971</v>
      </c>
      <c r="I316" s="18" t="n">
        <v>46202</v>
      </c>
      <c r="J316" s="10" t="s">
        <v>854</v>
      </c>
      <c r="K316" s="10" t="s">
        <v>1172</v>
      </c>
      <c r="L316" s="2"/>
      <c r="M316" s="2"/>
      <c r="N316" s="2"/>
    </row>
    <row r="317" customFormat="false" ht="14.25" hidden="false" customHeight="false" outlineLevel="0" collapsed="false">
      <c r="A317" s="4" t="s">
        <v>399</v>
      </c>
      <c r="B317" s="4" t="s">
        <v>853</v>
      </c>
      <c r="C317" s="4" t="s">
        <v>1173</v>
      </c>
      <c r="D317" s="8" t="b">
        <f aca="false">FALSE()</f>
        <v>0</v>
      </c>
      <c r="E317" s="5" t="n">
        <v>440</v>
      </c>
      <c r="F317" s="7" t="n">
        <f aca="false">E317/SUMIFS($E$2:$E$783,$A$2:$A$783,A317)</f>
        <v>0.0996376811594203</v>
      </c>
      <c r="G317" s="5" t="n">
        <v>0</v>
      </c>
      <c r="H317" s="17" t="n">
        <v>44928</v>
      </c>
      <c r="I317" s="17" t="n">
        <v>45055</v>
      </c>
      <c r="J317" s="4" t="s">
        <v>856</v>
      </c>
      <c r="K317" s="4" t="s">
        <v>1174</v>
      </c>
      <c r="L317" s="2"/>
      <c r="M317" s="2"/>
      <c r="N317" s="2"/>
    </row>
    <row r="318" customFormat="false" ht="14.25" hidden="false" customHeight="false" outlineLevel="0" collapsed="false">
      <c r="A318" s="10" t="s">
        <v>402</v>
      </c>
      <c r="B318" s="10" t="s">
        <v>853</v>
      </c>
      <c r="C318" s="10" t="s">
        <v>400</v>
      </c>
      <c r="D318" s="14" t="b">
        <f aca="false">TRUE()</f>
        <v>1</v>
      </c>
      <c r="E318" s="11" t="n">
        <v>71</v>
      </c>
      <c r="F318" s="13" t="n">
        <f aca="false">E318/SUMIFS($E$2:$E$783,$A$2:$A$783,A318)</f>
        <v>0.959459459459459</v>
      </c>
      <c r="G318" s="11" t="n">
        <v>8</v>
      </c>
      <c r="H318" s="18" t="n">
        <v>44931</v>
      </c>
      <c r="I318" s="18" t="n">
        <v>46253</v>
      </c>
      <c r="J318" s="10" t="s">
        <v>854</v>
      </c>
      <c r="K318" s="10" t="s">
        <v>1175</v>
      </c>
      <c r="L318" s="2"/>
      <c r="M318" s="2"/>
      <c r="N318" s="2"/>
    </row>
    <row r="319" customFormat="false" ht="14.25" hidden="false" customHeight="false" outlineLevel="0" collapsed="false">
      <c r="A319" s="4" t="s">
        <v>402</v>
      </c>
      <c r="B319" s="4" t="s">
        <v>853</v>
      </c>
      <c r="C319" s="4" t="s">
        <v>1173</v>
      </c>
      <c r="D319" s="8" t="b">
        <f aca="false">FALSE()</f>
        <v>0</v>
      </c>
      <c r="E319" s="5" t="n">
        <v>3</v>
      </c>
      <c r="F319" s="7" t="n">
        <f aca="false">E319/SUMIFS($E$2:$E$783,$A$2:$A$783,A319)</f>
        <v>0.0405405405405405</v>
      </c>
      <c r="G319" s="5" t="n">
        <v>0</v>
      </c>
      <c r="H319" s="17" t="n">
        <v>44972</v>
      </c>
      <c r="I319" s="17" t="n">
        <v>45012</v>
      </c>
      <c r="J319" s="4" t="s">
        <v>856</v>
      </c>
      <c r="K319" s="4" t="s">
        <v>1176</v>
      </c>
      <c r="L319" s="2"/>
      <c r="M319" s="2"/>
      <c r="N319" s="2"/>
    </row>
    <row r="320" customFormat="false" ht="14.25" hidden="false" customHeight="false" outlineLevel="0" collapsed="false">
      <c r="A320" s="10" t="s">
        <v>403</v>
      </c>
      <c r="B320" s="10" t="s">
        <v>853</v>
      </c>
      <c r="C320" s="10" t="s">
        <v>404</v>
      </c>
      <c r="D320" s="14" t="b">
        <f aca="false">TRUE()</f>
        <v>1</v>
      </c>
      <c r="E320" s="11" t="n">
        <v>17596</v>
      </c>
      <c r="F320" s="13" t="n">
        <f aca="false">E320/SUMIFS($E$2:$E$783,$A$2:$A$783,A320)</f>
        <v>0.976687388987567</v>
      </c>
      <c r="G320" s="11" t="n">
        <v>2600</v>
      </c>
      <c r="H320" s="18" t="n">
        <v>44928</v>
      </c>
      <c r="I320" s="18" t="n">
        <v>46296</v>
      </c>
      <c r="J320" s="10" t="s">
        <v>854</v>
      </c>
      <c r="K320" s="10" t="s">
        <v>936</v>
      </c>
      <c r="L320" s="2"/>
      <c r="M320" s="2"/>
      <c r="N320" s="2"/>
    </row>
    <row r="321" customFormat="false" ht="14.25" hidden="false" customHeight="false" outlineLevel="0" collapsed="false">
      <c r="A321" s="4" t="s">
        <v>403</v>
      </c>
      <c r="B321" s="4" t="s">
        <v>853</v>
      </c>
      <c r="C321" s="4" t="s">
        <v>1177</v>
      </c>
      <c r="D321" s="8" t="b">
        <f aca="false">FALSE()</f>
        <v>0</v>
      </c>
      <c r="E321" s="5" t="n">
        <v>420</v>
      </c>
      <c r="F321" s="7" t="n">
        <f aca="false">E321/SUMIFS($E$2:$E$783,$A$2:$A$783,A321)</f>
        <v>0.0233126110124334</v>
      </c>
      <c r="G321" s="5" t="n">
        <v>0</v>
      </c>
      <c r="H321" s="17" t="n">
        <v>44928</v>
      </c>
      <c r="I321" s="17" t="n">
        <v>45051</v>
      </c>
      <c r="J321" s="4" t="s">
        <v>856</v>
      </c>
      <c r="K321" s="4" t="s">
        <v>1178</v>
      </c>
      <c r="L321" s="2"/>
      <c r="M321" s="2"/>
      <c r="N321" s="2"/>
    </row>
    <row r="322" customFormat="false" ht="14.25" hidden="false" customHeight="false" outlineLevel="0" collapsed="false">
      <c r="A322" s="10" t="s">
        <v>405</v>
      </c>
      <c r="B322" s="10" t="s">
        <v>853</v>
      </c>
      <c r="C322" s="10" t="s">
        <v>404</v>
      </c>
      <c r="D322" s="14" t="b">
        <f aca="false">TRUE()</f>
        <v>1</v>
      </c>
      <c r="E322" s="11" t="n">
        <v>13492</v>
      </c>
      <c r="F322" s="13" t="n">
        <f aca="false">E322/SUMIFS($E$2:$E$783,$A$2:$A$783,A322)</f>
        <v>0.934737425523071</v>
      </c>
      <c r="G322" s="11" t="n">
        <v>3042</v>
      </c>
      <c r="H322" s="18" t="n">
        <v>44984</v>
      </c>
      <c r="I322" s="18" t="n">
        <v>46296</v>
      </c>
      <c r="J322" s="10" t="s">
        <v>854</v>
      </c>
      <c r="K322" s="10" t="s">
        <v>1179</v>
      </c>
      <c r="L322" s="2"/>
      <c r="M322" s="2"/>
      <c r="N322" s="2"/>
    </row>
    <row r="323" customFormat="false" ht="14.25" hidden="false" customHeight="false" outlineLevel="0" collapsed="false">
      <c r="A323" s="4" t="s">
        <v>405</v>
      </c>
      <c r="B323" s="4" t="s">
        <v>853</v>
      </c>
      <c r="C323" s="4" t="s">
        <v>1177</v>
      </c>
      <c r="D323" s="8" t="b">
        <f aca="false">FALSE()</f>
        <v>0</v>
      </c>
      <c r="E323" s="5" t="n">
        <v>942</v>
      </c>
      <c r="F323" s="7" t="n">
        <f aca="false">E323/SUMIFS($E$2:$E$783,$A$2:$A$783,A323)</f>
        <v>0.0652625744769295</v>
      </c>
      <c r="G323" s="5" t="n">
        <v>0</v>
      </c>
      <c r="H323" s="17" t="n">
        <v>44928</v>
      </c>
      <c r="I323" s="17" t="n">
        <v>45054</v>
      </c>
      <c r="J323" s="4" t="s">
        <v>856</v>
      </c>
      <c r="K323" s="4" t="s">
        <v>1180</v>
      </c>
      <c r="L323" s="2"/>
      <c r="M323" s="2"/>
      <c r="N323" s="2"/>
    </row>
    <row r="324" customFormat="false" ht="14.25" hidden="false" customHeight="false" outlineLevel="0" collapsed="false">
      <c r="A324" s="10" t="s">
        <v>406</v>
      </c>
      <c r="B324" s="10" t="s">
        <v>853</v>
      </c>
      <c r="C324" s="10" t="s">
        <v>404</v>
      </c>
      <c r="D324" s="14" t="b">
        <f aca="false">TRUE()</f>
        <v>1</v>
      </c>
      <c r="E324" s="11" t="n">
        <v>12540</v>
      </c>
      <c r="F324" s="13" t="n">
        <f aca="false">E324/SUMIFS($E$2:$E$783,$A$2:$A$783,A324)</f>
        <v>0.932203389830508</v>
      </c>
      <c r="G324" s="11" t="n">
        <v>3040</v>
      </c>
      <c r="H324" s="18" t="n">
        <v>44988</v>
      </c>
      <c r="I324" s="18" t="n">
        <v>46296</v>
      </c>
      <c r="J324" s="10" t="s">
        <v>854</v>
      </c>
      <c r="K324" s="10" t="s">
        <v>1181</v>
      </c>
      <c r="L324" s="2"/>
      <c r="M324" s="2"/>
      <c r="N324" s="2"/>
    </row>
    <row r="325" customFormat="false" ht="14.25" hidden="false" customHeight="false" outlineLevel="0" collapsed="false">
      <c r="A325" s="4" t="s">
        <v>406</v>
      </c>
      <c r="B325" s="4" t="s">
        <v>853</v>
      </c>
      <c r="C325" s="4" t="s">
        <v>1177</v>
      </c>
      <c r="D325" s="8" t="b">
        <f aca="false">FALSE()</f>
        <v>0</v>
      </c>
      <c r="E325" s="5" t="n">
        <v>912</v>
      </c>
      <c r="F325" s="7" t="n">
        <f aca="false">E325/SUMIFS($E$2:$E$783,$A$2:$A$783,A325)</f>
        <v>0.0677966101694915</v>
      </c>
      <c r="G325" s="5" t="n">
        <v>0</v>
      </c>
      <c r="H325" s="17" t="n">
        <v>44928</v>
      </c>
      <c r="I325" s="17" t="n">
        <v>45051</v>
      </c>
      <c r="J325" s="4" t="s">
        <v>856</v>
      </c>
      <c r="K325" s="4" t="s">
        <v>1182</v>
      </c>
      <c r="L325" s="2"/>
      <c r="M325" s="2"/>
      <c r="N325" s="2"/>
    </row>
    <row r="326" customFormat="false" ht="14.25" hidden="false" customHeight="false" outlineLevel="0" collapsed="false">
      <c r="A326" s="10" t="s">
        <v>407</v>
      </c>
      <c r="B326" s="10" t="s">
        <v>853</v>
      </c>
      <c r="C326" s="10" t="s">
        <v>404</v>
      </c>
      <c r="D326" s="14" t="b">
        <f aca="false">TRUE()</f>
        <v>1</v>
      </c>
      <c r="E326" s="11" t="n">
        <v>8477</v>
      </c>
      <c r="F326" s="13" t="n">
        <f aca="false">E326/SUMIFS($E$2:$E$783,$A$2:$A$783,A326)</f>
        <v>0.93647812638091</v>
      </c>
      <c r="G326" s="11" t="n">
        <v>1835</v>
      </c>
      <c r="H326" s="18" t="n">
        <v>45042</v>
      </c>
      <c r="I326" s="18" t="n">
        <v>46296</v>
      </c>
      <c r="J326" s="10" t="s">
        <v>854</v>
      </c>
      <c r="K326" s="10" t="s">
        <v>1183</v>
      </c>
      <c r="L326" s="2"/>
      <c r="M326" s="2"/>
      <c r="N326" s="2"/>
    </row>
    <row r="327" customFormat="false" ht="14.25" hidden="false" customHeight="false" outlineLevel="0" collapsed="false">
      <c r="A327" s="4" t="s">
        <v>407</v>
      </c>
      <c r="B327" s="4" t="s">
        <v>853</v>
      </c>
      <c r="C327" s="4" t="s">
        <v>1177</v>
      </c>
      <c r="D327" s="8" t="b">
        <f aca="false">FALSE()</f>
        <v>0</v>
      </c>
      <c r="E327" s="5" t="n">
        <v>575</v>
      </c>
      <c r="F327" s="7" t="n">
        <f aca="false">E327/SUMIFS($E$2:$E$783,$A$2:$A$783,A327)</f>
        <v>0.0635218736190897</v>
      </c>
      <c r="G327" s="5" t="n">
        <v>0</v>
      </c>
      <c r="H327" s="17" t="n">
        <v>44928</v>
      </c>
      <c r="I327" s="17" t="n">
        <v>45054</v>
      </c>
      <c r="J327" s="4" t="s">
        <v>856</v>
      </c>
      <c r="K327" s="4" t="s">
        <v>1184</v>
      </c>
      <c r="L327" s="2"/>
      <c r="M327" s="2"/>
      <c r="N327" s="2"/>
    </row>
    <row r="328" customFormat="false" ht="14.25" hidden="false" customHeight="false" outlineLevel="0" collapsed="false">
      <c r="A328" s="10" t="s">
        <v>408</v>
      </c>
      <c r="B328" s="10" t="s">
        <v>853</v>
      </c>
      <c r="C328" s="10" t="s">
        <v>404</v>
      </c>
      <c r="D328" s="14" t="b">
        <f aca="false">TRUE()</f>
        <v>1</v>
      </c>
      <c r="E328" s="11" t="n">
        <v>4139</v>
      </c>
      <c r="F328" s="13" t="n">
        <f aca="false">E328/SUMIFS($E$2:$E$783,$A$2:$A$783,A328)</f>
        <v>0.939827429609446</v>
      </c>
      <c r="G328" s="11" t="n">
        <v>798</v>
      </c>
      <c r="H328" s="18" t="n">
        <v>44929</v>
      </c>
      <c r="I328" s="18" t="n">
        <v>46296</v>
      </c>
      <c r="J328" s="10" t="s">
        <v>854</v>
      </c>
      <c r="K328" s="10" t="s">
        <v>930</v>
      </c>
      <c r="L328" s="2"/>
      <c r="M328" s="2"/>
      <c r="N328" s="2"/>
    </row>
    <row r="329" customFormat="false" ht="14.25" hidden="false" customHeight="false" outlineLevel="0" collapsed="false">
      <c r="A329" s="4" t="s">
        <v>408</v>
      </c>
      <c r="B329" s="4" t="s">
        <v>853</v>
      </c>
      <c r="C329" s="4" t="s">
        <v>1177</v>
      </c>
      <c r="D329" s="8" t="b">
        <f aca="false">FALSE()</f>
        <v>0</v>
      </c>
      <c r="E329" s="5" t="n">
        <v>265</v>
      </c>
      <c r="F329" s="7" t="n">
        <f aca="false">E329/SUMIFS($E$2:$E$783,$A$2:$A$783,A329)</f>
        <v>0.060172570390554</v>
      </c>
      <c r="G329" s="5" t="n">
        <v>0</v>
      </c>
      <c r="H329" s="17" t="n">
        <v>44928</v>
      </c>
      <c r="I329" s="17" t="n">
        <v>45054</v>
      </c>
      <c r="J329" s="4" t="s">
        <v>856</v>
      </c>
      <c r="K329" s="4" t="s">
        <v>945</v>
      </c>
      <c r="L329" s="2"/>
      <c r="M329" s="2"/>
      <c r="N329" s="2"/>
    </row>
    <row r="330" customFormat="false" ht="14.25" hidden="false" customHeight="false" outlineLevel="0" collapsed="false">
      <c r="A330" s="10" t="s">
        <v>409</v>
      </c>
      <c r="B330" s="10" t="s">
        <v>853</v>
      </c>
      <c r="C330" s="10" t="s">
        <v>404</v>
      </c>
      <c r="D330" s="14" t="b">
        <f aca="false">TRUE()</f>
        <v>1</v>
      </c>
      <c r="E330" s="11" t="n">
        <v>3912</v>
      </c>
      <c r="F330" s="13" t="n">
        <f aca="false">E330/SUMIFS($E$2:$E$783,$A$2:$A$783,A330)</f>
        <v>0.902214022140221</v>
      </c>
      <c r="G330" s="11" t="n">
        <v>1044</v>
      </c>
      <c r="H330" s="18" t="n">
        <v>44939</v>
      </c>
      <c r="I330" s="18" t="n">
        <v>46296</v>
      </c>
      <c r="J330" s="10" t="s">
        <v>854</v>
      </c>
      <c r="K330" s="10" t="s">
        <v>952</v>
      </c>
      <c r="L330" s="2"/>
      <c r="M330" s="2"/>
      <c r="N330" s="2"/>
    </row>
    <row r="331" customFormat="false" ht="14.25" hidden="false" customHeight="false" outlineLevel="0" collapsed="false">
      <c r="A331" s="4" t="s">
        <v>409</v>
      </c>
      <c r="B331" s="4" t="s">
        <v>853</v>
      </c>
      <c r="C331" s="4" t="s">
        <v>1177</v>
      </c>
      <c r="D331" s="8" t="b">
        <f aca="false">FALSE()</f>
        <v>0</v>
      </c>
      <c r="E331" s="5" t="n">
        <v>424</v>
      </c>
      <c r="F331" s="7" t="n">
        <f aca="false">E331/SUMIFS($E$2:$E$783,$A$2:$A$783,A331)</f>
        <v>0.0977859778597786</v>
      </c>
      <c r="G331" s="5" t="n">
        <v>0</v>
      </c>
      <c r="H331" s="17" t="n">
        <v>44928</v>
      </c>
      <c r="I331" s="17" t="n">
        <v>45055</v>
      </c>
      <c r="J331" s="4" t="s">
        <v>856</v>
      </c>
      <c r="K331" s="4" t="s">
        <v>1185</v>
      </c>
      <c r="L331" s="2"/>
      <c r="M331" s="2"/>
      <c r="N331" s="2"/>
    </row>
    <row r="332" customFormat="false" ht="14.25" hidden="false" customHeight="false" outlineLevel="0" collapsed="false">
      <c r="A332" s="10" t="s">
        <v>410</v>
      </c>
      <c r="B332" s="10" t="s">
        <v>853</v>
      </c>
      <c r="C332" s="10" t="s">
        <v>404</v>
      </c>
      <c r="D332" s="14" t="b">
        <f aca="false">TRUE()</f>
        <v>1</v>
      </c>
      <c r="E332" s="11" t="n">
        <v>3586</v>
      </c>
      <c r="F332" s="13" t="n">
        <f aca="false">E332/SUMIFS($E$2:$E$783,$A$2:$A$783,A332)</f>
        <v>0.895380774032459</v>
      </c>
      <c r="G332" s="11" t="n">
        <v>794</v>
      </c>
      <c r="H332" s="18" t="n">
        <v>44967</v>
      </c>
      <c r="I332" s="18" t="n">
        <v>46296</v>
      </c>
      <c r="J332" s="10" t="s">
        <v>854</v>
      </c>
      <c r="K332" s="10" t="s">
        <v>1186</v>
      </c>
      <c r="L332" s="2"/>
      <c r="M332" s="2"/>
      <c r="N332" s="2"/>
    </row>
    <row r="333" customFormat="false" ht="14.25" hidden="false" customHeight="false" outlineLevel="0" collapsed="false">
      <c r="A333" s="4" t="s">
        <v>410</v>
      </c>
      <c r="B333" s="4" t="s">
        <v>853</v>
      </c>
      <c r="C333" s="4" t="s">
        <v>1177</v>
      </c>
      <c r="D333" s="8" t="b">
        <f aca="false">FALSE()</f>
        <v>0</v>
      </c>
      <c r="E333" s="5" t="n">
        <v>419</v>
      </c>
      <c r="F333" s="7" t="n">
        <f aca="false">E333/SUMIFS($E$2:$E$783,$A$2:$A$783,A333)</f>
        <v>0.104619225967541</v>
      </c>
      <c r="G333" s="5" t="n">
        <v>0</v>
      </c>
      <c r="H333" s="17" t="n">
        <v>44928</v>
      </c>
      <c r="I333" s="17" t="n">
        <v>45051</v>
      </c>
      <c r="J333" s="4" t="s">
        <v>856</v>
      </c>
      <c r="K333" s="4" t="s">
        <v>1187</v>
      </c>
      <c r="L333" s="2"/>
      <c r="M333" s="2"/>
      <c r="N333" s="2"/>
    </row>
    <row r="334" customFormat="false" ht="14.25" hidden="false" customHeight="false" outlineLevel="0" collapsed="false">
      <c r="A334" s="10" t="s">
        <v>411</v>
      </c>
      <c r="B334" s="10" t="s">
        <v>853</v>
      </c>
      <c r="C334" s="10" t="s">
        <v>404</v>
      </c>
      <c r="D334" s="14" t="b">
        <f aca="false">TRUE()</f>
        <v>1</v>
      </c>
      <c r="E334" s="11" t="n">
        <v>1708</v>
      </c>
      <c r="F334" s="13" t="n">
        <f aca="false">E334/SUMIFS($E$2:$E$783,$A$2:$A$783,A334)</f>
        <v>0.818791946308725</v>
      </c>
      <c r="G334" s="11" t="n">
        <v>449</v>
      </c>
      <c r="H334" s="18" t="n">
        <v>44981</v>
      </c>
      <c r="I334" s="18" t="n">
        <v>46296</v>
      </c>
      <c r="J334" s="10" t="s">
        <v>854</v>
      </c>
      <c r="K334" s="10" t="s">
        <v>1188</v>
      </c>
      <c r="L334" s="2"/>
      <c r="M334" s="2"/>
      <c r="N334" s="2"/>
    </row>
    <row r="335" customFormat="false" ht="14.25" hidden="false" customHeight="false" outlineLevel="0" collapsed="false">
      <c r="A335" s="4" t="s">
        <v>411</v>
      </c>
      <c r="B335" s="4" t="s">
        <v>853</v>
      </c>
      <c r="C335" s="4" t="s">
        <v>1177</v>
      </c>
      <c r="D335" s="8" t="b">
        <f aca="false">FALSE()</f>
        <v>0</v>
      </c>
      <c r="E335" s="5" t="n">
        <v>378</v>
      </c>
      <c r="F335" s="7" t="n">
        <f aca="false">E335/SUMIFS($E$2:$E$783,$A$2:$A$783,A335)</f>
        <v>0.181208053691275</v>
      </c>
      <c r="G335" s="5" t="n">
        <v>0</v>
      </c>
      <c r="H335" s="17" t="n">
        <v>44928</v>
      </c>
      <c r="I335" s="17" t="n">
        <v>45054</v>
      </c>
      <c r="J335" s="4" t="s">
        <v>856</v>
      </c>
      <c r="K335" s="4" t="s">
        <v>1189</v>
      </c>
      <c r="L335" s="2"/>
      <c r="M335" s="2"/>
      <c r="N335" s="2"/>
    </row>
    <row r="336" customFormat="false" ht="14.25" hidden="false" customHeight="false" outlineLevel="0" collapsed="false">
      <c r="A336" s="10" t="s">
        <v>412</v>
      </c>
      <c r="B336" s="10" t="s">
        <v>853</v>
      </c>
      <c r="C336" s="10" t="s">
        <v>404</v>
      </c>
      <c r="D336" s="14" t="b">
        <f aca="false">TRUE()</f>
        <v>1</v>
      </c>
      <c r="E336" s="11" t="n">
        <v>1803</v>
      </c>
      <c r="F336" s="13" t="n">
        <f aca="false">E336/SUMIFS($E$2:$E$783,$A$2:$A$783,A336)</f>
        <v>0.912449392712551</v>
      </c>
      <c r="G336" s="11" t="n">
        <v>450</v>
      </c>
      <c r="H336" s="18" t="n">
        <v>44949</v>
      </c>
      <c r="I336" s="18" t="n">
        <v>46296</v>
      </c>
      <c r="J336" s="10" t="s">
        <v>854</v>
      </c>
      <c r="K336" s="10" t="s">
        <v>1190</v>
      </c>
      <c r="L336" s="2"/>
      <c r="M336" s="2"/>
      <c r="N336" s="2"/>
    </row>
    <row r="337" customFormat="false" ht="14.25" hidden="false" customHeight="false" outlineLevel="0" collapsed="false">
      <c r="A337" s="4" t="s">
        <v>412</v>
      </c>
      <c r="B337" s="4" t="s">
        <v>853</v>
      </c>
      <c r="C337" s="4" t="s">
        <v>1177</v>
      </c>
      <c r="D337" s="8" t="b">
        <f aca="false">FALSE()</f>
        <v>0</v>
      </c>
      <c r="E337" s="5" t="n">
        <v>173</v>
      </c>
      <c r="F337" s="7" t="n">
        <f aca="false">E337/SUMIFS($E$2:$E$783,$A$2:$A$783,A337)</f>
        <v>0.0875506072874494</v>
      </c>
      <c r="G337" s="5" t="n">
        <v>0</v>
      </c>
      <c r="H337" s="17" t="n">
        <v>44928</v>
      </c>
      <c r="I337" s="17" t="n">
        <v>45055</v>
      </c>
      <c r="J337" s="4" t="s">
        <v>856</v>
      </c>
      <c r="K337" s="4" t="s">
        <v>1191</v>
      </c>
      <c r="L337" s="2"/>
      <c r="M337" s="2"/>
      <c r="N337" s="2"/>
    </row>
    <row r="338" customFormat="false" ht="14.25" hidden="false" customHeight="false" outlineLevel="0" collapsed="false">
      <c r="A338" s="10" t="s">
        <v>414</v>
      </c>
      <c r="B338" s="10" t="s">
        <v>853</v>
      </c>
      <c r="C338" s="10" t="s">
        <v>404</v>
      </c>
      <c r="D338" s="14" t="b">
        <f aca="false">TRUE()</f>
        <v>1</v>
      </c>
      <c r="E338" s="11" t="n">
        <v>1059</v>
      </c>
      <c r="F338" s="13" t="n">
        <f aca="false">E338/SUMIFS($E$2:$E$783,$A$2:$A$783,A338)</f>
        <v>0.751596877217885</v>
      </c>
      <c r="G338" s="11" t="n">
        <v>174</v>
      </c>
      <c r="H338" s="18" t="n">
        <v>45222</v>
      </c>
      <c r="I338" s="18" t="n">
        <v>46135</v>
      </c>
      <c r="J338" s="10" t="s">
        <v>854</v>
      </c>
      <c r="K338" s="10" t="s">
        <v>1192</v>
      </c>
      <c r="L338" s="2"/>
      <c r="M338" s="2"/>
      <c r="N338" s="2"/>
    </row>
    <row r="339" customFormat="false" ht="14.25" hidden="false" customHeight="false" outlineLevel="0" collapsed="false">
      <c r="A339" s="4" t="s">
        <v>414</v>
      </c>
      <c r="B339" s="4" t="s">
        <v>853</v>
      </c>
      <c r="C339" s="4" t="s">
        <v>1177</v>
      </c>
      <c r="D339" s="8" t="b">
        <f aca="false">FALSE()</f>
        <v>0</v>
      </c>
      <c r="E339" s="5" t="n">
        <v>350</v>
      </c>
      <c r="F339" s="7" t="n">
        <f aca="false">E339/SUMIFS($E$2:$E$783,$A$2:$A$783,A339)</f>
        <v>0.248403122782115</v>
      </c>
      <c r="G339" s="5" t="n">
        <v>0</v>
      </c>
      <c r="H339" s="17" t="n">
        <v>44929</v>
      </c>
      <c r="I339" s="17" t="n">
        <v>45017</v>
      </c>
      <c r="J339" s="4" t="s">
        <v>856</v>
      </c>
      <c r="K339" s="4" t="s">
        <v>1193</v>
      </c>
      <c r="L339" s="2"/>
      <c r="M339" s="2"/>
      <c r="N339" s="2"/>
    </row>
    <row r="340" customFormat="false" ht="14.25" hidden="false" customHeight="false" outlineLevel="0" collapsed="false">
      <c r="A340" s="10" t="s">
        <v>415</v>
      </c>
      <c r="B340" s="10" t="s">
        <v>853</v>
      </c>
      <c r="C340" s="10" t="s">
        <v>404</v>
      </c>
      <c r="D340" s="14" t="b">
        <f aca="false">TRUE()</f>
        <v>1</v>
      </c>
      <c r="E340" s="11" t="n">
        <v>1249</v>
      </c>
      <c r="F340" s="13" t="n">
        <f aca="false">E340/SUMIFS($E$2:$E$783,$A$2:$A$783,A340)</f>
        <v>0.912344777209642</v>
      </c>
      <c r="G340" s="11" t="n">
        <v>291</v>
      </c>
      <c r="H340" s="18" t="n">
        <v>45033</v>
      </c>
      <c r="I340" s="18" t="n">
        <v>46296</v>
      </c>
      <c r="J340" s="10" t="s">
        <v>854</v>
      </c>
      <c r="K340" s="10" t="s">
        <v>900</v>
      </c>
      <c r="L340" s="2"/>
      <c r="M340" s="2"/>
      <c r="N340" s="2"/>
    </row>
    <row r="341" customFormat="false" ht="14.25" hidden="false" customHeight="false" outlineLevel="0" collapsed="false">
      <c r="A341" s="4" t="s">
        <v>415</v>
      </c>
      <c r="B341" s="4" t="s">
        <v>853</v>
      </c>
      <c r="C341" s="4" t="s">
        <v>1177</v>
      </c>
      <c r="D341" s="8" t="b">
        <f aca="false">FALSE()</f>
        <v>0</v>
      </c>
      <c r="E341" s="5" t="n">
        <v>120</v>
      </c>
      <c r="F341" s="7" t="n">
        <f aca="false">E341/SUMIFS($E$2:$E$783,$A$2:$A$783,A341)</f>
        <v>0.0876552227903579</v>
      </c>
      <c r="G341" s="5" t="n">
        <v>0</v>
      </c>
      <c r="H341" s="17" t="n">
        <v>44928</v>
      </c>
      <c r="I341" s="17" t="n">
        <v>45054</v>
      </c>
      <c r="J341" s="4" t="s">
        <v>856</v>
      </c>
      <c r="K341" s="4" t="s">
        <v>1194</v>
      </c>
      <c r="L341" s="2"/>
      <c r="M341" s="2"/>
      <c r="N341" s="2"/>
    </row>
    <row r="342" customFormat="false" ht="14.25" hidden="false" customHeight="false" outlineLevel="0" collapsed="false">
      <c r="A342" s="10" t="s">
        <v>416</v>
      </c>
      <c r="B342" s="10" t="s">
        <v>853</v>
      </c>
      <c r="C342" s="10" t="s">
        <v>404</v>
      </c>
      <c r="D342" s="14" t="b">
        <f aca="false">TRUE()</f>
        <v>1</v>
      </c>
      <c r="E342" s="11" t="n">
        <v>1153</v>
      </c>
      <c r="F342" s="13" t="n">
        <f aca="false">E342/SUMIFS($E$2:$E$783,$A$2:$A$783,A342)</f>
        <v>0.935876623376623</v>
      </c>
      <c r="G342" s="11" t="n">
        <v>324</v>
      </c>
      <c r="H342" s="18" t="n">
        <v>45041</v>
      </c>
      <c r="I342" s="18" t="n">
        <v>46296</v>
      </c>
      <c r="J342" s="10" t="s">
        <v>854</v>
      </c>
      <c r="K342" s="10" t="s">
        <v>1195</v>
      </c>
      <c r="L342" s="2"/>
      <c r="M342" s="2"/>
      <c r="N342" s="2"/>
    </row>
    <row r="343" customFormat="false" ht="14.25" hidden="false" customHeight="false" outlineLevel="0" collapsed="false">
      <c r="A343" s="4" t="s">
        <v>416</v>
      </c>
      <c r="B343" s="4" t="s">
        <v>853</v>
      </c>
      <c r="C343" s="4" t="s">
        <v>1177</v>
      </c>
      <c r="D343" s="8" t="b">
        <f aca="false">FALSE()</f>
        <v>0</v>
      </c>
      <c r="E343" s="5" t="n">
        <v>79</v>
      </c>
      <c r="F343" s="7" t="n">
        <f aca="false">E343/SUMIFS($E$2:$E$783,$A$2:$A$783,A343)</f>
        <v>0.0641233766233766</v>
      </c>
      <c r="G343" s="5" t="n">
        <v>0</v>
      </c>
      <c r="H343" s="17" t="n">
        <v>44929</v>
      </c>
      <c r="I343" s="17" t="n">
        <v>45052</v>
      </c>
      <c r="J343" s="4" t="s">
        <v>856</v>
      </c>
      <c r="K343" s="4" t="s">
        <v>1196</v>
      </c>
      <c r="L343" s="2"/>
      <c r="M343" s="2"/>
      <c r="N343" s="2"/>
    </row>
    <row r="344" customFormat="false" ht="14.25" hidden="false" customHeight="false" outlineLevel="0" collapsed="false">
      <c r="A344" s="10" t="s">
        <v>417</v>
      </c>
      <c r="B344" s="10" t="s">
        <v>853</v>
      </c>
      <c r="C344" s="10" t="s">
        <v>404</v>
      </c>
      <c r="D344" s="14" t="b">
        <f aca="false">TRUE()</f>
        <v>1</v>
      </c>
      <c r="E344" s="11" t="n">
        <v>873</v>
      </c>
      <c r="F344" s="13" t="n">
        <f aca="false">E344/SUMIFS($E$2:$E$783,$A$2:$A$783,A344)</f>
        <v>0.911273486430063</v>
      </c>
      <c r="G344" s="11" t="n">
        <v>199</v>
      </c>
      <c r="H344" s="18" t="n">
        <v>45041</v>
      </c>
      <c r="I344" s="18" t="n">
        <v>46296</v>
      </c>
      <c r="J344" s="10" t="s">
        <v>854</v>
      </c>
      <c r="K344" s="10" t="s">
        <v>1195</v>
      </c>
      <c r="L344" s="2"/>
      <c r="M344" s="2"/>
      <c r="N344" s="2"/>
    </row>
    <row r="345" customFormat="false" ht="14.25" hidden="false" customHeight="false" outlineLevel="0" collapsed="false">
      <c r="A345" s="4" t="s">
        <v>417</v>
      </c>
      <c r="B345" s="4" t="s">
        <v>853</v>
      </c>
      <c r="C345" s="4" t="s">
        <v>1177</v>
      </c>
      <c r="D345" s="8" t="b">
        <f aca="false">FALSE()</f>
        <v>0</v>
      </c>
      <c r="E345" s="5" t="n">
        <v>85</v>
      </c>
      <c r="F345" s="7" t="n">
        <f aca="false">E345/SUMIFS($E$2:$E$783,$A$2:$A$783,A345)</f>
        <v>0.0887265135699374</v>
      </c>
      <c r="G345" s="5" t="n">
        <v>0</v>
      </c>
      <c r="H345" s="17" t="n">
        <v>44937</v>
      </c>
      <c r="I345" s="17" t="n">
        <v>45044</v>
      </c>
      <c r="J345" s="4" t="s">
        <v>856</v>
      </c>
      <c r="K345" s="4" t="s">
        <v>1197</v>
      </c>
      <c r="L345" s="2"/>
      <c r="M345" s="2"/>
      <c r="N345" s="2"/>
    </row>
    <row r="346" customFormat="false" ht="14.25" hidden="false" customHeight="false" outlineLevel="0" collapsed="false">
      <c r="A346" s="10" t="s">
        <v>418</v>
      </c>
      <c r="B346" s="10" t="s">
        <v>853</v>
      </c>
      <c r="C346" s="10" t="s">
        <v>404</v>
      </c>
      <c r="D346" s="14" t="b">
        <f aca="false">TRUE()</f>
        <v>1</v>
      </c>
      <c r="E346" s="11" t="n">
        <v>337</v>
      </c>
      <c r="F346" s="13" t="n">
        <f aca="false">E346/SUMIFS($E$2:$E$783,$A$2:$A$783,A346)</f>
        <v>0.794811320754717</v>
      </c>
      <c r="G346" s="11" t="n">
        <v>0</v>
      </c>
      <c r="H346" s="18" t="n">
        <v>45056</v>
      </c>
      <c r="I346" s="18" t="n">
        <v>45503</v>
      </c>
      <c r="J346" s="10" t="s">
        <v>854</v>
      </c>
      <c r="K346" s="10" t="s">
        <v>1198</v>
      </c>
      <c r="L346" s="2"/>
      <c r="M346" s="2"/>
      <c r="N346" s="2"/>
    </row>
    <row r="347" customFormat="false" ht="14.25" hidden="false" customHeight="false" outlineLevel="0" collapsed="false">
      <c r="A347" s="4" t="s">
        <v>418</v>
      </c>
      <c r="B347" s="4" t="s">
        <v>853</v>
      </c>
      <c r="C347" s="4" t="s">
        <v>1177</v>
      </c>
      <c r="D347" s="8" t="b">
        <f aca="false">FALSE()</f>
        <v>0</v>
      </c>
      <c r="E347" s="5" t="n">
        <v>87</v>
      </c>
      <c r="F347" s="7" t="n">
        <f aca="false">E347/SUMIFS($E$2:$E$783,$A$2:$A$783,A347)</f>
        <v>0.205188679245283</v>
      </c>
      <c r="G347" s="5" t="n">
        <v>0</v>
      </c>
      <c r="H347" s="17" t="n">
        <v>44928</v>
      </c>
      <c r="I347" s="17" t="n">
        <v>45051</v>
      </c>
      <c r="J347" s="4" t="s">
        <v>856</v>
      </c>
      <c r="K347" s="4" t="s">
        <v>1199</v>
      </c>
      <c r="L347" s="2"/>
      <c r="M347" s="2"/>
      <c r="N347" s="2"/>
    </row>
    <row r="348" customFormat="false" ht="14.25" hidden="false" customHeight="false" outlineLevel="0" collapsed="false">
      <c r="A348" s="10" t="s">
        <v>419</v>
      </c>
      <c r="B348" s="10" t="s">
        <v>853</v>
      </c>
      <c r="C348" s="10" t="s">
        <v>404</v>
      </c>
      <c r="D348" s="14" t="b">
        <f aca="false">TRUE()</f>
        <v>1</v>
      </c>
      <c r="E348" s="11" t="n">
        <v>193</v>
      </c>
      <c r="F348" s="13" t="n">
        <f aca="false">E348/SUMIFS($E$2:$E$783,$A$2:$A$783,A348)</f>
        <v>0.946078431372549</v>
      </c>
      <c r="G348" s="11" t="n">
        <v>30</v>
      </c>
      <c r="H348" s="18" t="n">
        <v>45051</v>
      </c>
      <c r="I348" s="18" t="n">
        <v>46290</v>
      </c>
      <c r="J348" s="10" t="s">
        <v>854</v>
      </c>
      <c r="K348" s="10" t="s">
        <v>1200</v>
      </c>
      <c r="L348" s="2"/>
      <c r="M348" s="2"/>
      <c r="N348" s="2"/>
    </row>
    <row r="349" customFormat="false" ht="14.25" hidden="false" customHeight="false" outlineLevel="0" collapsed="false">
      <c r="A349" s="4" t="s">
        <v>419</v>
      </c>
      <c r="B349" s="4" t="s">
        <v>853</v>
      </c>
      <c r="C349" s="4" t="s">
        <v>1177</v>
      </c>
      <c r="D349" s="8" t="b">
        <f aca="false">FALSE()</f>
        <v>0</v>
      </c>
      <c r="E349" s="5" t="n">
        <v>11</v>
      </c>
      <c r="F349" s="7" t="n">
        <f aca="false">E349/SUMIFS($E$2:$E$783,$A$2:$A$783,A349)</f>
        <v>0.053921568627451</v>
      </c>
      <c r="G349" s="5" t="n">
        <v>0</v>
      </c>
      <c r="H349" s="17" t="n">
        <v>44929</v>
      </c>
      <c r="I349" s="17" t="n">
        <v>45041</v>
      </c>
      <c r="J349" s="4" t="s">
        <v>856</v>
      </c>
      <c r="K349" s="4" t="s">
        <v>1201</v>
      </c>
      <c r="L349" s="2"/>
      <c r="M349" s="2"/>
      <c r="N349" s="2"/>
    </row>
    <row r="350" customFormat="false" ht="14.25" hidden="false" customHeight="false" outlineLevel="0" collapsed="false">
      <c r="A350" s="10" t="s">
        <v>420</v>
      </c>
      <c r="B350" s="10" t="s">
        <v>853</v>
      </c>
      <c r="C350" s="10" t="s">
        <v>404</v>
      </c>
      <c r="D350" s="14" t="b">
        <f aca="false">TRUE()</f>
        <v>1</v>
      </c>
      <c r="E350" s="11" t="n">
        <v>160</v>
      </c>
      <c r="F350" s="13" t="n">
        <f aca="false">E350/SUMIFS($E$2:$E$783,$A$2:$A$783,A350)</f>
        <v>0.860215053763441</v>
      </c>
      <c r="G350" s="11" t="n">
        <v>0</v>
      </c>
      <c r="H350" s="18" t="n">
        <v>45055</v>
      </c>
      <c r="I350" s="18" t="n">
        <v>45244</v>
      </c>
      <c r="J350" s="10" t="s">
        <v>854</v>
      </c>
      <c r="K350" s="10" t="s">
        <v>1202</v>
      </c>
      <c r="L350" s="2"/>
      <c r="M350" s="2"/>
      <c r="N350" s="2"/>
    </row>
    <row r="351" customFormat="false" ht="14.25" hidden="false" customHeight="false" outlineLevel="0" collapsed="false">
      <c r="A351" s="4" t="s">
        <v>420</v>
      </c>
      <c r="B351" s="4" t="s">
        <v>853</v>
      </c>
      <c r="C351" s="4" t="s">
        <v>1177</v>
      </c>
      <c r="D351" s="8" t="b">
        <f aca="false">FALSE()</f>
        <v>0</v>
      </c>
      <c r="E351" s="5" t="n">
        <v>26</v>
      </c>
      <c r="F351" s="7" t="n">
        <f aca="false">E351/SUMIFS($E$2:$E$783,$A$2:$A$783,A351)</f>
        <v>0.139784946236559</v>
      </c>
      <c r="G351" s="5" t="n">
        <v>0</v>
      </c>
      <c r="H351" s="17" t="n">
        <v>44932</v>
      </c>
      <c r="I351" s="17" t="n">
        <v>45054</v>
      </c>
      <c r="J351" s="4" t="s">
        <v>856</v>
      </c>
      <c r="K351" s="4" t="s">
        <v>1203</v>
      </c>
      <c r="L351" s="2"/>
      <c r="M351" s="2"/>
      <c r="N351" s="2"/>
    </row>
    <row r="352" customFormat="false" ht="14.25" hidden="false" customHeight="false" outlineLevel="0" collapsed="false">
      <c r="A352" s="10" t="s">
        <v>421</v>
      </c>
      <c r="B352" s="10" t="s">
        <v>853</v>
      </c>
      <c r="C352" s="10" t="s">
        <v>404</v>
      </c>
      <c r="D352" s="14" t="b">
        <f aca="false">TRUE()</f>
        <v>1</v>
      </c>
      <c r="E352" s="11" t="n">
        <v>113</v>
      </c>
      <c r="F352" s="13" t="n">
        <f aca="false">E352/SUMIFS($E$2:$E$783,$A$2:$A$783,A352)</f>
        <v>0.911290322580645</v>
      </c>
      <c r="G352" s="11" t="n">
        <v>18</v>
      </c>
      <c r="H352" s="18" t="n">
        <v>45041</v>
      </c>
      <c r="I352" s="18" t="n">
        <v>46286</v>
      </c>
      <c r="J352" s="10" t="s">
        <v>854</v>
      </c>
      <c r="K352" s="10" t="s">
        <v>1204</v>
      </c>
      <c r="L352" s="2"/>
      <c r="M352" s="2"/>
      <c r="N352" s="2"/>
    </row>
    <row r="353" customFormat="false" ht="14.25" hidden="false" customHeight="false" outlineLevel="0" collapsed="false">
      <c r="A353" s="4" t="s">
        <v>421</v>
      </c>
      <c r="B353" s="4" t="s">
        <v>853</v>
      </c>
      <c r="C353" s="4" t="s">
        <v>1177</v>
      </c>
      <c r="D353" s="8" t="b">
        <f aca="false">FALSE()</f>
        <v>0</v>
      </c>
      <c r="E353" s="5" t="n">
        <v>11</v>
      </c>
      <c r="F353" s="7" t="n">
        <f aca="false">E353/SUMIFS($E$2:$E$783,$A$2:$A$783,A353)</f>
        <v>0.0887096774193548</v>
      </c>
      <c r="G353" s="5" t="n">
        <v>0</v>
      </c>
      <c r="H353" s="17" t="n">
        <v>44936</v>
      </c>
      <c r="I353" s="17" t="n">
        <v>45028</v>
      </c>
      <c r="J353" s="4" t="s">
        <v>856</v>
      </c>
      <c r="K353" s="4" t="s">
        <v>1205</v>
      </c>
      <c r="L353" s="2"/>
      <c r="M353" s="2"/>
      <c r="N353" s="2"/>
    </row>
    <row r="354" customFormat="false" ht="14.25" hidden="false" customHeight="false" outlineLevel="0" collapsed="false">
      <c r="A354" s="10" t="s">
        <v>422</v>
      </c>
      <c r="B354" s="10" t="s">
        <v>853</v>
      </c>
      <c r="C354" s="10" t="s">
        <v>404</v>
      </c>
      <c r="D354" s="14" t="b">
        <f aca="false">TRUE()</f>
        <v>1</v>
      </c>
      <c r="E354" s="11" t="n">
        <v>23</v>
      </c>
      <c r="F354" s="13" t="n">
        <f aca="false">E354/SUMIFS($E$2:$E$783,$A$2:$A$783,A354)</f>
        <v>0.958333333333333</v>
      </c>
      <c r="G354" s="11" t="n">
        <v>0</v>
      </c>
      <c r="H354" s="18" t="n">
        <v>45056</v>
      </c>
      <c r="I354" s="18" t="n">
        <v>45490</v>
      </c>
      <c r="J354" s="10" t="s">
        <v>854</v>
      </c>
      <c r="K354" s="10" t="s">
        <v>1206</v>
      </c>
      <c r="L354" s="2"/>
      <c r="M354" s="2"/>
      <c r="N354" s="2"/>
    </row>
    <row r="355" customFormat="false" ht="14.25" hidden="false" customHeight="false" outlineLevel="0" collapsed="false">
      <c r="A355" s="4" t="s">
        <v>422</v>
      </c>
      <c r="B355" s="4" t="s">
        <v>853</v>
      </c>
      <c r="C355" s="4" t="s">
        <v>1177</v>
      </c>
      <c r="D355" s="8" t="b">
        <f aca="false">FALSE()</f>
        <v>0</v>
      </c>
      <c r="E355" s="5" t="n">
        <v>1</v>
      </c>
      <c r="F355" s="7" t="n">
        <f aca="false">E355/SUMIFS($E$2:$E$783,$A$2:$A$783,A355)</f>
        <v>0.0416666666666667</v>
      </c>
      <c r="G355" s="5" t="n">
        <v>0</v>
      </c>
      <c r="H355" s="17" t="n">
        <v>45042</v>
      </c>
      <c r="I355" s="17" t="n">
        <v>45042</v>
      </c>
      <c r="J355" s="4" t="s">
        <v>856</v>
      </c>
      <c r="K355" s="4" t="s">
        <v>1207</v>
      </c>
      <c r="L355" s="2"/>
      <c r="M355" s="2"/>
      <c r="N355" s="2"/>
    </row>
    <row r="356" customFormat="false" ht="14.25" hidden="false" customHeight="false" outlineLevel="0" collapsed="false">
      <c r="A356" s="10" t="s">
        <v>425</v>
      </c>
      <c r="B356" s="10" t="s">
        <v>853</v>
      </c>
      <c r="C356" s="10" t="s">
        <v>426</v>
      </c>
      <c r="D356" s="14" t="b">
        <f aca="false">TRUE()</f>
        <v>1</v>
      </c>
      <c r="E356" s="11" t="n">
        <v>1350</v>
      </c>
      <c r="F356" s="13" t="n">
        <f aca="false">E356/SUMIFS($E$2:$E$783,$A$2:$A$783,A356)</f>
        <v>0.941422594142259</v>
      </c>
      <c r="G356" s="11" t="n">
        <v>329</v>
      </c>
      <c r="H356" s="18" t="n">
        <v>44930</v>
      </c>
      <c r="I356" s="18" t="n">
        <v>46296</v>
      </c>
      <c r="J356" s="10" t="s">
        <v>854</v>
      </c>
      <c r="K356" s="10" t="s">
        <v>1208</v>
      </c>
      <c r="L356" s="2"/>
      <c r="M356" s="2"/>
      <c r="N356" s="2"/>
    </row>
    <row r="357" customFormat="false" ht="14.25" hidden="false" customHeight="false" outlineLevel="0" collapsed="false">
      <c r="A357" s="4" t="s">
        <v>425</v>
      </c>
      <c r="B357" s="4" t="s">
        <v>853</v>
      </c>
      <c r="C357" s="4" t="s">
        <v>1209</v>
      </c>
      <c r="D357" s="8" t="b">
        <f aca="false">FALSE()</f>
        <v>0</v>
      </c>
      <c r="E357" s="5" t="n">
        <v>84</v>
      </c>
      <c r="F357" s="7" t="n">
        <f aca="false">E357/SUMIFS($E$2:$E$783,$A$2:$A$783,A357)</f>
        <v>0.0585774058577406</v>
      </c>
      <c r="G357" s="5" t="n">
        <v>0</v>
      </c>
      <c r="H357" s="17" t="n">
        <v>44930</v>
      </c>
      <c r="I357" s="17" t="n">
        <v>45055</v>
      </c>
      <c r="J357" s="4" t="s">
        <v>856</v>
      </c>
      <c r="K357" s="4" t="s">
        <v>1210</v>
      </c>
      <c r="L357" s="2"/>
      <c r="M357" s="2"/>
      <c r="N357" s="2"/>
    </row>
    <row r="358" customFormat="false" ht="14.25" hidden="false" customHeight="false" outlineLevel="0" collapsed="false">
      <c r="A358" s="10" t="s">
        <v>427</v>
      </c>
      <c r="B358" s="10" t="s">
        <v>853</v>
      </c>
      <c r="C358" s="10" t="s">
        <v>426</v>
      </c>
      <c r="D358" s="14" t="b">
        <f aca="false">TRUE()</f>
        <v>1</v>
      </c>
      <c r="E358" s="11" t="n">
        <v>634</v>
      </c>
      <c r="F358" s="13" t="n">
        <f aca="false">E358/SUMIFS($E$2:$E$783,$A$2:$A$783,A358)</f>
        <v>0.932352941176471</v>
      </c>
      <c r="G358" s="11" t="n">
        <v>187</v>
      </c>
      <c r="H358" s="18" t="n">
        <v>44930</v>
      </c>
      <c r="I358" s="18" t="n">
        <v>46295</v>
      </c>
      <c r="J358" s="10" t="s">
        <v>854</v>
      </c>
      <c r="K358" s="10" t="s">
        <v>1211</v>
      </c>
      <c r="L358" s="2"/>
      <c r="M358" s="2"/>
      <c r="N358" s="2"/>
    </row>
    <row r="359" customFormat="false" ht="14.25" hidden="false" customHeight="false" outlineLevel="0" collapsed="false">
      <c r="A359" s="4" t="s">
        <v>427</v>
      </c>
      <c r="B359" s="4" t="s">
        <v>853</v>
      </c>
      <c r="C359" s="4" t="s">
        <v>1209</v>
      </c>
      <c r="D359" s="8" t="b">
        <f aca="false">FALSE()</f>
        <v>0</v>
      </c>
      <c r="E359" s="5" t="n">
        <v>46</v>
      </c>
      <c r="F359" s="7" t="n">
        <f aca="false">E359/SUMIFS($E$2:$E$783,$A$2:$A$783,A359)</f>
        <v>0.0676470588235294</v>
      </c>
      <c r="G359" s="5" t="n">
        <v>0</v>
      </c>
      <c r="H359" s="17" t="n">
        <v>44928</v>
      </c>
      <c r="I359" s="17" t="n">
        <v>45053</v>
      </c>
      <c r="J359" s="4" t="s">
        <v>856</v>
      </c>
      <c r="K359" s="4" t="s">
        <v>1212</v>
      </c>
      <c r="L359" s="2"/>
      <c r="M359" s="2"/>
      <c r="N359" s="2"/>
    </row>
    <row r="360" customFormat="false" ht="14.25" hidden="false" customHeight="false" outlineLevel="0" collapsed="false">
      <c r="A360" s="10" t="s">
        <v>428</v>
      </c>
      <c r="B360" s="10" t="s">
        <v>853</v>
      </c>
      <c r="C360" s="10" t="s">
        <v>426</v>
      </c>
      <c r="D360" s="14" t="b">
        <f aca="false">TRUE()</f>
        <v>1</v>
      </c>
      <c r="E360" s="11" t="n">
        <v>10</v>
      </c>
      <c r="F360" s="13" t="n">
        <f aca="false">E360/SUMIFS($E$2:$E$783,$A$2:$A$783,A360)</f>
        <v>0.833333333333333</v>
      </c>
      <c r="G360" s="11" t="n">
        <v>0</v>
      </c>
      <c r="H360" s="18" t="n">
        <v>45225</v>
      </c>
      <c r="I360" s="18" t="n">
        <v>45887</v>
      </c>
      <c r="J360" s="10" t="s">
        <v>854</v>
      </c>
      <c r="K360" s="10" t="s">
        <v>1213</v>
      </c>
      <c r="L360" s="2"/>
      <c r="M360" s="2"/>
      <c r="N360" s="2"/>
    </row>
    <row r="361" customFormat="false" ht="14.25" hidden="false" customHeight="false" outlineLevel="0" collapsed="false">
      <c r="A361" s="4" t="s">
        <v>428</v>
      </c>
      <c r="B361" s="4" t="s">
        <v>853</v>
      </c>
      <c r="C361" s="4" t="s">
        <v>1209</v>
      </c>
      <c r="D361" s="8" t="b">
        <f aca="false">FALSE()</f>
        <v>0</v>
      </c>
      <c r="E361" s="5" t="n">
        <v>2</v>
      </c>
      <c r="F361" s="7" t="n">
        <f aca="false">E361/SUMIFS($E$2:$E$783,$A$2:$A$783,A361)</f>
        <v>0.166666666666667</v>
      </c>
      <c r="G361" s="5" t="n">
        <v>0</v>
      </c>
      <c r="H361" s="17" t="n">
        <v>44949</v>
      </c>
      <c r="I361" s="17" t="n">
        <v>44963</v>
      </c>
      <c r="J361" s="4" t="s">
        <v>856</v>
      </c>
      <c r="K361" s="4" t="s">
        <v>1214</v>
      </c>
      <c r="L361" s="2"/>
      <c r="M361" s="2"/>
      <c r="N361" s="2"/>
    </row>
    <row r="362" customFormat="false" ht="14.25" hidden="false" customHeight="false" outlineLevel="0" collapsed="false">
      <c r="A362" s="10" t="s">
        <v>429</v>
      </c>
      <c r="B362" s="10" t="s">
        <v>853</v>
      </c>
      <c r="C362" s="10" t="s">
        <v>430</v>
      </c>
      <c r="D362" s="14" t="b">
        <f aca="false">TRUE()</f>
        <v>1</v>
      </c>
      <c r="E362" s="11" t="n">
        <v>122</v>
      </c>
      <c r="F362" s="13" t="n">
        <f aca="false">E362/SUMIFS($E$2:$E$783,$A$2:$A$783,A362)</f>
        <v>0.968253968253968</v>
      </c>
      <c r="G362" s="11" t="n">
        <v>45</v>
      </c>
      <c r="H362" s="18" t="n">
        <v>45055</v>
      </c>
      <c r="I362" s="18" t="n">
        <v>46293</v>
      </c>
      <c r="J362" s="10" t="s">
        <v>854</v>
      </c>
      <c r="K362" s="10" t="s">
        <v>1215</v>
      </c>
      <c r="L362" s="2"/>
      <c r="M362" s="2"/>
      <c r="N362" s="2"/>
    </row>
    <row r="363" customFormat="false" ht="14.25" hidden="false" customHeight="false" outlineLevel="0" collapsed="false">
      <c r="A363" s="4" t="s">
        <v>429</v>
      </c>
      <c r="B363" s="4" t="s">
        <v>853</v>
      </c>
      <c r="C363" s="4" t="s">
        <v>1216</v>
      </c>
      <c r="D363" s="8" t="b">
        <f aca="false">FALSE()</f>
        <v>0</v>
      </c>
      <c r="E363" s="5" t="n">
        <v>4</v>
      </c>
      <c r="F363" s="7" t="n">
        <f aca="false">E363/SUMIFS($E$2:$E$783,$A$2:$A$783,A363)</f>
        <v>0.0317460317460317</v>
      </c>
      <c r="G363" s="5" t="n">
        <v>0</v>
      </c>
      <c r="H363" s="17" t="n">
        <v>44944</v>
      </c>
      <c r="I363" s="17" t="n">
        <v>45016</v>
      </c>
      <c r="J363" s="4" t="s">
        <v>856</v>
      </c>
      <c r="K363" s="4" t="s">
        <v>1217</v>
      </c>
      <c r="L363" s="2"/>
      <c r="M363" s="2"/>
      <c r="N363" s="2"/>
    </row>
    <row r="364" customFormat="false" ht="14.25" hidden="false" customHeight="false" outlineLevel="0" collapsed="false">
      <c r="A364" s="10" t="s">
        <v>431</v>
      </c>
      <c r="B364" s="10" t="s">
        <v>853</v>
      </c>
      <c r="C364" s="10" t="s">
        <v>430</v>
      </c>
      <c r="D364" s="14" t="b">
        <f aca="false">TRUE()</f>
        <v>1</v>
      </c>
      <c r="E364" s="11" t="n">
        <v>59</v>
      </c>
      <c r="F364" s="13" t="n">
        <f aca="false">E364/SUMIFS($E$2:$E$783,$A$2:$A$783,A364)</f>
        <v>0.951612903225807</v>
      </c>
      <c r="G364" s="11" t="n">
        <v>0</v>
      </c>
      <c r="H364" s="18" t="n">
        <v>45072</v>
      </c>
      <c r="I364" s="18" t="n">
        <v>45874</v>
      </c>
      <c r="J364" s="10" t="s">
        <v>854</v>
      </c>
      <c r="K364" s="10" t="s">
        <v>1218</v>
      </c>
      <c r="L364" s="2"/>
      <c r="M364" s="2"/>
      <c r="N364" s="2"/>
    </row>
    <row r="365" customFormat="false" ht="14.25" hidden="false" customHeight="false" outlineLevel="0" collapsed="false">
      <c r="A365" s="4" t="s">
        <v>431</v>
      </c>
      <c r="B365" s="4" t="s">
        <v>853</v>
      </c>
      <c r="C365" s="4" t="s">
        <v>314</v>
      </c>
      <c r="D365" s="8" t="b">
        <f aca="false">FALSE()</f>
        <v>0</v>
      </c>
      <c r="E365" s="5" t="n">
        <v>3</v>
      </c>
      <c r="F365" s="7" t="n">
        <f aca="false">E365/SUMIFS($E$2:$E$783,$A$2:$A$783,A365)</f>
        <v>0.0483870967741936</v>
      </c>
      <c r="G365" s="5" t="n">
        <v>0</v>
      </c>
      <c r="H365" s="17" t="n">
        <v>44942</v>
      </c>
      <c r="I365" s="17" t="n">
        <v>45013</v>
      </c>
      <c r="J365" s="4" t="s">
        <v>859</v>
      </c>
      <c r="K365" s="4" t="s">
        <v>1219</v>
      </c>
      <c r="L365" s="2"/>
      <c r="M365" s="2"/>
      <c r="N365" s="2"/>
    </row>
    <row r="366" customFormat="false" ht="14.25" hidden="false" customHeight="false" outlineLevel="0" collapsed="false">
      <c r="A366" s="10" t="s">
        <v>432</v>
      </c>
      <c r="B366" s="10" t="s">
        <v>853</v>
      </c>
      <c r="C366" s="10" t="s">
        <v>433</v>
      </c>
      <c r="D366" s="14" t="b">
        <f aca="false">TRUE()</f>
        <v>1</v>
      </c>
      <c r="E366" s="11" t="n">
        <v>33556</v>
      </c>
      <c r="F366" s="13" t="n">
        <f aca="false">E366/SUMIFS($E$2:$E$783,$A$2:$A$783,A366)</f>
        <v>0.964530037367059</v>
      </c>
      <c r="G366" s="11" t="n">
        <v>7889</v>
      </c>
      <c r="H366" s="18" t="n">
        <v>44928</v>
      </c>
      <c r="I366" s="18" t="n">
        <v>46296</v>
      </c>
      <c r="J366" s="10" t="s">
        <v>854</v>
      </c>
      <c r="K366" s="10" t="s">
        <v>936</v>
      </c>
      <c r="L366" s="2"/>
      <c r="M366" s="2"/>
      <c r="N366" s="2"/>
    </row>
    <row r="367" customFormat="false" ht="14.25" hidden="false" customHeight="false" outlineLevel="0" collapsed="false">
      <c r="A367" s="4" t="s">
        <v>432</v>
      </c>
      <c r="B367" s="4" t="s">
        <v>853</v>
      </c>
      <c r="C367" s="4" t="s">
        <v>813</v>
      </c>
      <c r="D367" s="8" t="b">
        <f aca="false">FALSE()</f>
        <v>0</v>
      </c>
      <c r="E367" s="5" t="n">
        <v>1234</v>
      </c>
      <c r="F367" s="7" t="n">
        <f aca="false">E367/SUMIFS($E$2:$E$783,$A$2:$A$783,A367)</f>
        <v>0.0354699626329405</v>
      </c>
      <c r="G367" s="5" t="n">
        <v>0</v>
      </c>
      <c r="H367" s="17" t="n">
        <v>44928</v>
      </c>
      <c r="I367" s="17" t="n">
        <v>45055</v>
      </c>
      <c r="J367" s="4" t="s">
        <v>859</v>
      </c>
      <c r="K367" s="4" t="s">
        <v>937</v>
      </c>
      <c r="L367" s="2"/>
      <c r="M367" s="2"/>
      <c r="N367" s="2"/>
    </row>
    <row r="368" customFormat="false" ht="14.25" hidden="false" customHeight="false" outlineLevel="0" collapsed="false">
      <c r="A368" s="10" t="s">
        <v>434</v>
      </c>
      <c r="B368" s="10" t="s">
        <v>853</v>
      </c>
      <c r="C368" s="10" t="s">
        <v>433</v>
      </c>
      <c r="D368" s="14" t="b">
        <f aca="false">TRUE()</f>
        <v>1</v>
      </c>
      <c r="E368" s="11" t="n">
        <v>21300</v>
      </c>
      <c r="F368" s="13" t="n">
        <f aca="false">E368/SUMIFS($E$2:$E$783,$A$2:$A$783,A368)</f>
        <v>0.760578468130691</v>
      </c>
      <c r="G368" s="11" t="n">
        <v>3786</v>
      </c>
      <c r="H368" s="18" t="n">
        <v>44928</v>
      </c>
      <c r="I368" s="18" t="n">
        <v>46203</v>
      </c>
      <c r="J368" s="10" t="s">
        <v>854</v>
      </c>
      <c r="K368" s="10" t="s">
        <v>1220</v>
      </c>
      <c r="L368" s="2"/>
      <c r="M368" s="2"/>
      <c r="N368" s="2"/>
    </row>
    <row r="369" customFormat="false" ht="14.25" hidden="false" customHeight="false" outlineLevel="0" collapsed="false">
      <c r="A369" s="4" t="s">
        <v>434</v>
      </c>
      <c r="B369" s="4" t="s">
        <v>853</v>
      </c>
      <c r="C369" s="4" t="s">
        <v>813</v>
      </c>
      <c r="D369" s="8" t="b">
        <f aca="false">FALSE()</f>
        <v>0</v>
      </c>
      <c r="E369" s="5" t="n">
        <v>6705</v>
      </c>
      <c r="F369" s="7" t="n">
        <f aca="false">E369/SUMIFS($E$2:$E$783,$A$2:$A$783,A369)</f>
        <v>0.239421531869309</v>
      </c>
      <c r="G369" s="5" t="n">
        <v>0</v>
      </c>
      <c r="H369" s="17" t="n">
        <v>44928</v>
      </c>
      <c r="I369" s="17" t="n">
        <v>45037</v>
      </c>
      <c r="J369" s="4" t="s">
        <v>859</v>
      </c>
      <c r="K369" s="4" t="s">
        <v>929</v>
      </c>
      <c r="L369" s="2"/>
      <c r="M369" s="2"/>
      <c r="N369" s="2"/>
    </row>
    <row r="370" customFormat="false" ht="14.25" hidden="false" customHeight="false" outlineLevel="0" collapsed="false">
      <c r="A370" s="10" t="s">
        <v>435</v>
      </c>
      <c r="B370" s="10" t="s">
        <v>853</v>
      </c>
      <c r="C370" s="10" t="s">
        <v>433</v>
      </c>
      <c r="D370" s="14" t="b">
        <f aca="false">TRUE()</f>
        <v>1</v>
      </c>
      <c r="E370" s="11" t="n">
        <v>23520</v>
      </c>
      <c r="F370" s="13" t="n">
        <f aca="false">E370/SUMIFS($E$2:$E$783,$A$2:$A$783,A370)</f>
        <v>0.948884495905112</v>
      </c>
      <c r="G370" s="11" t="n">
        <v>6096</v>
      </c>
      <c r="H370" s="18" t="n">
        <v>44928</v>
      </c>
      <c r="I370" s="18" t="n">
        <v>46296</v>
      </c>
      <c r="J370" s="10" t="s">
        <v>854</v>
      </c>
      <c r="K370" s="10" t="s">
        <v>936</v>
      </c>
      <c r="L370" s="2"/>
      <c r="M370" s="2"/>
      <c r="N370" s="2"/>
    </row>
    <row r="371" customFormat="false" ht="14.25" hidden="false" customHeight="false" outlineLevel="0" collapsed="false">
      <c r="A371" s="4" t="s">
        <v>435</v>
      </c>
      <c r="B371" s="4" t="s">
        <v>853</v>
      </c>
      <c r="C371" s="4" t="s">
        <v>813</v>
      </c>
      <c r="D371" s="8" t="b">
        <f aca="false">FALSE()</f>
        <v>0</v>
      </c>
      <c r="E371" s="5" t="n">
        <v>1267</v>
      </c>
      <c r="F371" s="7" t="n">
        <f aca="false">E371/SUMIFS($E$2:$E$783,$A$2:$A$783,A371)</f>
        <v>0.0511155040948885</v>
      </c>
      <c r="G371" s="5" t="n">
        <v>0</v>
      </c>
      <c r="H371" s="17" t="n">
        <v>44928</v>
      </c>
      <c r="I371" s="17" t="n">
        <v>45055</v>
      </c>
      <c r="J371" s="4" t="s">
        <v>859</v>
      </c>
      <c r="K371" s="4" t="s">
        <v>937</v>
      </c>
      <c r="L371" s="2"/>
      <c r="M371" s="2"/>
      <c r="N371" s="2"/>
    </row>
    <row r="372" customFormat="false" ht="14.25" hidden="false" customHeight="false" outlineLevel="0" collapsed="false">
      <c r="A372" s="10" t="s">
        <v>436</v>
      </c>
      <c r="B372" s="10" t="s">
        <v>853</v>
      </c>
      <c r="C372" s="10" t="s">
        <v>433</v>
      </c>
      <c r="D372" s="14" t="b">
        <f aca="false">TRUE()</f>
        <v>1</v>
      </c>
      <c r="E372" s="11" t="n">
        <v>22304</v>
      </c>
      <c r="F372" s="13" t="n">
        <f aca="false">E372/SUMIFS($E$2:$E$783,$A$2:$A$783,A372)</f>
        <v>0.983594990298113</v>
      </c>
      <c r="G372" s="11" t="n">
        <v>5375</v>
      </c>
      <c r="H372" s="18" t="n">
        <v>44928</v>
      </c>
      <c r="I372" s="18" t="n">
        <v>46296</v>
      </c>
      <c r="J372" s="10" t="s">
        <v>854</v>
      </c>
      <c r="K372" s="10" t="s">
        <v>936</v>
      </c>
      <c r="L372" s="2"/>
      <c r="M372" s="2"/>
      <c r="N372" s="2"/>
    </row>
    <row r="373" customFormat="false" ht="14.25" hidden="false" customHeight="false" outlineLevel="0" collapsed="false">
      <c r="A373" s="4" t="s">
        <v>436</v>
      </c>
      <c r="B373" s="4" t="s">
        <v>853</v>
      </c>
      <c r="C373" s="4" t="s">
        <v>813</v>
      </c>
      <c r="D373" s="8" t="b">
        <f aca="false">FALSE()</f>
        <v>0</v>
      </c>
      <c r="E373" s="5" t="n">
        <v>372</v>
      </c>
      <c r="F373" s="7" t="n">
        <f aca="false">E373/SUMIFS($E$2:$E$783,$A$2:$A$783,A373)</f>
        <v>0.0164050097018875</v>
      </c>
      <c r="G373" s="5" t="n">
        <v>0</v>
      </c>
      <c r="H373" s="17" t="n">
        <v>44928</v>
      </c>
      <c r="I373" s="17" t="n">
        <v>45054</v>
      </c>
      <c r="J373" s="4" t="s">
        <v>859</v>
      </c>
      <c r="K373" s="4" t="s">
        <v>938</v>
      </c>
      <c r="L373" s="2"/>
      <c r="M373" s="2"/>
      <c r="N373" s="2"/>
    </row>
    <row r="374" customFormat="false" ht="14.25" hidden="false" customHeight="false" outlineLevel="0" collapsed="false">
      <c r="A374" s="10" t="s">
        <v>437</v>
      </c>
      <c r="B374" s="10" t="s">
        <v>853</v>
      </c>
      <c r="C374" s="10" t="s">
        <v>433</v>
      </c>
      <c r="D374" s="14" t="b">
        <f aca="false">TRUE()</f>
        <v>1</v>
      </c>
      <c r="E374" s="11" t="n">
        <v>18521</v>
      </c>
      <c r="F374" s="13" t="n">
        <f aca="false">E374/SUMIFS($E$2:$E$783,$A$2:$A$783,A374)</f>
        <v>0.833415830445934</v>
      </c>
      <c r="G374" s="11" t="n">
        <v>2743</v>
      </c>
      <c r="H374" s="18" t="n">
        <v>44928</v>
      </c>
      <c r="I374" s="18" t="n">
        <v>46296</v>
      </c>
      <c r="J374" s="10" t="s">
        <v>854</v>
      </c>
      <c r="K374" s="10" t="s">
        <v>936</v>
      </c>
      <c r="L374" s="2"/>
      <c r="M374" s="2"/>
      <c r="N374" s="2"/>
    </row>
    <row r="375" customFormat="false" ht="14.25" hidden="false" customHeight="false" outlineLevel="0" collapsed="false">
      <c r="A375" s="4" t="s">
        <v>437</v>
      </c>
      <c r="B375" s="4" t="s">
        <v>853</v>
      </c>
      <c r="C375" s="4" t="s">
        <v>813</v>
      </c>
      <c r="D375" s="8" t="b">
        <f aca="false">FALSE()</f>
        <v>0</v>
      </c>
      <c r="E375" s="5" t="n">
        <v>3702</v>
      </c>
      <c r="F375" s="7" t="n">
        <f aca="false">E375/SUMIFS($E$2:$E$783,$A$2:$A$783,A375)</f>
        <v>0.166584169554066</v>
      </c>
      <c r="G375" s="5" t="n">
        <v>0</v>
      </c>
      <c r="H375" s="17" t="n">
        <v>44928</v>
      </c>
      <c r="I375" s="17" t="n">
        <v>45055</v>
      </c>
      <c r="J375" s="4" t="s">
        <v>859</v>
      </c>
      <c r="K375" s="4" t="s">
        <v>937</v>
      </c>
      <c r="L375" s="2"/>
      <c r="M375" s="2"/>
      <c r="N375" s="2"/>
    </row>
    <row r="376" customFormat="false" ht="14.25" hidden="false" customHeight="false" outlineLevel="0" collapsed="false">
      <c r="A376" s="10" t="s">
        <v>438</v>
      </c>
      <c r="B376" s="10" t="s">
        <v>853</v>
      </c>
      <c r="C376" s="10" t="s">
        <v>433</v>
      </c>
      <c r="D376" s="14" t="b">
        <f aca="false">TRUE()</f>
        <v>1</v>
      </c>
      <c r="E376" s="11" t="n">
        <v>20555</v>
      </c>
      <c r="F376" s="13" t="n">
        <f aca="false">E376/SUMIFS($E$2:$E$783,$A$2:$A$783,A376)</f>
        <v>0.955646473569204</v>
      </c>
      <c r="G376" s="11" t="n">
        <v>4256</v>
      </c>
      <c r="H376" s="18" t="n">
        <v>44933</v>
      </c>
      <c r="I376" s="18" t="n">
        <v>46296</v>
      </c>
      <c r="J376" s="10" t="s">
        <v>854</v>
      </c>
      <c r="K376" s="10" t="s">
        <v>1221</v>
      </c>
      <c r="L376" s="2"/>
      <c r="M376" s="2"/>
      <c r="N376" s="2"/>
    </row>
    <row r="377" customFormat="false" ht="14.25" hidden="false" customHeight="false" outlineLevel="0" collapsed="false">
      <c r="A377" s="4" t="s">
        <v>438</v>
      </c>
      <c r="B377" s="4" t="s">
        <v>853</v>
      </c>
      <c r="C377" s="4" t="s">
        <v>813</v>
      </c>
      <c r="D377" s="8" t="b">
        <f aca="false">FALSE()</f>
        <v>0</v>
      </c>
      <c r="E377" s="5" t="n">
        <v>954</v>
      </c>
      <c r="F377" s="7" t="n">
        <f aca="false">E377/SUMIFS($E$2:$E$783,$A$2:$A$783,A377)</f>
        <v>0.0443535264307964</v>
      </c>
      <c r="G377" s="5" t="n">
        <v>0</v>
      </c>
      <c r="H377" s="17" t="n">
        <v>44929</v>
      </c>
      <c r="I377" s="17" t="n">
        <v>45055</v>
      </c>
      <c r="J377" s="4" t="s">
        <v>859</v>
      </c>
      <c r="K377" s="4" t="s">
        <v>1222</v>
      </c>
      <c r="L377" s="2"/>
      <c r="M377" s="2"/>
      <c r="N377" s="2"/>
    </row>
    <row r="378" customFormat="false" ht="14.25" hidden="false" customHeight="false" outlineLevel="0" collapsed="false">
      <c r="A378" s="10" t="s">
        <v>439</v>
      </c>
      <c r="B378" s="10" t="s">
        <v>853</v>
      </c>
      <c r="C378" s="10" t="s">
        <v>433</v>
      </c>
      <c r="D378" s="14" t="b">
        <f aca="false">TRUE()</f>
        <v>1</v>
      </c>
      <c r="E378" s="11" t="n">
        <v>18664</v>
      </c>
      <c r="F378" s="13" t="n">
        <f aca="false">E378/SUMIFS($E$2:$E$783,$A$2:$A$783,A378)</f>
        <v>0.945443493237425</v>
      </c>
      <c r="G378" s="11" t="n">
        <v>5296</v>
      </c>
      <c r="H378" s="18" t="n">
        <v>44932</v>
      </c>
      <c r="I378" s="18" t="n">
        <v>46296</v>
      </c>
      <c r="J378" s="10" t="s">
        <v>854</v>
      </c>
      <c r="K378" s="10" t="s">
        <v>1223</v>
      </c>
      <c r="L378" s="2"/>
      <c r="M378" s="2"/>
      <c r="N378" s="2"/>
    </row>
    <row r="379" customFormat="false" ht="14.25" hidden="false" customHeight="false" outlineLevel="0" collapsed="false">
      <c r="A379" s="4" t="s">
        <v>439</v>
      </c>
      <c r="B379" s="4" t="s">
        <v>853</v>
      </c>
      <c r="C379" s="4" t="s">
        <v>813</v>
      </c>
      <c r="D379" s="8" t="b">
        <f aca="false">FALSE()</f>
        <v>0</v>
      </c>
      <c r="E379" s="5" t="n">
        <v>1077</v>
      </c>
      <c r="F379" s="7" t="n">
        <f aca="false">E379/SUMIFS($E$2:$E$783,$A$2:$A$783,A379)</f>
        <v>0.0545565067625754</v>
      </c>
      <c r="G379" s="5" t="n">
        <v>0</v>
      </c>
      <c r="H379" s="17" t="n">
        <v>44928</v>
      </c>
      <c r="I379" s="17" t="n">
        <v>45055</v>
      </c>
      <c r="J379" s="4" t="s">
        <v>859</v>
      </c>
      <c r="K379" s="4" t="s">
        <v>1224</v>
      </c>
      <c r="L379" s="2"/>
      <c r="M379" s="2"/>
      <c r="N379" s="2"/>
    </row>
    <row r="380" customFormat="false" ht="14.25" hidden="false" customHeight="false" outlineLevel="0" collapsed="false">
      <c r="A380" s="10" t="s">
        <v>440</v>
      </c>
      <c r="B380" s="10" t="s">
        <v>853</v>
      </c>
      <c r="C380" s="10" t="s">
        <v>433</v>
      </c>
      <c r="D380" s="14" t="b">
        <f aca="false">TRUE()</f>
        <v>1</v>
      </c>
      <c r="E380" s="11" t="n">
        <v>18051</v>
      </c>
      <c r="F380" s="13" t="n">
        <f aca="false">E380/SUMIFS($E$2:$E$783,$A$2:$A$783,A380)</f>
        <v>0.948455233291299</v>
      </c>
      <c r="G380" s="11" t="n">
        <v>3089</v>
      </c>
      <c r="H380" s="18" t="n">
        <v>44928</v>
      </c>
      <c r="I380" s="18" t="n">
        <v>46251</v>
      </c>
      <c r="J380" s="10" t="s">
        <v>854</v>
      </c>
      <c r="K380" s="10" t="s">
        <v>1225</v>
      </c>
      <c r="L380" s="2"/>
      <c r="M380" s="2"/>
      <c r="N380" s="2"/>
    </row>
    <row r="381" customFormat="false" ht="14.25" hidden="false" customHeight="false" outlineLevel="0" collapsed="false">
      <c r="A381" s="4" t="s">
        <v>440</v>
      </c>
      <c r="B381" s="4" t="s">
        <v>853</v>
      </c>
      <c r="C381" s="4" t="s">
        <v>813</v>
      </c>
      <c r="D381" s="8" t="b">
        <f aca="false">FALSE()</f>
        <v>0</v>
      </c>
      <c r="E381" s="5" t="n">
        <v>981</v>
      </c>
      <c r="F381" s="7" t="n">
        <f aca="false">E381/SUMIFS($E$2:$E$783,$A$2:$A$783,A381)</f>
        <v>0.0515447667087011</v>
      </c>
      <c r="G381" s="5" t="n">
        <v>0</v>
      </c>
      <c r="H381" s="17" t="n">
        <v>44928</v>
      </c>
      <c r="I381" s="17" t="n">
        <v>45055</v>
      </c>
      <c r="J381" s="4" t="s">
        <v>859</v>
      </c>
      <c r="K381" s="4" t="s">
        <v>937</v>
      </c>
      <c r="L381" s="2"/>
      <c r="M381" s="2"/>
      <c r="N381" s="2"/>
    </row>
    <row r="382" customFormat="false" ht="14.25" hidden="false" customHeight="false" outlineLevel="0" collapsed="false">
      <c r="A382" s="10" t="s">
        <v>441</v>
      </c>
      <c r="B382" s="10" t="s">
        <v>853</v>
      </c>
      <c r="C382" s="10" t="s">
        <v>433</v>
      </c>
      <c r="D382" s="14" t="b">
        <f aca="false">TRUE()</f>
        <v>1</v>
      </c>
      <c r="E382" s="11" t="n">
        <v>16805</v>
      </c>
      <c r="F382" s="13" t="n">
        <f aca="false">E382/SUMIFS($E$2:$E$783,$A$2:$A$783,A382)</f>
        <v>0.939719286473187</v>
      </c>
      <c r="G382" s="11" t="n">
        <v>3770</v>
      </c>
      <c r="H382" s="18" t="n">
        <v>44930</v>
      </c>
      <c r="I382" s="18" t="n">
        <v>46296</v>
      </c>
      <c r="J382" s="10" t="s">
        <v>854</v>
      </c>
      <c r="K382" s="10" t="s">
        <v>1208</v>
      </c>
      <c r="L382" s="2"/>
      <c r="M382" s="2"/>
      <c r="N382" s="2"/>
    </row>
    <row r="383" customFormat="false" ht="14.25" hidden="false" customHeight="false" outlineLevel="0" collapsed="false">
      <c r="A383" s="4" t="s">
        <v>441</v>
      </c>
      <c r="B383" s="4" t="s">
        <v>853</v>
      </c>
      <c r="C383" s="4" t="s">
        <v>813</v>
      </c>
      <c r="D383" s="8" t="b">
        <f aca="false">FALSE()</f>
        <v>0</v>
      </c>
      <c r="E383" s="5" t="n">
        <v>1078</v>
      </c>
      <c r="F383" s="7" t="n">
        <f aca="false">E383/SUMIFS($E$2:$E$783,$A$2:$A$783,A383)</f>
        <v>0.0602807135268132</v>
      </c>
      <c r="G383" s="5" t="n">
        <v>0</v>
      </c>
      <c r="H383" s="17" t="n">
        <v>44928</v>
      </c>
      <c r="I383" s="17" t="n">
        <v>45055</v>
      </c>
      <c r="J383" s="4" t="s">
        <v>859</v>
      </c>
      <c r="K383" s="4" t="s">
        <v>889</v>
      </c>
      <c r="L383" s="2"/>
      <c r="M383" s="2"/>
      <c r="N383" s="2"/>
    </row>
    <row r="384" customFormat="false" ht="14.25" hidden="false" customHeight="false" outlineLevel="0" collapsed="false">
      <c r="A384" s="10" t="s">
        <v>442</v>
      </c>
      <c r="B384" s="10" t="s">
        <v>853</v>
      </c>
      <c r="C384" s="10" t="s">
        <v>433</v>
      </c>
      <c r="D384" s="14" t="b">
        <f aca="false">TRUE()</f>
        <v>1</v>
      </c>
      <c r="E384" s="11" t="n">
        <v>16338</v>
      </c>
      <c r="F384" s="13" t="n">
        <f aca="false">E384/SUMIFS($E$2:$E$783,$A$2:$A$783,A384)</f>
        <v>0.932693954444254</v>
      </c>
      <c r="G384" s="11" t="n">
        <v>4320</v>
      </c>
      <c r="H384" s="18" t="n">
        <v>44929</v>
      </c>
      <c r="I384" s="18" t="n">
        <v>46296</v>
      </c>
      <c r="J384" s="10" t="s">
        <v>854</v>
      </c>
      <c r="K384" s="10" t="s">
        <v>930</v>
      </c>
      <c r="L384" s="2"/>
      <c r="M384" s="2"/>
      <c r="N384" s="2"/>
    </row>
    <row r="385" customFormat="false" ht="14.25" hidden="false" customHeight="false" outlineLevel="0" collapsed="false">
      <c r="A385" s="4" t="s">
        <v>442</v>
      </c>
      <c r="B385" s="4" t="s">
        <v>853</v>
      </c>
      <c r="C385" s="4" t="s">
        <v>813</v>
      </c>
      <c r="D385" s="8" t="b">
        <f aca="false">FALSE()</f>
        <v>0</v>
      </c>
      <c r="E385" s="5" t="n">
        <v>1179</v>
      </c>
      <c r="F385" s="7" t="n">
        <f aca="false">E385/SUMIFS($E$2:$E$783,$A$2:$A$783,A385)</f>
        <v>0.0673060455557459</v>
      </c>
      <c r="G385" s="5" t="n">
        <v>0</v>
      </c>
      <c r="H385" s="17" t="n">
        <v>44928</v>
      </c>
      <c r="I385" s="17" t="n">
        <v>45055</v>
      </c>
      <c r="J385" s="4" t="s">
        <v>859</v>
      </c>
      <c r="K385" s="4" t="s">
        <v>931</v>
      </c>
      <c r="L385" s="2"/>
      <c r="M385" s="2"/>
      <c r="N385" s="2"/>
    </row>
    <row r="386" customFormat="false" ht="14.25" hidden="false" customHeight="false" outlineLevel="0" collapsed="false">
      <c r="A386" s="10" t="s">
        <v>443</v>
      </c>
      <c r="B386" s="10" t="s">
        <v>853</v>
      </c>
      <c r="C386" s="10" t="s">
        <v>433</v>
      </c>
      <c r="D386" s="14" t="b">
        <f aca="false">TRUE()</f>
        <v>1</v>
      </c>
      <c r="E386" s="11" t="n">
        <v>11629</v>
      </c>
      <c r="F386" s="13" t="n">
        <f aca="false">E386/SUMIFS($E$2:$E$783,$A$2:$A$783,A386)</f>
        <v>0.961630695443645</v>
      </c>
      <c r="G386" s="11" t="n">
        <v>2844</v>
      </c>
      <c r="H386" s="18" t="n">
        <v>44931</v>
      </c>
      <c r="I386" s="18" t="n">
        <v>46296</v>
      </c>
      <c r="J386" s="10" t="s">
        <v>854</v>
      </c>
      <c r="K386" s="10" t="s">
        <v>943</v>
      </c>
      <c r="L386" s="2"/>
      <c r="M386" s="2"/>
      <c r="N386" s="2"/>
    </row>
    <row r="387" customFormat="false" ht="14.25" hidden="false" customHeight="false" outlineLevel="0" collapsed="false">
      <c r="A387" s="4" t="s">
        <v>443</v>
      </c>
      <c r="B387" s="4" t="s">
        <v>853</v>
      </c>
      <c r="C387" s="4" t="s">
        <v>813</v>
      </c>
      <c r="D387" s="8" t="b">
        <f aca="false">FALSE()</f>
        <v>0</v>
      </c>
      <c r="E387" s="5" t="n">
        <v>464</v>
      </c>
      <c r="F387" s="7" t="n">
        <f aca="false">E387/SUMIFS($E$2:$E$783,$A$2:$A$783,A387)</f>
        <v>0.0383693045563549</v>
      </c>
      <c r="G387" s="5" t="n">
        <v>0</v>
      </c>
      <c r="H387" s="17" t="n">
        <v>44928</v>
      </c>
      <c r="I387" s="17" t="n">
        <v>45055</v>
      </c>
      <c r="J387" s="4" t="s">
        <v>859</v>
      </c>
      <c r="K387" s="4" t="s">
        <v>944</v>
      </c>
      <c r="L387" s="2"/>
      <c r="M387" s="2"/>
      <c r="N387" s="2"/>
    </row>
    <row r="388" customFormat="false" ht="14.25" hidden="false" customHeight="false" outlineLevel="0" collapsed="false">
      <c r="A388" s="10" t="s">
        <v>444</v>
      </c>
      <c r="B388" s="10" t="s">
        <v>853</v>
      </c>
      <c r="C388" s="10" t="s">
        <v>433</v>
      </c>
      <c r="D388" s="14" t="b">
        <f aca="false">TRUE()</f>
        <v>1</v>
      </c>
      <c r="E388" s="11" t="n">
        <v>11511</v>
      </c>
      <c r="F388" s="13" t="n">
        <f aca="false">E388/SUMIFS($E$2:$E$783,$A$2:$A$783,A388)</f>
        <v>0.959329944162013</v>
      </c>
      <c r="G388" s="11" t="n">
        <v>2495</v>
      </c>
      <c r="H388" s="18" t="n">
        <v>44929</v>
      </c>
      <c r="I388" s="18" t="n">
        <v>46296</v>
      </c>
      <c r="J388" s="10" t="s">
        <v>854</v>
      </c>
      <c r="K388" s="10" t="s">
        <v>930</v>
      </c>
      <c r="L388" s="2"/>
      <c r="M388" s="2"/>
      <c r="N388" s="2"/>
    </row>
    <row r="389" customFormat="false" ht="14.25" hidden="false" customHeight="false" outlineLevel="0" collapsed="false">
      <c r="A389" s="4" t="s">
        <v>444</v>
      </c>
      <c r="B389" s="4" t="s">
        <v>853</v>
      </c>
      <c r="C389" s="4" t="s">
        <v>813</v>
      </c>
      <c r="D389" s="8" t="b">
        <f aca="false">FALSE()</f>
        <v>0</v>
      </c>
      <c r="E389" s="5" t="n">
        <v>488</v>
      </c>
      <c r="F389" s="7" t="n">
        <f aca="false">E389/SUMIFS($E$2:$E$783,$A$2:$A$783,A389)</f>
        <v>0.0406700558379865</v>
      </c>
      <c r="G389" s="5" t="n">
        <v>0</v>
      </c>
      <c r="H389" s="17" t="n">
        <v>44928</v>
      </c>
      <c r="I389" s="17" t="n">
        <v>45055</v>
      </c>
      <c r="J389" s="4" t="s">
        <v>859</v>
      </c>
      <c r="K389" s="4" t="s">
        <v>931</v>
      </c>
      <c r="L389" s="2"/>
      <c r="M389" s="2"/>
      <c r="N389" s="2"/>
    </row>
    <row r="390" customFormat="false" ht="14.25" hidden="false" customHeight="false" outlineLevel="0" collapsed="false">
      <c r="A390" s="10" t="s">
        <v>445</v>
      </c>
      <c r="B390" s="10" t="s">
        <v>853</v>
      </c>
      <c r="C390" s="10" t="s">
        <v>433</v>
      </c>
      <c r="D390" s="14" t="b">
        <f aca="false">TRUE()</f>
        <v>1</v>
      </c>
      <c r="E390" s="11" t="n">
        <v>11014</v>
      </c>
      <c r="F390" s="13" t="n">
        <f aca="false">E390/SUMIFS($E$2:$E$783,$A$2:$A$783,A390)</f>
        <v>0.935371549893843</v>
      </c>
      <c r="G390" s="11" t="n">
        <v>2472</v>
      </c>
      <c r="H390" s="18" t="n">
        <v>44937</v>
      </c>
      <c r="I390" s="18" t="n">
        <v>46296</v>
      </c>
      <c r="J390" s="10" t="s">
        <v>854</v>
      </c>
      <c r="K390" s="10" t="s">
        <v>1226</v>
      </c>
      <c r="L390" s="2"/>
      <c r="M390" s="2"/>
      <c r="N390" s="2"/>
    </row>
    <row r="391" customFormat="false" ht="14.25" hidden="false" customHeight="false" outlineLevel="0" collapsed="false">
      <c r="A391" s="4" t="s">
        <v>445</v>
      </c>
      <c r="B391" s="4" t="s">
        <v>853</v>
      </c>
      <c r="C391" s="4" t="s">
        <v>813</v>
      </c>
      <c r="D391" s="8" t="b">
        <f aca="false">FALSE()</f>
        <v>0</v>
      </c>
      <c r="E391" s="5" t="n">
        <v>761</v>
      </c>
      <c r="F391" s="7" t="n">
        <f aca="false">E391/SUMIFS($E$2:$E$783,$A$2:$A$783,A391)</f>
        <v>0.0646284501061571</v>
      </c>
      <c r="G391" s="5" t="n">
        <v>0</v>
      </c>
      <c r="H391" s="17" t="n">
        <v>44928</v>
      </c>
      <c r="I391" s="17" t="n">
        <v>45055</v>
      </c>
      <c r="J391" s="4" t="s">
        <v>859</v>
      </c>
      <c r="K391" s="4" t="s">
        <v>1227</v>
      </c>
      <c r="L391" s="2"/>
      <c r="M391" s="2"/>
      <c r="N391" s="2"/>
    </row>
    <row r="392" customFormat="false" ht="14.25" hidden="false" customHeight="false" outlineLevel="0" collapsed="false">
      <c r="A392" s="10" t="s">
        <v>447</v>
      </c>
      <c r="B392" s="10" t="s">
        <v>853</v>
      </c>
      <c r="C392" s="10" t="s">
        <v>433</v>
      </c>
      <c r="D392" s="14" t="b">
        <f aca="false">TRUE()</f>
        <v>1</v>
      </c>
      <c r="E392" s="11" t="n">
        <v>6795</v>
      </c>
      <c r="F392" s="13" t="n">
        <f aca="false">E392/SUMIFS($E$2:$E$783,$A$2:$A$783,A392)</f>
        <v>0.971408148677627</v>
      </c>
      <c r="G392" s="11" t="n">
        <v>1807</v>
      </c>
      <c r="H392" s="18" t="n">
        <v>44935</v>
      </c>
      <c r="I392" s="18" t="n">
        <v>46296</v>
      </c>
      <c r="J392" s="10" t="s">
        <v>854</v>
      </c>
      <c r="K392" s="10" t="s">
        <v>939</v>
      </c>
      <c r="L392" s="2"/>
      <c r="M392" s="2"/>
      <c r="N392" s="2"/>
    </row>
    <row r="393" customFormat="false" ht="14.25" hidden="false" customHeight="false" outlineLevel="0" collapsed="false">
      <c r="A393" s="4" t="s">
        <v>447</v>
      </c>
      <c r="B393" s="4" t="s">
        <v>853</v>
      </c>
      <c r="C393" s="4" t="s">
        <v>813</v>
      </c>
      <c r="D393" s="8" t="b">
        <f aca="false">FALSE()</f>
        <v>0</v>
      </c>
      <c r="E393" s="5" t="n">
        <v>200</v>
      </c>
      <c r="F393" s="7" t="n">
        <f aca="false">E393/SUMIFS($E$2:$E$783,$A$2:$A$783,A393)</f>
        <v>0.0285918513223731</v>
      </c>
      <c r="G393" s="5" t="n">
        <v>0</v>
      </c>
      <c r="H393" s="17" t="n">
        <v>44929</v>
      </c>
      <c r="I393" s="17" t="n">
        <v>45055</v>
      </c>
      <c r="J393" s="4" t="s">
        <v>859</v>
      </c>
      <c r="K393" s="4" t="s">
        <v>1228</v>
      </c>
      <c r="L393" s="2"/>
      <c r="M393" s="2"/>
      <c r="N393" s="2"/>
    </row>
    <row r="394" customFormat="false" ht="14.25" hidden="false" customHeight="false" outlineLevel="0" collapsed="false">
      <c r="A394" s="10" t="s">
        <v>449</v>
      </c>
      <c r="B394" s="10" t="s">
        <v>853</v>
      </c>
      <c r="C394" s="10" t="s">
        <v>433</v>
      </c>
      <c r="D394" s="14" t="b">
        <f aca="false">TRUE()</f>
        <v>1</v>
      </c>
      <c r="E394" s="11" t="n">
        <v>5507</v>
      </c>
      <c r="F394" s="13" t="n">
        <f aca="false">E394/SUMIFS($E$2:$E$783,$A$2:$A$783,A394)</f>
        <v>0.967328297909714</v>
      </c>
      <c r="G394" s="11" t="n">
        <v>1353</v>
      </c>
      <c r="H394" s="18" t="n">
        <v>44928</v>
      </c>
      <c r="I394" s="18" t="n">
        <v>46296</v>
      </c>
      <c r="J394" s="10" t="s">
        <v>854</v>
      </c>
      <c r="K394" s="10" t="s">
        <v>936</v>
      </c>
      <c r="L394" s="2"/>
      <c r="M394" s="2"/>
      <c r="N394" s="2"/>
    </row>
    <row r="395" customFormat="false" ht="14.25" hidden="false" customHeight="false" outlineLevel="0" collapsed="false">
      <c r="A395" s="4" t="s">
        <v>449</v>
      </c>
      <c r="B395" s="4" t="s">
        <v>853</v>
      </c>
      <c r="C395" s="4" t="s">
        <v>813</v>
      </c>
      <c r="D395" s="8" t="b">
        <f aca="false">FALSE()</f>
        <v>0</v>
      </c>
      <c r="E395" s="5" t="n">
        <v>186</v>
      </c>
      <c r="F395" s="7" t="n">
        <f aca="false">E395/SUMIFS($E$2:$E$783,$A$2:$A$783,A395)</f>
        <v>0.0326717020902863</v>
      </c>
      <c r="G395" s="5" t="n">
        <v>0</v>
      </c>
      <c r="H395" s="17" t="n">
        <v>44928</v>
      </c>
      <c r="I395" s="17" t="n">
        <v>45050</v>
      </c>
      <c r="J395" s="4" t="s">
        <v>859</v>
      </c>
      <c r="K395" s="4" t="s">
        <v>1229</v>
      </c>
      <c r="L395" s="2"/>
      <c r="M395" s="2"/>
      <c r="N395" s="2"/>
    </row>
    <row r="396" customFormat="false" ht="14.25" hidden="false" customHeight="false" outlineLevel="0" collapsed="false">
      <c r="A396" s="10" t="s">
        <v>450</v>
      </c>
      <c r="B396" s="10" t="s">
        <v>853</v>
      </c>
      <c r="C396" s="10" t="s">
        <v>433</v>
      </c>
      <c r="D396" s="14" t="b">
        <f aca="false">TRUE()</f>
        <v>1</v>
      </c>
      <c r="E396" s="11" t="n">
        <v>4466</v>
      </c>
      <c r="F396" s="13" t="n">
        <f aca="false">E396/SUMIFS($E$2:$E$783,$A$2:$A$783,A396)</f>
        <v>0.912732474964235</v>
      </c>
      <c r="G396" s="11" t="n">
        <v>930</v>
      </c>
      <c r="H396" s="18" t="n">
        <v>45022</v>
      </c>
      <c r="I396" s="18" t="n">
        <v>46217</v>
      </c>
      <c r="J396" s="10" t="s">
        <v>854</v>
      </c>
      <c r="K396" s="10" t="s">
        <v>1230</v>
      </c>
      <c r="L396" s="2"/>
      <c r="M396" s="2"/>
      <c r="N396" s="2"/>
    </row>
    <row r="397" customFormat="false" ht="14.25" hidden="false" customHeight="false" outlineLevel="0" collapsed="false">
      <c r="A397" s="4" t="s">
        <v>450</v>
      </c>
      <c r="B397" s="4" t="s">
        <v>853</v>
      </c>
      <c r="C397" s="4" t="s">
        <v>813</v>
      </c>
      <c r="D397" s="8" t="b">
        <f aca="false">FALSE()</f>
        <v>0</v>
      </c>
      <c r="E397" s="5" t="n">
        <v>427</v>
      </c>
      <c r="F397" s="7" t="n">
        <f aca="false">E397/SUMIFS($E$2:$E$783,$A$2:$A$783,A397)</f>
        <v>0.0872675250357654</v>
      </c>
      <c r="G397" s="5" t="n">
        <v>0</v>
      </c>
      <c r="H397" s="17" t="n">
        <v>44938</v>
      </c>
      <c r="I397" s="17" t="n">
        <v>45055</v>
      </c>
      <c r="J397" s="4" t="s">
        <v>859</v>
      </c>
      <c r="K397" s="4" t="s">
        <v>1231</v>
      </c>
      <c r="L397" s="2"/>
      <c r="M397" s="2"/>
      <c r="N397" s="2"/>
    </row>
    <row r="398" customFormat="false" ht="14.25" hidden="false" customHeight="false" outlineLevel="0" collapsed="false">
      <c r="A398" s="10" t="s">
        <v>453</v>
      </c>
      <c r="B398" s="10" t="s">
        <v>853</v>
      </c>
      <c r="C398" s="10" t="s">
        <v>433</v>
      </c>
      <c r="D398" s="14" t="b">
        <f aca="false">TRUE()</f>
        <v>1</v>
      </c>
      <c r="E398" s="11" t="n">
        <v>4367</v>
      </c>
      <c r="F398" s="13" t="n">
        <f aca="false">E398/SUMIFS($E$2:$E$783,$A$2:$A$783,A398)</f>
        <v>0.960202286719437</v>
      </c>
      <c r="G398" s="11" t="n">
        <v>911</v>
      </c>
      <c r="H398" s="18" t="n">
        <v>44930</v>
      </c>
      <c r="I398" s="18" t="n">
        <v>46296</v>
      </c>
      <c r="J398" s="10" t="s">
        <v>854</v>
      </c>
      <c r="K398" s="10" t="s">
        <v>1208</v>
      </c>
      <c r="L398" s="2"/>
      <c r="M398" s="2"/>
      <c r="N398" s="2"/>
    </row>
    <row r="399" customFormat="false" ht="14.25" hidden="false" customHeight="false" outlineLevel="0" collapsed="false">
      <c r="A399" s="4" t="s">
        <v>453</v>
      </c>
      <c r="B399" s="4" t="s">
        <v>853</v>
      </c>
      <c r="C399" s="4" t="s">
        <v>813</v>
      </c>
      <c r="D399" s="8" t="b">
        <f aca="false">FALSE()</f>
        <v>0</v>
      </c>
      <c r="E399" s="5" t="n">
        <v>181</v>
      </c>
      <c r="F399" s="7" t="n">
        <f aca="false">E399/SUMIFS($E$2:$E$783,$A$2:$A$783,A399)</f>
        <v>0.0397977132805629</v>
      </c>
      <c r="G399" s="5" t="n">
        <v>0</v>
      </c>
      <c r="H399" s="17" t="n">
        <v>44928</v>
      </c>
      <c r="I399" s="17" t="n">
        <v>45054</v>
      </c>
      <c r="J399" s="4" t="s">
        <v>859</v>
      </c>
      <c r="K399" s="4" t="s">
        <v>1232</v>
      </c>
      <c r="L399" s="2"/>
      <c r="M399" s="2"/>
      <c r="N399" s="2"/>
    </row>
    <row r="400" customFormat="false" ht="14.25" hidden="false" customHeight="false" outlineLevel="0" collapsed="false">
      <c r="A400" s="10" t="s">
        <v>454</v>
      </c>
      <c r="B400" s="10" t="s">
        <v>853</v>
      </c>
      <c r="C400" s="10" t="s">
        <v>433</v>
      </c>
      <c r="D400" s="14" t="b">
        <f aca="false">TRUE()</f>
        <v>1</v>
      </c>
      <c r="E400" s="11" t="n">
        <v>4345</v>
      </c>
      <c r="F400" s="13" t="n">
        <f aca="false">E400/SUMIFS($E$2:$E$783,$A$2:$A$783,A400)</f>
        <v>0.999769903359411</v>
      </c>
      <c r="G400" s="11" t="n">
        <v>780</v>
      </c>
      <c r="H400" s="18" t="n">
        <v>44929</v>
      </c>
      <c r="I400" s="18" t="n">
        <v>46218</v>
      </c>
      <c r="J400" s="10" t="s">
        <v>854</v>
      </c>
      <c r="K400" s="10" t="s">
        <v>1233</v>
      </c>
      <c r="L400" s="2"/>
      <c r="M400" s="2"/>
      <c r="N400" s="2"/>
    </row>
    <row r="401" customFormat="false" ht="14.25" hidden="false" customHeight="false" outlineLevel="0" collapsed="false">
      <c r="A401" s="4" t="s">
        <v>454</v>
      </c>
      <c r="B401" s="4" t="s">
        <v>853</v>
      </c>
      <c r="C401" s="4" t="s">
        <v>813</v>
      </c>
      <c r="D401" s="8" t="b">
        <f aca="false">FALSE()</f>
        <v>0</v>
      </c>
      <c r="E401" s="5" t="n">
        <v>1</v>
      </c>
      <c r="F401" s="7" t="n">
        <f aca="false">E401/SUMIFS($E$2:$E$783,$A$2:$A$783,A401)</f>
        <v>0.000230096640589047</v>
      </c>
      <c r="G401" s="5" t="n">
        <v>0</v>
      </c>
      <c r="H401" s="17" t="n">
        <v>44953</v>
      </c>
      <c r="I401" s="17" t="n">
        <v>44953</v>
      </c>
      <c r="J401" s="4" t="s">
        <v>859</v>
      </c>
      <c r="K401" s="4" t="s">
        <v>1234</v>
      </c>
      <c r="L401" s="2"/>
      <c r="M401" s="2"/>
      <c r="N401" s="2"/>
    </row>
    <row r="402" customFormat="false" ht="14.25" hidden="false" customHeight="false" outlineLevel="0" collapsed="false">
      <c r="A402" s="10" t="s">
        <v>456</v>
      </c>
      <c r="B402" s="10" t="s">
        <v>853</v>
      </c>
      <c r="C402" s="10" t="s">
        <v>433</v>
      </c>
      <c r="D402" s="14" t="b">
        <f aca="false">TRUE()</f>
        <v>1</v>
      </c>
      <c r="E402" s="11" t="n">
        <v>2300</v>
      </c>
      <c r="F402" s="13" t="n">
        <f aca="false">E402/SUMIFS($E$2:$E$783,$A$2:$A$783,A402)</f>
        <v>0.951199338296113</v>
      </c>
      <c r="G402" s="11" t="n">
        <v>622</v>
      </c>
      <c r="H402" s="18" t="n">
        <v>44933</v>
      </c>
      <c r="I402" s="18" t="n">
        <v>46296</v>
      </c>
      <c r="J402" s="10" t="s">
        <v>854</v>
      </c>
      <c r="K402" s="10" t="s">
        <v>1221</v>
      </c>
      <c r="L402" s="2"/>
      <c r="M402" s="2"/>
      <c r="N402" s="2"/>
    </row>
    <row r="403" customFormat="false" ht="14.25" hidden="false" customHeight="false" outlineLevel="0" collapsed="false">
      <c r="A403" s="4" t="s">
        <v>456</v>
      </c>
      <c r="B403" s="4" t="s">
        <v>853</v>
      </c>
      <c r="C403" s="4" t="s">
        <v>813</v>
      </c>
      <c r="D403" s="8" t="b">
        <f aca="false">FALSE()</f>
        <v>0</v>
      </c>
      <c r="E403" s="5" t="n">
        <v>118</v>
      </c>
      <c r="F403" s="7" t="n">
        <f aca="false">E403/SUMIFS($E$2:$E$783,$A$2:$A$783,A403)</f>
        <v>0.0488006617038875</v>
      </c>
      <c r="G403" s="5" t="n">
        <v>0</v>
      </c>
      <c r="H403" s="17" t="n">
        <v>44928</v>
      </c>
      <c r="I403" s="17" t="n">
        <v>45048</v>
      </c>
      <c r="J403" s="4" t="s">
        <v>859</v>
      </c>
      <c r="K403" s="4" t="s">
        <v>1235</v>
      </c>
      <c r="L403" s="2"/>
      <c r="M403" s="2"/>
      <c r="N403" s="2"/>
    </row>
    <row r="404" customFormat="false" ht="14.25" hidden="false" customHeight="false" outlineLevel="0" collapsed="false">
      <c r="A404" s="10" t="s">
        <v>457</v>
      </c>
      <c r="B404" s="10" t="s">
        <v>853</v>
      </c>
      <c r="C404" s="10" t="s">
        <v>433</v>
      </c>
      <c r="D404" s="14" t="b">
        <f aca="false">TRUE()</f>
        <v>1</v>
      </c>
      <c r="E404" s="11" t="n">
        <v>1894</v>
      </c>
      <c r="F404" s="13" t="n">
        <f aca="false">E404/SUMIFS($E$2:$E$783,$A$2:$A$783,A404)</f>
        <v>0.931628135759961</v>
      </c>
      <c r="G404" s="11" t="n">
        <v>419</v>
      </c>
      <c r="H404" s="18" t="n">
        <v>44968</v>
      </c>
      <c r="I404" s="18" t="n">
        <v>46296</v>
      </c>
      <c r="J404" s="10" t="s">
        <v>854</v>
      </c>
      <c r="K404" s="10" t="s">
        <v>1236</v>
      </c>
      <c r="L404" s="2"/>
      <c r="M404" s="2"/>
      <c r="N404" s="2"/>
    </row>
    <row r="405" customFormat="false" ht="14.25" hidden="false" customHeight="false" outlineLevel="0" collapsed="false">
      <c r="A405" s="4" t="s">
        <v>457</v>
      </c>
      <c r="B405" s="4" t="s">
        <v>853</v>
      </c>
      <c r="C405" s="4" t="s">
        <v>813</v>
      </c>
      <c r="D405" s="8" t="b">
        <f aca="false">FALSE()</f>
        <v>0</v>
      </c>
      <c r="E405" s="5" t="n">
        <v>139</v>
      </c>
      <c r="F405" s="7" t="n">
        <f aca="false">E405/SUMIFS($E$2:$E$783,$A$2:$A$783,A405)</f>
        <v>0.0683718642400394</v>
      </c>
      <c r="G405" s="5" t="n">
        <v>0</v>
      </c>
      <c r="H405" s="17" t="n">
        <v>44928</v>
      </c>
      <c r="I405" s="17" t="n">
        <v>45049</v>
      </c>
      <c r="J405" s="4" t="s">
        <v>859</v>
      </c>
      <c r="K405" s="4" t="s">
        <v>1237</v>
      </c>
      <c r="L405" s="2"/>
      <c r="M405" s="2"/>
      <c r="N405" s="2"/>
    </row>
    <row r="406" customFormat="false" ht="14.25" hidden="false" customHeight="false" outlineLevel="0" collapsed="false">
      <c r="A406" s="10" t="s">
        <v>459</v>
      </c>
      <c r="B406" s="10" t="s">
        <v>853</v>
      </c>
      <c r="C406" s="10" t="s">
        <v>433</v>
      </c>
      <c r="D406" s="14" t="b">
        <f aca="false">TRUE()</f>
        <v>1</v>
      </c>
      <c r="E406" s="11" t="n">
        <v>1525</v>
      </c>
      <c r="F406" s="13" t="n">
        <f aca="false">E406/SUMIFS($E$2:$E$783,$A$2:$A$783,A406)</f>
        <v>0.981338481338481</v>
      </c>
      <c r="G406" s="11" t="n">
        <v>398</v>
      </c>
      <c r="H406" s="18" t="n">
        <v>45034</v>
      </c>
      <c r="I406" s="18" t="n">
        <v>46296</v>
      </c>
      <c r="J406" s="10" t="s">
        <v>854</v>
      </c>
      <c r="K406" s="10" t="s">
        <v>1059</v>
      </c>
      <c r="L406" s="2"/>
      <c r="M406" s="2"/>
      <c r="N406" s="2"/>
    </row>
    <row r="407" customFormat="false" ht="14.25" hidden="false" customHeight="false" outlineLevel="0" collapsed="false">
      <c r="A407" s="4" t="s">
        <v>459</v>
      </c>
      <c r="B407" s="4" t="s">
        <v>853</v>
      </c>
      <c r="C407" s="4" t="s">
        <v>813</v>
      </c>
      <c r="D407" s="8" t="b">
        <f aca="false">FALSE()</f>
        <v>0</v>
      </c>
      <c r="E407" s="5" t="n">
        <v>29</v>
      </c>
      <c r="F407" s="7" t="n">
        <f aca="false">E407/SUMIFS($E$2:$E$783,$A$2:$A$783,A407)</f>
        <v>0.0186615186615187</v>
      </c>
      <c r="G407" s="5" t="n">
        <v>0</v>
      </c>
      <c r="H407" s="17" t="n">
        <v>44936</v>
      </c>
      <c r="I407" s="17" t="n">
        <v>45049</v>
      </c>
      <c r="J407" s="4" t="s">
        <v>859</v>
      </c>
      <c r="K407" s="4" t="s">
        <v>1238</v>
      </c>
      <c r="L407" s="2"/>
      <c r="M407" s="2"/>
      <c r="N407" s="2"/>
    </row>
    <row r="408" customFormat="false" ht="14.25" hidden="false" customHeight="false" outlineLevel="0" collapsed="false">
      <c r="A408" s="10" t="s">
        <v>461</v>
      </c>
      <c r="B408" s="10" t="s">
        <v>853</v>
      </c>
      <c r="C408" s="10" t="s">
        <v>433</v>
      </c>
      <c r="D408" s="14" t="b">
        <f aca="false">TRUE()</f>
        <v>1</v>
      </c>
      <c r="E408" s="11" t="n">
        <v>1184</v>
      </c>
      <c r="F408" s="13" t="n">
        <f aca="false">E408/SUMIFS($E$2:$E$783,$A$2:$A$783,A408)</f>
        <v>0.848745519713262</v>
      </c>
      <c r="G408" s="11" t="n">
        <v>0</v>
      </c>
      <c r="H408" s="18" t="n">
        <v>45042</v>
      </c>
      <c r="I408" s="18" t="n">
        <v>45876</v>
      </c>
      <c r="J408" s="10" t="s">
        <v>854</v>
      </c>
      <c r="K408" s="10" t="s">
        <v>1239</v>
      </c>
      <c r="L408" s="2"/>
      <c r="M408" s="2"/>
      <c r="N408" s="2"/>
    </row>
    <row r="409" customFormat="false" ht="14.25" hidden="false" customHeight="false" outlineLevel="0" collapsed="false">
      <c r="A409" s="4" t="s">
        <v>461</v>
      </c>
      <c r="B409" s="4" t="s">
        <v>853</v>
      </c>
      <c r="C409" s="4" t="s">
        <v>813</v>
      </c>
      <c r="D409" s="8" t="b">
        <f aca="false">FALSE()</f>
        <v>0</v>
      </c>
      <c r="E409" s="5" t="n">
        <v>211</v>
      </c>
      <c r="F409" s="7" t="n">
        <f aca="false">E409/SUMIFS($E$2:$E$783,$A$2:$A$783,A409)</f>
        <v>0.151254480286738</v>
      </c>
      <c r="G409" s="5" t="n">
        <v>0</v>
      </c>
      <c r="H409" s="17" t="n">
        <v>44930</v>
      </c>
      <c r="I409" s="17" t="n">
        <v>45052</v>
      </c>
      <c r="J409" s="4" t="s">
        <v>859</v>
      </c>
      <c r="K409" s="4" t="s">
        <v>1240</v>
      </c>
      <c r="L409" s="2"/>
      <c r="M409" s="2"/>
      <c r="N409" s="2"/>
    </row>
    <row r="410" customFormat="false" ht="14.25" hidden="false" customHeight="false" outlineLevel="0" collapsed="false">
      <c r="A410" s="10" t="s">
        <v>462</v>
      </c>
      <c r="B410" s="10" t="s">
        <v>853</v>
      </c>
      <c r="C410" s="10" t="s">
        <v>433</v>
      </c>
      <c r="D410" s="14" t="b">
        <f aca="false">TRUE()</f>
        <v>1</v>
      </c>
      <c r="E410" s="11" t="n">
        <v>1329</v>
      </c>
      <c r="F410" s="13" t="n">
        <f aca="false">E410/SUMIFS($E$2:$E$783,$A$2:$A$783,A410)</f>
        <v>0.97936624907885</v>
      </c>
      <c r="G410" s="11" t="n">
        <v>313</v>
      </c>
      <c r="H410" s="18" t="n">
        <v>44944</v>
      </c>
      <c r="I410" s="18" t="n">
        <v>46295</v>
      </c>
      <c r="J410" s="10" t="s">
        <v>854</v>
      </c>
      <c r="K410" s="10" t="s">
        <v>1241</v>
      </c>
      <c r="L410" s="2"/>
      <c r="M410" s="2"/>
      <c r="N410" s="2"/>
    </row>
    <row r="411" customFormat="false" ht="14.25" hidden="false" customHeight="false" outlineLevel="0" collapsed="false">
      <c r="A411" s="4" t="s">
        <v>462</v>
      </c>
      <c r="B411" s="4" t="s">
        <v>853</v>
      </c>
      <c r="C411" s="4" t="s">
        <v>813</v>
      </c>
      <c r="D411" s="8" t="b">
        <f aca="false">FALSE()</f>
        <v>0</v>
      </c>
      <c r="E411" s="5" t="n">
        <v>28</v>
      </c>
      <c r="F411" s="7" t="n">
        <f aca="false">E411/SUMIFS($E$2:$E$783,$A$2:$A$783,A411)</f>
        <v>0.0206337509211496</v>
      </c>
      <c r="G411" s="5" t="n">
        <v>0</v>
      </c>
      <c r="H411" s="17" t="n">
        <v>44938</v>
      </c>
      <c r="I411" s="17" t="n">
        <v>45045</v>
      </c>
      <c r="J411" s="4" t="s">
        <v>859</v>
      </c>
      <c r="K411" s="4" t="s">
        <v>1242</v>
      </c>
      <c r="L411" s="2"/>
      <c r="M411" s="2"/>
      <c r="N411" s="2"/>
    </row>
    <row r="412" customFormat="false" ht="14.25" hidden="false" customHeight="false" outlineLevel="0" collapsed="false">
      <c r="A412" s="10" t="s">
        <v>463</v>
      </c>
      <c r="B412" s="10" t="s">
        <v>853</v>
      </c>
      <c r="C412" s="10" t="s">
        <v>433</v>
      </c>
      <c r="D412" s="14" t="b">
        <f aca="false">TRUE()</f>
        <v>1</v>
      </c>
      <c r="E412" s="11" t="n">
        <v>1136</v>
      </c>
      <c r="F412" s="13" t="n">
        <f aca="false">E412/SUMIFS($E$2:$E$783,$A$2:$A$783,A412)</f>
        <v>0.938842975206612</v>
      </c>
      <c r="G412" s="11" t="n">
        <v>254</v>
      </c>
      <c r="H412" s="18" t="n">
        <v>44988</v>
      </c>
      <c r="I412" s="18" t="n">
        <v>46296</v>
      </c>
      <c r="J412" s="10" t="s">
        <v>854</v>
      </c>
      <c r="K412" s="10" t="s">
        <v>1181</v>
      </c>
      <c r="L412" s="2"/>
      <c r="M412" s="2"/>
      <c r="N412" s="2"/>
    </row>
    <row r="413" customFormat="false" ht="14.25" hidden="false" customHeight="false" outlineLevel="0" collapsed="false">
      <c r="A413" s="4" t="s">
        <v>463</v>
      </c>
      <c r="B413" s="4" t="s">
        <v>853</v>
      </c>
      <c r="C413" s="4" t="s">
        <v>813</v>
      </c>
      <c r="D413" s="8" t="b">
        <f aca="false">FALSE()</f>
        <v>0</v>
      </c>
      <c r="E413" s="5" t="n">
        <v>74</v>
      </c>
      <c r="F413" s="7" t="n">
        <f aca="false">E413/SUMIFS($E$2:$E$783,$A$2:$A$783,A413)</f>
        <v>0.0611570247933884</v>
      </c>
      <c r="G413" s="5" t="n">
        <v>0</v>
      </c>
      <c r="H413" s="17" t="n">
        <v>44929</v>
      </c>
      <c r="I413" s="17" t="n">
        <v>45050</v>
      </c>
      <c r="J413" s="4" t="s">
        <v>859</v>
      </c>
      <c r="K413" s="4" t="s">
        <v>1243</v>
      </c>
      <c r="L413" s="2"/>
      <c r="M413" s="2"/>
      <c r="N413" s="2"/>
    </row>
    <row r="414" customFormat="false" ht="14.25" hidden="false" customHeight="false" outlineLevel="0" collapsed="false">
      <c r="A414" s="10" t="s">
        <v>464</v>
      </c>
      <c r="B414" s="10" t="s">
        <v>853</v>
      </c>
      <c r="C414" s="10" t="s">
        <v>433</v>
      </c>
      <c r="D414" s="14" t="b">
        <f aca="false">TRUE()</f>
        <v>1</v>
      </c>
      <c r="E414" s="11" t="n">
        <v>882</v>
      </c>
      <c r="F414" s="13" t="n">
        <f aca="false">E414/SUMIFS($E$2:$E$783,$A$2:$A$783,A414)</f>
        <v>0.936305732484076</v>
      </c>
      <c r="G414" s="11" t="n">
        <v>0</v>
      </c>
      <c r="H414" s="18" t="n">
        <v>44933</v>
      </c>
      <c r="I414" s="18" t="n">
        <v>45219</v>
      </c>
      <c r="J414" s="10" t="s">
        <v>854</v>
      </c>
      <c r="K414" s="10" t="s">
        <v>1244</v>
      </c>
      <c r="L414" s="2"/>
      <c r="M414" s="2"/>
      <c r="N414" s="2"/>
    </row>
    <row r="415" customFormat="false" ht="14.25" hidden="false" customHeight="false" outlineLevel="0" collapsed="false">
      <c r="A415" s="4" t="s">
        <v>464</v>
      </c>
      <c r="B415" s="4" t="s">
        <v>853</v>
      </c>
      <c r="C415" s="4" t="s">
        <v>813</v>
      </c>
      <c r="D415" s="8" t="b">
        <f aca="false">FALSE()</f>
        <v>0</v>
      </c>
      <c r="E415" s="5" t="n">
        <v>60</v>
      </c>
      <c r="F415" s="7" t="n">
        <f aca="false">E415/SUMIFS($E$2:$E$783,$A$2:$A$783,A415)</f>
        <v>0.0636942675159236</v>
      </c>
      <c r="G415" s="5" t="n">
        <v>0</v>
      </c>
      <c r="H415" s="17" t="n">
        <v>44929</v>
      </c>
      <c r="I415" s="17" t="n">
        <v>45054</v>
      </c>
      <c r="J415" s="4" t="s">
        <v>859</v>
      </c>
      <c r="K415" s="4" t="s">
        <v>1245</v>
      </c>
      <c r="L415" s="2"/>
      <c r="M415" s="2"/>
      <c r="N415" s="2"/>
    </row>
    <row r="416" customFormat="false" ht="14.25" hidden="false" customHeight="false" outlineLevel="0" collapsed="false">
      <c r="A416" s="10" t="s">
        <v>465</v>
      </c>
      <c r="B416" s="10" t="s">
        <v>853</v>
      </c>
      <c r="C416" s="10" t="s">
        <v>433</v>
      </c>
      <c r="D416" s="14" t="b">
        <f aca="false">TRUE()</f>
        <v>1</v>
      </c>
      <c r="E416" s="11" t="n">
        <v>783</v>
      </c>
      <c r="F416" s="13" t="n">
        <f aca="false">E416/SUMIFS($E$2:$E$783,$A$2:$A$783,A416)</f>
        <v>0.972670807453416</v>
      </c>
      <c r="G416" s="11" t="n">
        <v>154</v>
      </c>
      <c r="H416" s="18" t="n">
        <v>44966</v>
      </c>
      <c r="I416" s="18" t="n">
        <v>46294</v>
      </c>
      <c r="J416" s="10" t="s">
        <v>854</v>
      </c>
      <c r="K416" s="10" t="s">
        <v>1246</v>
      </c>
      <c r="L416" s="2"/>
      <c r="M416" s="2"/>
      <c r="N416" s="2"/>
    </row>
    <row r="417" customFormat="false" ht="14.25" hidden="false" customHeight="false" outlineLevel="0" collapsed="false">
      <c r="A417" s="4" t="s">
        <v>465</v>
      </c>
      <c r="B417" s="4" t="s">
        <v>853</v>
      </c>
      <c r="C417" s="4" t="s">
        <v>813</v>
      </c>
      <c r="D417" s="8" t="b">
        <f aca="false">FALSE()</f>
        <v>0</v>
      </c>
      <c r="E417" s="5" t="n">
        <v>22</v>
      </c>
      <c r="F417" s="7" t="n">
        <f aca="false">E417/SUMIFS($E$2:$E$783,$A$2:$A$783,A417)</f>
        <v>0.0273291925465839</v>
      </c>
      <c r="G417" s="5" t="n">
        <v>0</v>
      </c>
      <c r="H417" s="17" t="n">
        <v>44930</v>
      </c>
      <c r="I417" s="17" t="n">
        <v>45008</v>
      </c>
      <c r="J417" s="4" t="s">
        <v>859</v>
      </c>
      <c r="K417" s="4" t="s">
        <v>1247</v>
      </c>
      <c r="L417" s="2"/>
      <c r="M417" s="2"/>
      <c r="N417" s="2"/>
    </row>
    <row r="418" customFormat="false" ht="14.25" hidden="false" customHeight="false" outlineLevel="0" collapsed="false">
      <c r="A418" s="10" t="s">
        <v>469</v>
      </c>
      <c r="B418" s="10" t="s">
        <v>853</v>
      </c>
      <c r="C418" s="10" t="s">
        <v>433</v>
      </c>
      <c r="D418" s="14" t="b">
        <f aca="false">TRUE()</f>
        <v>1</v>
      </c>
      <c r="E418" s="11" t="n">
        <v>421</v>
      </c>
      <c r="F418" s="13" t="n">
        <f aca="false">E418/SUMIFS($E$2:$E$783,$A$2:$A$783,A418)</f>
        <v>0.875259875259875</v>
      </c>
      <c r="G418" s="11" t="n">
        <v>0</v>
      </c>
      <c r="H418" s="18" t="n">
        <v>45028</v>
      </c>
      <c r="I418" s="18" t="n">
        <v>45595</v>
      </c>
      <c r="J418" s="10" t="s">
        <v>854</v>
      </c>
      <c r="K418" s="10" t="s">
        <v>1248</v>
      </c>
      <c r="L418" s="2"/>
      <c r="M418" s="2"/>
      <c r="N418" s="2"/>
    </row>
    <row r="419" customFormat="false" ht="14.25" hidden="false" customHeight="false" outlineLevel="0" collapsed="false">
      <c r="A419" s="4" t="s">
        <v>469</v>
      </c>
      <c r="B419" s="4" t="s">
        <v>853</v>
      </c>
      <c r="C419" s="4" t="s">
        <v>813</v>
      </c>
      <c r="D419" s="8" t="b">
        <f aca="false">FALSE()</f>
        <v>0</v>
      </c>
      <c r="E419" s="5" t="n">
        <v>60</v>
      </c>
      <c r="F419" s="7" t="n">
        <f aca="false">E419/SUMIFS($E$2:$E$783,$A$2:$A$783,A419)</f>
        <v>0.124740124740125</v>
      </c>
      <c r="G419" s="5" t="n">
        <v>0</v>
      </c>
      <c r="H419" s="17" t="n">
        <v>44930</v>
      </c>
      <c r="I419" s="17" t="n">
        <v>45050</v>
      </c>
      <c r="J419" s="4" t="s">
        <v>859</v>
      </c>
      <c r="K419" s="4" t="s">
        <v>1249</v>
      </c>
      <c r="L419" s="2"/>
      <c r="M419" s="2"/>
      <c r="N419" s="2"/>
    </row>
    <row r="420" customFormat="false" ht="14.25" hidden="false" customHeight="false" outlineLevel="0" collapsed="false">
      <c r="A420" s="10" t="s">
        <v>470</v>
      </c>
      <c r="B420" s="10" t="s">
        <v>853</v>
      </c>
      <c r="C420" s="10" t="s">
        <v>433</v>
      </c>
      <c r="D420" s="14" t="b">
        <f aca="false">TRUE()</f>
        <v>1</v>
      </c>
      <c r="E420" s="11" t="n">
        <v>439</v>
      </c>
      <c r="F420" s="13" t="n">
        <f aca="false">E420/SUMIFS($E$2:$E$783,$A$2:$A$783,A420)</f>
        <v>0.94206008583691</v>
      </c>
      <c r="G420" s="11" t="n">
        <v>96</v>
      </c>
      <c r="H420" s="18" t="n">
        <v>44942</v>
      </c>
      <c r="I420" s="18" t="n">
        <v>46296</v>
      </c>
      <c r="J420" s="10" t="s">
        <v>854</v>
      </c>
      <c r="K420" s="10" t="s">
        <v>1250</v>
      </c>
      <c r="L420" s="2"/>
      <c r="M420" s="2"/>
      <c r="N420" s="2"/>
    </row>
    <row r="421" customFormat="false" ht="14.25" hidden="false" customHeight="false" outlineLevel="0" collapsed="false">
      <c r="A421" s="4" t="s">
        <v>470</v>
      </c>
      <c r="B421" s="4" t="s">
        <v>853</v>
      </c>
      <c r="C421" s="4" t="s">
        <v>813</v>
      </c>
      <c r="D421" s="8" t="b">
        <f aca="false">FALSE()</f>
        <v>0</v>
      </c>
      <c r="E421" s="5" t="n">
        <v>27</v>
      </c>
      <c r="F421" s="7" t="n">
        <f aca="false">E421/SUMIFS($E$2:$E$783,$A$2:$A$783,A421)</f>
        <v>0.0579399141630901</v>
      </c>
      <c r="G421" s="5" t="n">
        <v>0</v>
      </c>
      <c r="H421" s="17" t="n">
        <v>44930</v>
      </c>
      <c r="I421" s="17" t="n">
        <v>45054</v>
      </c>
      <c r="J421" s="4" t="s">
        <v>859</v>
      </c>
      <c r="K421" s="4" t="s">
        <v>1251</v>
      </c>
      <c r="L421" s="2"/>
      <c r="M421" s="2"/>
      <c r="N421" s="2"/>
    </row>
    <row r="422" customFormat="false" ht="14.25" hidden="false" customHeight="false" outlineLevel="0" collapsed="false">
      <c r="A422" s="10" t="s">
        <v>471</v>
      </c>
      <c r="B422" s="10" t="s">
        <v>853</v>
      </c>
      <c r="C422" s="10" t="s">
        <v>433</v>
      </c>
      <c r="D422" s="14" t="b">
        <f aca="false">TRUE()</f>
        <v>1</v>
      </c>
      <c r="E422" s="11" t="n">
        <v>272</v>
      </c>
      <c r="F422" s="13" t="n">
        <f aca="false">E422/SUMIFS($E$2:$E$783,$A$2:$A$783,A422)</f>
        <v>0.701030927835052</v>
      </c>
      <c r="G422" s="11" t="n">
        <v>0</v>
      </c>
      <c r="H422" s="18" t="n">
        <v>44972</v>
      </c>
      <c r="I422" s="18" t="n">
        <v>45197</v>
      </c>
      <c r="J422" s="10" t="s">
        <v>854</v>
      </c>
      <c r="K422" s="10" t="s">
        <v>1252</v>
      </c>
      <c r="L422" s="2"/>
      <c r="M422" s="2"/>
      <c r="N422" s="2"/>
    </row>
    <row r="423" customFormat="false" ht="14.25" hidden="false" customHeight="false" outlineLevel="0" collapsed="false">
      <c r="A423" s="4" t="s">
        <v>471</v>
      </c>
      <c r="B423" s="4" t="s">
        <v>853</v>
      </c>
      <c r="C423" s="4" t="s">
        <v>813</v>
      </c>
      <c r="D423" s="8" t="b">
        <f aca="false">FALSE()</f>
        <v>0</v>
      </c>
      <c r="E423" s="5" t="n">
        <v>116</v>
      </c>
      <c r="F423" s="7" t="n">
        <f aca="false">E423/SUMIFS($E$2:$E$783,$A$2:$A$783,A423)</f>
        <v>0.298969072164948</v>
      </c>
      <c r="G423" s="5" t="n">
        <v>0</v>
      </c>
      <c r="H423" s="17" t="n">
        <v>44933</v>
      </c>
      <c r="I423" s="17" t="n">
        <v>45055</v>
      </c>
      <c r="J423" s="4" t="s">
        <v>859</v>
      </c>
      <c r="K423" s="4" t="s">
        <v>1253</v>
      </c>
      <c r="L423" s="2"/>
      <c r="M423" s="2"/>
      <c r="N423" s="2"/>
    </row>
    <row r="424" customFormat="false" ht="14.25" hidden="false" customHeight="false" outlineLevel="0" collapsed="false">
      <c r="A424" s="10" t="s">
        <v>472</v>
      </c>
      <c r="B424" s="10" t="s">
        <v>853</v>
      </c>
      <c r="C424" s="10" t="s">
        <v>433</v>
      </c>
      <c r="D424" s="14" t="b">
        <f aca="false">TRUE()</f>
        <v>1</v>
      </c>
      <c r="E424" s="11" t="n">
        <v>255</v>
      </c>
      <c r="F424" s="13" t="n">
        <f aca="false">E424/SUMIFS($E$2:$E$783,$A$2:$A$783,A424)</f>
        <v>0.69672131147541</v>
      </c>
      <c r="G424" s="11" t="n">
        <v>0</v>
      </c>
      <c r="H424" s="18" t="n">
        <v>45008</v>
      </c>
      <c r="I424" s="18" t="n">
        <v>45218</v>
      </c>
      <c r="J424" s="10" t="s">
        <v>854</v>
      </c>
      <c r="K424" s="10" t="s">
        <v>1254</v>
      </c>
      <c r="L424" s="2"/>
      <c r="M424" s="2"/>
      <c r="N424" s="2"/>
    </row>
    <row r="425" customFormat="false" ht="14.25" hidden="false" customHeight="false" outlineLevel="0" collapsed="false">
      <c r="A425" s="4" t="s">
        <v>472</v>
      </c>
      <c r="B425" s="4" t="s">
        <v>853</v>
      </c>
      <c r="C425" s="4" t="s">
        <v>813</v>
      </c>
      <c r="D425" s="8" t="b">
        <f aca="false">FALSE()</f>
        <v>0</v>
      </c>
      <c r="E425" s="5" t="n">
        <v>111</v>
      </c>
      <c r="F425" s="7" t="n">
        <f aca="false">E425/SUMIFS($E$2:$E$783,$A$2:$A$783,A425)</f>
        <v>0.30327868852459</v>
      </c>
      <c r="G425" s="5" t="n">
        <v>0</v>
      </c>
      <c r="H425" s="17" t="n">
        <v>44928</v>
      </c>
      <c r="I425" s="17" t="n">
        <v>45055</v>
      </c>
      <c r="J425" s="4" t="s">
        <v>859</v>
      </c>
      <c r="K425" s="4" t="s">
        <v>955</v>
      </c>
      <c r="L425" s="2"/>
      <c r="M425" s="2"/>
      <c r="N425" s="2"/>
    </row>
    <row r="426" customFormat="false" ht="14.25" hidden="false" customHeight="false" outlineLevel="0" collapsed="false">
      <c r="A426" s="10" t="s">
        <v>474</v>
      </c>
      <c r="B426" s="10" t="s">
        <v>853</v>
      </c>
      <c r="C426" s="10" t="s">
        <v>433</v>
      </c>
      <c r="D426" s="14" t="b">
        <f aca="false">TRUE()</f>
        <v>1</v>
      </c>
      <c r="E426" s="11" t="n">
        <v>309</v>
      </c>
      <c r="F426" s="13" t="n">
        <f aca="false">E426/SUMIFS($E$2:$E$783,$A$2:$A$783,A426)</f>
        <v>0.939209726443769</v>
      </c>
      <c r="G426" s="11" t="n">
        <v>17</v>
      </c>
      <c r="H426" s="18" t="n">
        <v>44998</v>
      </c>
      <c r="I426" s="18" t="n">
        <v>46105</v>
      </c>
      <c r="J426" s="10" t="s">
        <v>854</v>
      </c>
      <c r="K426" s="10" t="s">
        <v>1255</v>
      </c>
      <c r="L426" s="2"/>
      <c r="M426" s="2"/>
      <c r="N426" s="2"/>
    </row>
    <row r="427" customFormat="false" ht="14.25" hidden="false" customHeight="false" outlineLevel="0" collapsed="false">
      <c r="A427" s="4" t="s">
        <v>474</v>
      </c>
      <c r="B427" s="4" t="s">
        <v>853</v>
      </c>
      <c r="C427" s="4" t="s">
        <v>813</v>
      </c>
      <c r="D427" s="8" t="b">
        <f aca="false">FALSE()</f>
        <v>0</v>
      </c>
      <c r="E427" s="5" t="n">
        <v>20</v>
      </c>
      <c r="F427" s="7" t="n">
        <f aca="false">E427/SUMIFS($E$2:$E$783,$A$2:$A$783,A427)</f>
        <v>0.060790273556231</v>
      </c>
      <c r="G427" s="5" t="n">
        <v>0</v>
      </c>
      <c r="H427" s="17" t="n">
        <v>44928</v>
      </c>
      <c r="I427" s="17" t="n">
        <v>45055</v>
      </c>
      <c r="J427" s="4" t="s">
        <v>859</v>
      </c>
      <c r="K427" s="4" t="s">
        <v>1256</v>
      </c>
      <c r="L427" s="2"/>
      <c r="M427" s="2"/>
      <c r="N427" s="2"/>
    </row>
    <row r="428" customFormat="false" ht="14.25" hidden="false" customHeight="false" outlineLevel="0" collapsed="false">
      <c r="A428" s="10" t="s">
        <v>475</v>
      </c>
      <c r="B428" s="10" t="s">
        <v>853</v>
      </c>
      <c r="C428" s="10" t="s">
        <v>433</v>
      </c>
      <c r="D428" s="14" t="b">
        <f aca="false">TRUE()</f>
        <v>1</v>
      </c>
      <c r="E428" s="11" t="n">
        <v>310</v>
      </c>
      <c r="F428" s="13" t="n">
        <f aca="false">E428/SUMIFS($E$2:$E$783,$A$2:$A$783,A428)</f>
        <v>0.96875</v>
      </c>
      <c r="G428" s="11" t="n">
        <v>60</v>
      </c>
      <c r="H428" s="18" t="n">
        <v>45034</v>
      </c>
      <c r="I428" s="18" t="n">
        <v>46296</v>
      </c>
      <c r="J428" s="10" t="s">
        <v>854</v>
      </c>
      <c r="K428" s="10" t="s">
        <v>1059</v>
      </c>
      <c r="L428" s="2"/>
      <c r="M428" s="2"/>
      <c r="N428" s="2"/>
    </row>
    <row r="429" customFormat="false" ht="14.25" hidden="false" customHeight="false" outlineLevel="0" collapsed="false">
      <c r="A429" s="4" t="s">
        <v>475</v>
      </c>
      <c r="B429" s="4" t="s">
        <v>853</v>
      </c>
      <c r="C429" s="4" t="s">
        <v>813</v>
      </c>
      <c r="D429" s="8" t="b">
        <f aca="false">FALSE()</f>
        <v>0</v>
      </c>
      <c r="E429" s="5" t="n">
        <v>10</v>
      </c>
      <c r="F429" s="7" t="n">
        <f aca="false">E429/SUMIFS($E$2:$E$783,$A$2:$A$783,A429)</f>
        <v>0.03125</v>
      </c>
      <c r="G429" s="5" t="n">
        <v>0</v>
      </c>
      <c r="H429" s="17" t="n">
        <v>44935</v>
      </c>
      <c r="I429" s="17" t="n">
        <v>45051</v>
      </c>
      <c r="J429" s="4" t="s">
        <v>859</v>
      </c>
      <c r="K429" s="4" t="s">
        <v>1257</v>
      </c>
      <c r="L429" s="2"/>
      <c r="M429" s="2"/>
      <c r="N429" s="2"/>
    </row>
    <row r="430" customFormat="false" ht="14.25" hidden="false" customHeight="false" outlineLevel="0" collapsed="false">
      <c r="A430" s="10" t="s">
        <v>476</v>
      </c>
      <c r="B430" s="10" t="s">
        <v>853</v>
      </c>
      <c r="C430" s="10" t="s">
        <v>433</v>
      </c>
      <c r="D430" s="14" t="b">
        <f aca="false">TRUE()</f>
        <v>1</v>
      </c>
      <c r="E430" s="11" t="n">
        <v>289</v>
      </c>
      <c r="F430" s="13" t="n">
        <f aca="false">E430/SUMIFS($E$2:$E$783,$A$2:$A$783,A430)</f>
        <v>0.905956112852665</v>
      </c>
      <c r="G430" s="11" t="n">
        <v>110</v>
      </c>
      <c r="H430" s="18" t="n">
        <v>45011</v>
      </c>
      <c r="I430" s="18" t="n">
        <v>46294</v>
      </c>
      <c r="J430" s="10" t="s">
        <v>854</v>
      </c>
      <c r="K430" s="10" t="s">
        <v>1258</v>
      </c>
      <c r="L430" s="2"/>
      <c r="M430" s="2"/>
      <c r="N430" s="2"/>
    </row>
    <row r="431" customFormat="false" ht="14.25" hidden="false" customHeight="false" outlineLevel="0" collapsed="false">
      <c r="A431" s="4" t="s">
        <v>476</v>
      </c>
      <c r="B431" s="4" t="s">
        <v>853</v>
      </c>
      <c r="C431" s="4" t="s">
        <v>813</v>
      </c>
      <c r="D431" s="8" t="b">
        <f aca="false">FALSE()</f>
        <v>0</v>
      </c>
      <c r="E431" s="5" t="n">
        <v>30</v>
      </c>
      <c r="F431" s="7" t="n">
        <f aca="false">E431/SUMIFS($E$2:$E$783,$A$2:$A$783,A431)</f>
        <v>0.0940438871473354</v>
      </c>
      <c r="G431" s="5" t="n">
        <v>0</v>
      </c>
      <c r="H431" s="17" t="n">
        <v>44941</v>
      </c>
      <c r="I431" s="17" t="n">
        <v>45051</v>
      </c>
      <c r="J431" s="4" t="s">
        <v>859</v>
      </c>
      <c r="K431" s="4" t="s">
        <v>1259</v>
      </c>
      <c r="L431" s="2"/>
      <c r="M431" s="2"/>
      <c r="N431" s="2"/>
    </row>
    <row r="432" customFormat="false" ht="14.25" hidden="false" customHeight="false" outlineLevel="0" collapsed="false">
      <c r="A432" s="10" t="s">
        <v>477</v>
      </c>
      <c r="B432" s="10" t="s">
        <v>853</v>
      </c>
      <c r="C432" s="10" t="s">
        <v>433</v>
      </c>
      <c r="D432" s="14" t="b">
        <f aca="false">TRUE()</f>
        <v>1</v>
      </c>
      <c r="E432" s="11" t="n">
        <v>262</v>
      </c>
      <c r="F432" s="13" t="n">
        <f aca="false">E432/SUMIFS($E$2:$E$783,$A$2:$A$783,A432)</f>
        <v>0.977611940298508</v>
      </c>
      <c r="G432" s="11" t="n">
        <v>25</v>
      </c>
      <c r="H432" s="18" t="n">
        <v>44971</v>
      </c>
      <c r="I432" s="18" t="n">
        <v>46292</v>
      </c>
      <c r="J432" s="10" t="s">
        <v>854</v>
      </c>
      <c r="K432" s="10" t="s">
        <v>1260</v>
      </c>
      <c r="L432" s="2"/>
      <c r="M432" s="2"/>
      <c r="N432" s="2"/>
    </row>
    <row r="433" customFormat="false" ht="14.25" hidden="false" customHeight="false" outlineLevel="0" collapsed="false">
      <c r="A433" s="4" t="s">
        <v>477</v>
      </c>
      <c r="B433" s="4" t="s">
        <v>853</v>
      </c>
      <c r="C433" s="4" t="s">
        <v>813</v>
      </c>
      <c r="D433" s="8" t="b">
        <f aca="false">FALSE()</f>
        <v>0</v>
      </c>
      <c r="E433" s="5" t="n">
        <v>6</v>
      </c>
      <c r="F433" s="7" t="n">
        <f aca="false">E433/SUMIFS($E$2:$E$783,$A$2:$A$783,A433)</f>
        <v>0.0223880597014925</v>
      </c>
      <c r="G433" s="5" t="n">
        <v>0</v>
      </c>
      <c r="H433" s="17" t="n">
        <v>44939</v>
      </c>
      <c r="I433" s="17" t="n">
        <v>45049</v>
      </c>
      <c r="J433" s="4" t="s">
        <v>859</v>
      </c>
      <c r="K433" s="4" t="s">
        <v>1261</v>
      </c>
      <c r="L433" s="2"/>
      <c r="M433" s="2"/>
      <c r="N433" s="2"/>
    </row>
    <row r="434" customFormat="false" ht="14.25" hidden="false" customHeight="false" outlineLevel="0" collapsed="false">
      <c r="A434" s="10" t="s">
        <v>478</v>
      </c>
      <c r="B434" s="10" t="s">
        <v>853</v>
      </c>
      <c r="C434" s="10" t="s">
        <v>433</v>
      </c>
      <c r="D434" s="14" t="b">
        <f aca="false">TRUE()</f>
        <v>1</v>
      </c>
      <c r="E434" s="11" t="n">
        <v>172</v>
      </c>
      <c r="F434" s="13" t="n">
        <f aca="false">E434/SUMIFS($E$2:$E$783,$A$2:$A$783,A434)</f>
        <v>0.699186991869919</v>
      </c>
      <c r="G434" s="11" t="n">
        <v>0</v>
      </c>
      <c r="H434" s="18" t="n">
        <v>45003</v>
      </c>
      <c r="I434" s="18" t="n">
        <v>45217</v>
      </c>
      <c r="J434" s="10" t="s">
        <v>854</v>
      </c>
      <c r="K434" s="10" t="s">
        <v>1262</v>
      </c>
      <c r="L434" s="2"/>
      <c r="M434" s="2"/>
      <c r="N434" s="2"/>
    </row>
    <row r="435" customFormat="false" ht="14.25" hidden="false" customHeight="false" outlineLevel="0" collapsed="false">
      <c r="A435" s="4" t="s">
        <v>478</v>
      </c>
      <c r="B435" s="4" t="s">
        <v>853</v>
      </c>
      <c r="C435" s="4" t="s">
        <v>813</v>
      </c>
      <c r="D435" s="8" t="b">
        <f aca="false">FALSE()</f>
        <v>0</v>
      </c>
      <c r="E435" s="5" t="n">
        <v>74</v>
      </c>
      <c r="F435" s="7" t="n">
        <f aca="false">E435/SUMIFS($E$2:$E$783,$A$2:$A$783,A435)</f>
        <v>0.300813008130081</v>
      </c>
      <c r="G435" s="5" t="n">
        <v>0</v>
      </c>
      <c r="H435" s="17" t="n">
        <v>44931</v>
      </c>
      <c r="I435" s="17" t="n">
        <v>45054</v>
      </c>
      <c r="J435" s="4" t="s">
        <v>859</v>
      </c>
      <c r="K435" s="4" t="s">
        <v>1263</v>
      </c>
      <c r="L435" s="2"/>
      <c r="M435" s="2"/>
      <c r="N435" s="2"/>
    </row>
    <row r="436" customFormat="false" ht="14.25" hidden="false" customHeight="false" outlineLevel="0" collapsed="false">
      <c r="A436" s="10" t="s">
        <v>479</v>
      </c>
      <c r="B436" s="10" t="s">
        <v>853</v>
      </c>
      <c r="C436" s="10" t="s">
        <v>433</v>
      </c>
      <c r="D436" s="14" t="b">
        <f aca="false">TRUE()</f>
        <v>1</v>
      </c>
      <c r="E436" s="11" t="n">
        <v>196</v>
      </c>
      <c r="F436" s="13" t="n">
        <f aca="false">E436/SUMIFS($E$2:$E$783,$A$2:$A$783,A436)</f>
        <v>0.92018779342723</v>
      </c>
      <c r="G436" s="11" t="n">
        <v>0</v>
      </c>
      <c r="H436" s="18" t="n">
        <v>44931</v>
      </c>
      <c r="I436" s="18" t="n">
        <v>45327</v>
      </c>
      <c r="J436" s="10" t="s">
        <v>854</v>
      </c>
      <c r="K436" s="10" t="s">
        <v>1264</v>
      </c>
      <c r="L436" s="2"/>
      <c r="M436" s="2"/>
      <c r="N436" s="2"/>
    </row>
    <row r="437" customFormat="false" ht="14.25" hidden="false" customHeight="false" outlineLevel="0" collapsed="false">
      <c r="A437" s="4" t="s">
        <v>479</v>
      </c>
      <c r="B437" s="4" t="s">
        <v>853</v>
      </c>
      <c r="C437" s="4" t="s">
        <v>813</v>
      </c>
      <c r="D437" s="8" t="b">
        <f aca="false">FALSE()</f>
        <v>0</v>
      </c>
      <c r="E437" s="5" t="n">
        <v>17</v>
      </c>
      <c r="F437" s="7" t="n">
        <f aca="false">E437/SUMIFS($E$2:$E$783,$A$2:$A$783,A437)</f>
        <v>0.07981220657277</v>
      </c>
      <c r="G437" s="5" t="n">
        <v>0</v>
      </c>
      <c r="H437" s="17" t="n">
        <v>44930</v>
      </c>
      <c r="I437" s="17" t="n">
        <v>45054</v>
      </c>
      <c r="J437" s="4" t="s">
        <v>859</v>
      </c>
      <c r="K437" s="4" t="s">
        <v>1265</v>
      </c>
      <c r="L437" s="2"/>
      <c r="M437" s="2"/>
      <c r="N437" s="2"/>
    </row>
    <row r="438" customFormat="false" ht="14.25" hidden="false" customHeight="false" outlineLevel="0" collapsed="false">
      <c r="A438" s="10" t="s">
        <v>480</v>
      </c>
      <c r="B438" s="10" t="s">
        <v>853</v>
      </c>
      <c r="C438" s="10" t="s">
        <v>433</v>
      </c>
      <c r="D438" s="14" t="b">
        <f aca="false">TRUE()</f>
        <v>1</v>
      </c>
      <c r="E438" s="11" t="n">
        <v>173</v>
      </c>
      <c r="F438" s="13" t="n">
        <f aca="false">E438/SUMIFS($E$2:$E$783,$A$2:$A$783,A438)</f>
        <v>0.945355191256831</v>
      </c>
      <c r="G438" s="11" t="n">
        <v>0</v>
      </c>
      <c r="H438" s="18" t="n">
        <v>45055</v>
      </c>
      <c r="I438" s="18" t="n">
        <v>45485</v>
      </c>
      <c r="J438" s="10" t="s">
        <v>854</v>
      </c>
      <c r="K438" s="10" t="s">
        <v>1266</v>
      </c>
      <c r="L438" s="2"/>
      <c r="M438" s="2"/>
      <c r="N438" s="2"/>
    </row>
    <row r="439" customFormat="false" ht="14.25" hidden="false" customHeight="false" outlineLevel="0" collapsed="false">
      <c r="A439" s="4" t="s">
        <v>480</v>
      </c>
      <c r="B439" s="4" t="s">
        <v>853</v>
      </c>
      <c r="C439" s="4" t="s">
        <v>813</v>
      </c>
      <c r="D439" s="8" t="b">
        <f aca="false">FALSE()</f>
        <v>0</v>
      </c>
      <c r="E439" s="5" t="n">
        <v>10</v>
      </c>
      <c r="F439" s="7" t="n">
        <f aca="false">E439/SUMIFS($E$2:$E$783,$A$2:$A$783,A439)</f>
        <v>0.0546448087431694</v>
      </c>
      <c r="G439" s="5" t="n">
        <v>0</v>
      </c>
      <c r="H439" s="17" t="n">
        <v>44948</v>
      </c>
      <c r="I439" s="17" t="n">
        <v>45054</v>
      </c>
      <c r="J439" s="4" t="s">
        <v>859</v>
      </c>
      <c r="K439" s="4" t="s">
        <v>1267</v>
      </c>
      <c r="L439" s="2"/>
      <c r="M439" s="2"/>
      <c r="N439" s="2"/>
    </row>
    <row r="440" customFormat="false" ht="14.25" hidden="false" customHeight="false" outlineLevel="0" collapsed="false">
      <c r="A440" s="10" t="s">
        <v>481</v>
      </c>
      <c r="B440" s="10" t="s">
        <v>853</v>
      </c>
      <c r="C440" s="10" t="s">
        <v>433</v>
      </c>
      <c r="D440" s="14" t="b">
        <f aca="false">TRUE()</f>
        <v>1</v>
      </c>
      <c r="E440" s="11" t="n">
        <v>133</v>
      </c>
      <c r="F440" s="13" t="n">
        <f aca="false">E440/SUMIFS($E$2:$E$783,$A$2:$A$783,A440)</f>
        <v>0.801204819277108</v>
      </c>
      <c r="G440" s="11" t="n">
        <v>0</v>
      </c>
      <c r="H440" s="18" t="n">
        <v>45050</v>
      </c>
      <c r="I440" s="18" t="n">
        <v>45638</v>
      </c>
      <c r="J440" s="10" t="s">
        <v>854</v>
      </c>
      <c r="K440" s="10" t="s">
        <v>1268</v>
      </c>
      <c r="L440" s="2"/>
      <c r="M440" s="2"/>
      <c r="N440" s="2"/>
    </row>
    <row r="441" customFormat="false" ht="14.25" hidden="false" customHeight="false" outlineLevel="0" collapsed="false">
      <c r="A441" s="4" t="s">
        <v>481</v>
      </c>
      <c r="B441" s="4" t="s">
        <v>853</v>
      </c>
      <c r="C441" s="4" t="s">
        <v>813</v>
      </c>
      <c r="D441" s="8" t="b">
        <f aca="false">FALSE()</f>
        <v>0</v>
      </c>
      <c r="E441" s="5" t="n">
        <v>33</v>
      </c>
      <c r="F441" s="7" t="n">
        <f aca="false">E441/SUMIFS($E$2:$E$783,$A$2:$A$783,A441)</f>
        <v>0.198795180722892</v>
      </c>
      <c r="G441" s="5" t="n">
        <v>0</v>
      </c>
      <c r="H441" s="17" t="n">
        <v>44929</v>
      </c>
      <c r="I441" s="17" t="n">
        <v>45042</v>
      </c>
      <c r="J441" s="4" t="s">
        <v>859</v>
      </c>
      <c r="K441" s="4" t="s">
        <v>1269</v>
      </c>
      <c r="L441" s="2"/>
      <c r="M441" s="2"/>
      <c r="N441" s="2"/>
    </row>
    <row r="442" customFormat="false" ht="14.25" hidden="false" customHeight="false" outlineLevel="0" collapsed="false">
      <c r="A442" s="10" t="s">
        <v>483</v>
      </c>
      <c r="B442" s="10" t="s">
        <v>853</v>
      </c>
      <c r="C442" s="10" t="s">
        <v>433</v>
      </c>
      <c r="D442" s="14" t="b">
        <f aca="false">TRUE()</f>
        <v>1</v>
      </c>
      <c r="E442" s="11" t="n">
        <v>101</v>
      </c>
      <c r="F442" s="13" t="n">
        <f aca="false">E442/SUMIFS($E$2:$E$783,$A$2:$A$783,A442)</f>
        <v>0.765151515151515</v>
      </c>
      <c r="G442" s="11" t="n">
        <v>0</v>
      </c>
      <c r="H442" s="18" t="n">
        <v>45029</v>
      </c>
      <c r="I442" s="18" t="n">
        <v>45322</v>
      </c>
      <c r="J442" s="10" t="s">
        <v>854</v>
      </c>
      <c r="K442" s="10" t="s">
        <v>1270</v>
      </c>
      <c r="L442" s="2"/>
      <c r="M442" s="2"/>
      <c r="N442" s="2"/>
    </row>
    <row r="443" customFormat="false" ht="14.25" hidden="false" customHeight="false" outlineLevel="0" collapsed="false">
      <c r="A443" s="4" t="s">
        <v>483</v>
      </c>
      <c r="B443" s="4" t="s">
        <v>853</v>
      </c>
      <c r="C443" s="4" t="s">
        <v>813</v>
      </c>
      <c r="D443" s="8" t="b">
        <f aca="false">FALSE()</f>
        <v>0</v>
      </c>
      <c r="E443" s="5" t="n">
        <v>31</v>
      </c>
      <c r="F443" s="7" t="n">
        <f aca="false">E443/SUMIFS($E$2:$E$783,$A$2:$A$783,A443)</f>
        <v>0.234848484848485</v>
      </c>
      <c r="G443" s="5" t="n">
        <v>0</v>
      </c>
      <c r="H443" s="17" t="n">
        <v>44945</v>
      </c>
      <c r="I443" s="17" t="n">
        <v>45051</v>
      </c>
      <c r="J443" s="4" t="s">
        <v>859</v>
      </c>
      <c r="K443" s="4" t="s">
        <v>1271</v>
      </c>
      <c r="L443" s="2"/>
      <c r="M443" s="2"/>
      <c r="N443" s="2"/>
    </row>
    <row r="444" customFormat="false" ht="14.25" hidden="false" customHeight="false" outlineLevel="0" collapsed="false">
      <c r="A444" s="10" t="s">
        <v>484</v>
      </c>
      <c r="B444" s="10" t="s">
        <v>853</v>
      </c>
      <c r="C444" s="10" t="s">
        <v>433</v>
      </c>
      <c r="D444" s="14" t="b">
        <f aca="false">TRUE()</f>
        <v>1</v>
      </c>
      <c r="E444" s="11" t="n">
        <v>106</v>
      </c>
      <c r="F444" s="13" t="n">
        <f aca="false">E444/SUMIFS($E$2:$E$783,$A$2:$A$783,A444)</f>
        <v>0.809160305343512</v>
      </c>
      <c r="G444" s="11" t="n">
        <v>0</v>
      </c>
      <c r="H444" s="18" t="n">
        <v>45027</v>
      </c>
      <c r="I444" s="18" t="n">
        <v>45229</v>
      </c>
      <c r="J444" s="10" t="s">
        <v>854</v>
      </c>
      <c r="K444" s="10" t="s">
        <v>1272</v>
      </c>
      <c r="L444" s="2"/>
      <c r="M444" s="2"/>
      <c r="N444" s="2"/>
    </row>
    <row r="445" customFormat="false" ht="14.25" hidden="false" customHeight="false" outlineLevel="0" collapsed="false">
      <c r="A445" s="4" t="s">
        <v>484</v>
      </c>
      <c r="B445" s="4" t="s">
        <v>853</v>
      </c>
      <c r="C445" s="4" t="s">
        <v>813</v>
      </c>
      <c r="D445" s="8" t="b">
        <f aca="false">FALSE()</f>
        <v>0</v>
      </c>
      <c r="E445" s="5" t="n">
        <v>25</v>
      </c>
      <c r="F445" s="7" t="n">
        <f aca="false">E445/SUMIFS($E$2:$E$783,$A$2:$A$783,A445)</f>
        <v>0.190839694656489</v>
      </c>
      <c r="G445" s="5" t="n">
        <v>0</v>
      </c>
      <c r="H445" s="17" t="n">
        <v>44943</v>
      </c>
      <c r="I445" s="17" t="n">
        <v>45050</v>
      </c>
      <c r="J445" s="4" t="s">
        <v>859</v>
      </c>
      <c r="K445" s="4" t="s">
        <v>1273</v>
      </c>
      <c r="L445" s="2"/>
      <c r="M445" s="2"/>
      <c r="N445" s="2"/>
    </row>
    <row r="446" customFormat="false" ht="14.25" hidden="false" customHeight="false" outlineLevel="0" collapsed="false">
      <c r="A446" s="10" t="s">
        <v>485</v>
      </c>
      <c r="B446" s="10" t="s">
        <v>853</v>
      </c>
      <c r="C446" s="10" t="s">
        <v>433</v>
      </c>
      <c r="D446" s="14" t="b">
        <f aca="false">TRUE()</f>
        <v>1</v>
      </c>
      <c r="E446" s="11" t="n">
        <v>113</v>
      </c>
      <c r="F446" s="13" t="n">
        <f aca="false">E446/SUMIFS($E$2:$E$783,$A$2:$A$783,A446)</f>
        <v>0.965811965811966</v>
      </c>
      <c r="G446" s="11" t="n">
        <v>0</v>
      </c>
      <c r="H446" s="18" t="n">
        <v>44935</v>
      </c>
      <c r="I446" s="18" t="n">
        <v>45873</v>
      </c>
      <c r="J446" s="10" t="s">
        <v>854</v>
      </c>
      <c r="K446" s="10" t="s">
        <v>1274</v>
      </c>
      <c r="L446" s="2"/>
      <c r="M446" s="2"/>
      <c r="N446" s="2"/>
    </row>
    <row r="447" customFormat="false" ht="14.25" hidden="false" customHeight="false" outlineLevel="0" collapsed="false">
      <c r="A447" s="4" t="s">
        <v>485</v>
      </c>
      <c r="B447" s="4" t="s">
        <v>853</v>
      </c>
      <c r="C447" s="4" t="s">
        <v>1275</v>
      </c>
      <c r="D447" s="8" t="b">
        <f aca="false">FALSE()</f>
        <v>0</v>
      </c>
      <c r="E447" s="5" t="n">
        <v>4</v>
      </c>
      <c r="F447" s="7" t="n">
        <f aca="false">E447/SUMIFS($E$2:$E$783,$A$2:$A$783,A447)</f>
        <v>0.0341880341880342</v>
      </c>
      <c r="G447" s="5" t="n">
        <v>0</v>
      </c>
      <c r="H447" s="17" t="n">
        <v>44943</v>
      </c>
      <c r="I447" s="17" t="n">
        <v>45009</v>
      </c>
      <c r="J447" s="4" t="s">
        <v>859</v>
      </c>
      <c r="K447" s="4" t="s">
        <v>1276</v>
      </c>
      <c r="L447" s="2"/>
      <c r="M447" s="2"/>
      <c r="N447" s="2"/>
    </row>
    <row r="448" customFormat="false" ht="14.25" hidden="false" customHeight="false" outlineLevel="0" collapsed="false">
      <c r="A448" s="10" t="s">
        <v>487</v>
      </c>
      <c r="B448" s="10" t="s">
        <v>853</v>
      </c>
      <c r="C448" s="10" t="s">
        <v>433</v>
      </c>
      <c r="D448" s="14" t="b">
        <f aca="false">TRUE()</f>
        <v>1</v>
      </c>
      <c r="E448" s="11" t="n">
        <v>95</v>
      </c>
      <c r="F448" s="13" t="n">
        <f aca="false">E448/SUMIFS($E$2:$E$783,$A$2:$A$783,A448)</f>
        <v>0.922330097087379</v>
      </c>
      <c r="G448" s="11" t="n">
        <v>23</v>
      </c>
      <c r="H448" s="18" t="n">
        <v>45061</v>
      </c>
      <c r="I448" s="18" t="n">
        <v>46295</v>
      </c>
      <c r="J448" s="10" t="s">
        <v>854</v>
      </c>
      <c r="K448" s="10" t="s">
        <v>1277</v>
      </c>
      <c r="L448" s="2"/>
      <c r="M448" s="2"/>
      <c r="N448" s="2"/>
    </row>
    <row r="449" customFormat="false" ht="14.25" hidden="false" customHeight="false" outlineLevel="0" collapsed="false">
      <c r="A449" s="4" t="s">
        <v>487</v>
      </c>
      <c r="B449" s="4" t="s">
        <v>853</v>
      </c>
      <c r="C449" s="4" t="s">
        <v>813</v>
      </c>
      <c r="D449" s="8" t="b">
        <f aca="false">FALSE()</f>
        <v>0</v>
      </c>
      <c r="E449" s="5" t="n">
        <v>8</v>
      </c>
      <c r="F449" s="7" t="n">
        <f aca="false">E449/SUMIFS($E$2:$E$783,$A$2:$A$783,A449)</f>
        <v>0.0776699029126214</v>
      </c>
      <c r="G449" s="5" t="n">
        <v>0</v>
      </c>
      <c r="H449" s="17" t="n">
        <v>44955</v>
      </c>
      <c r="I449" s="17" t="n">
        <v>45049</v>
      </c>
      <c r="J449" s="4" t="s">
        <v>859</v>
      </c>
      <c r="K449" s="4" t="s">
        <v>1278</v>
      </c>
      <c r="L449" s="2"/>
      <c r="M449" s="2"/>
      <c r="N449" s="2"/>
    </row>
    <row r="450" customFormat="false" ht="14.25" hidden="false" customHeight="false" outlineLevel="0" collapsed="false">
      <c r="A450" s="10" t="s">
        <v>488</v>
      </c>
      <c r="B450" s="10" t="s">
        <v>853</v>
      </c>
      <c r="C450" s="10" t="s">
        <v>433</v>
      </c>
      <c r="D450" s="14" t="b">
        <f aca="false">TRUE()</f>
        <v>1</v>
      </c>
      <c r="E450" s="11" t="n">
        <v>87</v>
      </c>
      <c r="F450" s="13" t="n">
        <f aca="false">E450/SUMIFS($E$2:$E$783,$A$2:$A$783,A450)</f>
        <v>0.887755102040816</v>
      </c>
      <c r="G450" s="11" t="n">
        <v>27</v>
      </c>
      <c r="H450" s="18" t="n">
        <v>45043</v>
      </c>
      <c r="I450" s="18" t="n">
        <v>46281</v>
      </c>
      <c r="J450" s="10" t="s">
        <v>854</v>
      </c>
      <c r="K450" s="10" t="s">
        <v>1279</v>
      </c>
      <c r="L450" s="2"/>
      <c r="M450" s="2"/>
      <c r="N450" s="2"/>
    </row>
    <row r="451" customFormat="false" ht="14.25" hidden="false" customHeight="false" outlineLevel="0" collapsed="false">
      <c r="A451" s="4" t="s">
        <v>488</v>
      </c>
      <c r="B451" s="4" t="s">
        <v>853</v>
      </c>
      <c r="C451" s="4" t="s">
        <v>813</v>
      </c>
      <c r="D451" s="8" t="b">
        <f aca="false">FALSE()</f>
        <v>0</v>
      </c>
      <c r="E451" s="5" t="n">
        <v>11</v>
      </c>
      <c r="F451" s="7" t="n">
        <f aca="false">E451/SUMIFS($E$2:$E$783,$A$2:$A$783,A451)</f>
        <v>0.112244897959184</v>
      </c>
      <c r="G451" s="5" t="n">
        <v>0</v>
      </c>
      <c r="H451" s="17" t="n">
        <v>44930</v>
      </c>
      <c r="I451" s="17" t="n">
        <v>45055</v>
      </c>
      <c r="J451" s="4" t="s">
        <v>859</v>
      </c>
      <c r="K451" s="4" t="s">
        <v>1280</v>
      </c>
      <c r="L451" s="2"/>
      <c r="M451" s="2"/>
      <c r="N451" s="2"/>
    </row>
    <row r="452" customFormat="false" ht="14.25" hidden="false" customHeight="false" outlineLevel="0" collapsed="false">
      <c r="A452" s="10" t="s">
        <v>490</v>
      </c>
      <c r="B452" s="10" t="s">
        <v>853</v>
      </c>
      <c r="C452" s="10" t="s">
        <v>433</v>
      </c>
      <c r="D452" s="14" t="b">
        <f aca="false">TRUE()</f>
        <v>1</v>
      </c>
      <c r="E452" s="11" t="n">
        <v>88</v>
      </c>
      <c r="F452" s="13" t="n">
        <f aca="false">E452/SUMIFS($E$2:$E$783,$A$2:$A$783,A452)</f>
        <v>0.926315789473684</v>
      </c>
      <c r="G452" s="11" t="n">
        <v>0</v>
      </c>
      <c r="H452" s="18" t="n">
        <v>45069</v>
      </c>
      <c r="I452" s="18" t="n">
        <v>45593</v>
      </c>
      <c r="J452" s="10" t="s">
        <v>854</v>
      </c>
      <c r="K452" s="10" t="s">
        <v>1281</v>
      </c>
      <c r="L452" s="2"/>
      <c r="M452" s="2"/>
      <c r="N452" s="2"/>
    </row>
    <row r="453" customFormat="false" ht="14.25" hidden="false" customHeight="false" outlineLevel="0" collapsed="false">
      <c r="A453" s="4" t="s">
        <v>490</v>
      </c>
      <c r="B453" s="4" t="s">
        <v>853</v>
      </c>
      <c r="C453" s="4" t="s">
        <v>813</v>
      </c>
      <c r="D453" s="8" t="b">
        <f aca="false">FALSE()</f>
        <v>0</v>
      </c>
      <c r="E453" s="5" t="n">
        <v>7</v>
      </c>
      <c r="F453" s="7" t="n">
        <f aca="false">E453/SUMIFS($E$2:$E$783,$A$2:$A$783,A453)</f>
        <v>0.0736842105263158</v>
      </c>
      <c r="G453" s="5" t="n">
        <v>0</v>
      </c>
      <c r="H453" s="17" t="n">
        <v>44931</v>
      </c>
      <c r="I453" s="17" t="n">
        <v>45014</v>
      </c>
      <c r="J453" s="4" t="s">
        <v>859</v>
      </c>
      <c r="K453" s="4" t="s">
        <v>1282</v>
      </c>
      <c r="L453" s="2"/>
      <c r="M453" s="2"/>
      <c r="N453" s="2"/>
    </row>
    <row r="454" customFormat="false" ht="14.25" hidden="false" customHeight="false" outlineLevel="0" collapsed="false">
      <c r="A454" s="10" t="s">
        <v>491</v>
      </c>
      <c r="B454" s="10" t="s">
        <v>853</v>
      </c>
      <c r="C454" s="10" t="s">
        <v>433</v>
      </c>
      <c r="D454" s="14" t="b">
        <f aca="false">TRUE()</f>
        <v>1</v>
      </c>
      <c r="E454" s="11" t="n">
        <v>53</v>
      </c>
      <c r="F454" s="13" t="n">
        <f aca="false">E454/SUMIFS($E$2:$E$783,$A$2:$A$783,A454)</f>
        <v>0.67948717948718</v>
      </c>
      <c r="G454" s="11" t="n">
        <v>0</v>
      </c>
      <c r="H454" s="18" t="n">
        <v>45019</v>
      </c>
      <c r="I454" s="18" t="n">
        <v>45188</v>
      </c>
      <c r="J454" s="10" t="s">
        <v>854</v>
      </c>
      <c r="K454" s="10" t="s">
        <v>1283</v>
      </c>
      <c r="L454" s="2"/>
      <c r="M454" s="2"/>
      <c r="N454" s="2"/>
    </row>
    <row r="455" customFormat="false" ht="14.25" hidden="false" customHeight="false" outlineLevel="0" collapsed="false">
      <c r="A455" s="4" t="s">
        <v>491</v>
      </c>
      <c r="B455" s="4" t="s">
        <v>853</v>
      </c>
      <c r="C455" s="4" t="s">
        <v>813</v>
      </c>
      <c r="D455" s="8" t="b">
        <f aca="false">FALSE()</f>
        <v>0</v>
      </c>
      <c r="E455" s="5" t="n">
        <v>25</v>
      </c>
      <c r="F455" s="7" t="n">
        <f aca="false">E455/SUMIFS($E$2:$E$783,$A$2:$A$783,A455)</f>
        <v>0.320512820512821</v>
      </c>
      <c r="G455" s="5" t="n">
        <v>0</v>
      </c>
      <c r="H455" s="17" t="n">
        <v>44929</v>
      </c>
      <c r="I455" s="17" t="n">
        <v>45050</v>
      </c>
      <c r="J455" s="4" t="s">
        <v>859</v>
      </c>
      <c r="K455" s="4" t="s">
        <v>1284</v>
      </c>
      <c r="L455" s="2"/>
      <c r="M455" s="2"/>
      <c r="N455" s="2"/>
    </row>
    <row r="456" customFormat="false" ht="14.25" hidden="false" customHeight="false" outlineLevel="0" collapsed="false">
      <c r="A456" s="10" t="s">
        <v>493</v>
      </c>
      <c r="B456" s="10" t="s">
        <v>853</v>
      </c>
      <c r="C456" s="10" t="s">
        <v>433</v>
      </c>
      <c r="D456" s="14" t="b">
        <f aca="false">TRUE()</f>
        <v>1</v>
      </c>
      <c r="E456" s="11" t="n">
        <v>69</v>
      </c>
      <c r="F456" s="13" t="n">
        <f aca="false">E456/SUMIFS($E$2:$E$783,$A$2:$A$783,A456)</f>
        <v>0.958333333333333</v>
      </c>
      <c r="G456" s="11" t="n">
        <v>19</v>
      </c>
      <c r="H456" s="18" t="n">
        <v>44960</v>
      </c>
      <c r="I456" s="18" t="n">
        <v>46288</v>
      </c>
      <c r="J456" s="10" t="s">
        <v>854</v>
      </c>
      <c r="K456" s="10" t="s">
        <v>1285</v>
      </c>
      <c r="L456" s="2"/>
      <c r="M456" s="2"/>
      <c r="N456" s="2"/>
    </row>
    <row r="457" customFormat="false" ht="14.25" hidden="false" customHeight="false" outlineLevel="0" collapsed="false">
      <c r="A457" s="4" t="s">
        <v>493</v>
      </c>
      <c r="B457" s="4" t="s">
        <v>853</v>
      </c>
      <c r="C457" s="4" t="s">
        <v>813</v>
      </c>
      <c r="D457" s="8" t="b">
        <f aca="false">FALSE()</f>
        <v>0</v>
      </c>
      <c r="E457" s="5" t="n">
        <v>3</v>
      </c>
      <c r="F457" s="7" t="n">
        <f aca="false">E457/SUMIFS($E$2:$E$783,$A$2:$A$783,A457)</f>
        <v>0.0416666666666667</v>
      </c>
      <c r="G457" s="5" t="n">
        <v>0</v>
      </c>
      <c r="H457" s="17" t="n">
        <v>44949</v>
      </c>
      <c r="I457" s="17" t="n">
        <v>45017</v>
      </c>
      <c r="J457" s="4" t="s">
        <v>859</v>
      </c>
      <c r="K457" s="4" t="s">
        <v>1286</v>
      </c>
      <c r="L457" s="2"/>
      <c r="M457" s="2"/>
      <c r="N457" s="2"/>
    </row>
    <row r="458" customFormat="false" ht="14.25" hidden="false" customHeight="false" outlineLevel="0" collapsed="false">
      <c r="A458" s="10" t="s">
        <v>495</v>
      </c>
      <c r="B458" s="10" t="s">
        <v>853</v>
      </c>
      <c r="C458" s="10" t="s">
        <v>433</v>
      </c>
      <c r="D458" s="14" t="b">
        <f aca="false">TRUE()</f>
        <v>1</v>
      </c>
      <c r="E458" s="11" t="n">
        <v>60</v>
      </c>
      <c r="F458" s="13" t="n">
        <f aca="false">E458/SUMIFS($E$2:$E$783,$A$2:$A$783,A458)</f>
        <v>0.983606557377049</v>
      </c>
      <c r="G458" s="11" t="n">
        <v>5</v>
      </c>
      <c r="H458" s="18" t="n">
        <v>45028</v>
      </c>
      <c r="I458" s="18" t="n">
        <v>46221</v>
      </c>
      <c r="J458" s="10" t="s">
        <v>854</v>
      </c>
      <c r="K458" s="10" t="s">
        <v>1287</v>
      </c>
      <c r="L458" s="2"/>
      <c r="M458" s="2"/>
      <c r="N458" s="2"/>
    </row>
    <row r="459" customFormat="false" ht="14.25" hidden="false" customHeight="false" outlineLevel="0" collapsed="false">
      <c r="A459" s="4" t="s">
        <v>495</v>
      </c>
      <c r="B459" s="4" t="s">
        <v>853</v>
      </c>
      <c r="C459" s="4" t="s">
        <v>813</v>
      </c>
      <c r="D459" s="8" t="b">
        <f aca="false">FALSE()</f>
        <v>0</v>
      </c>
      <c r="E459" s="5" t="n">
        <v>1</v>
      </c>
      <c r="F459" s="7" t="n">
        <f aca="false">E459/SUMIFS($E$2:$E$783,$A$2:$A$783,A459)</f>
        <v>0.0163934426229508</v>
      </c>
      <c r="G459" s="5" t="n">
        <v>0</v>
      </c>
      <c r="H459" s="17" t="n">
        <v>44935</v>
      </c>
      <c r="I459" s="17" t="n">
        <v>44935</v>
      </c>
      <c r="J459" s="4" t="s">
        <v>859</v>
      </c>
      <c r="K459" s="4" t="s">
        <v>1146</v>
      </c>
      <c r="L459" s="2"/>
      <c r="M459" s="2"/>
      <c r="N459" s="2"/>
    </row>
    <row r="460" customFormat="false" ht="14.25" hidden="false" customHeight="false" outlineLevel="0" collapsed="false">
      <c r="A460" s="10" t="s">
        <v>496</v>
      </c>
      <c r="B460" s="10" t="s">
        <v>853</v>
      </c>
      <c r="C460" s="10" t="s">
        <v>433</v>
      </c>
      <c r="D460" s="14" t="b">
        <f aca="false">TRUE()</f>
        <v>1</v>
      </c>
      <c r="E460" s="11" t="n">
        <v>50</v>
      </c>
      <c r="F460" s="13" t="n">
        <f aca="false">E460/SUMIFS($E$2:$E$783,$A$2:$A$783,A460)</f>
        <v>0.819672131147541</v>
      </c>
      <c r="G460" s="11" t="n">
        <v>11</v>
      </c>
      <c r="H460" s="18" t="n">
        <v>45058</v>
      </c>
      <c r="I460" s="18" t="n">
        <v>46289</v>
      </c>
      <c r="J460" s="10" t="s">
        <v>854</v>
      </c>
      <c r="K460" s="10" t="s">
        <v>1288</v>
      </c>
      <c r="L460" s="2"/>
      <c r="M460" s="2"/>
      <c r="N460" s="2"/>
    </row>
    <row r="461" customFormat="false" ht="14.25" hidden="false" customHeight="false" outlineLevel="0" collapsed="false">
      <c r="A461" s="4" t="s">
        <v>496</v>
      </c>
      <c r="B461" s="4" t="s">
        <v>853</v>
      </c>
      <c r="C461" s="4" t="s">
        <v>813</v>
      </c>
      <c r="D461" s="8" t="b">
        <f aca="false">FALSE()</f>
        <v>0</v>
      </c>
      <c r="E461" s="5" t="n">
        <v>11</v>
      </c>
      <c r="F461" s="7" t="n">
        <f aca="false">E461/SUMIFS($E$2:$E$783,$A$2:$A$783,A461)</f>
        <v>0.180327868852459</v>
      </c>
      <c r="G461" s="5" t="n">
        <v>0</v>
      </c>
      <c r="H461" s="17" t="n">
        <v>44937</v>
      </c>
      <c r="I461" s="17" t="n">
        <v>45040</v>
      </c>
      <c r="J461" s="4" t="s">
        <v>859</v>
      </c>
      <c r="K461" s="4" t="s">
        <v>1289</v>
      </c>
      <c r="L461" s="2"/>
      <c r="M461" s="2"/>
      <c r="N461" s="2"/>
    </row>
    <row r="462" customFormat="false" ht="14.25" hidden="false" customHeight="false" outlineLevel="0" collapsed="false">
      <c r="A462" s="10" t="s">
        <v>500</v>
      </c>
      <c r="B462" s="10" t="s">
        <v>853</v>
      </c>
      <c r="C462" s="10" t="s">
        <v>433</v>
      </c>
      <c r="D462" s="14" t="b">
        <f aca="false">TRUE()</f>
        <v>1</v>
      </c>
      <c r="E462" s="11" t="n">
        <v>7</v>
      </c>
      <c r="F462" s="13" t="n">
        <f aca="false">E462/SUMIFS($E$2:$E$783,$A$2:$A$783,A462)</f>
        <v>0.7</v>
      </c>
      <c r="G462" s="11" t="n">
        <v>0</v>
      </c>
      <c r="H462" s="18" t="n">
        <v>45082</v>
      </c>
      <c r="I462" s="18" t="n">
        <v>45510</v>
      </c>
      <c r="J462" s="10" t="s">
        <v>854</v>
      </c>
      <c r="K462" s="10" t="s">
        <v>1290</v>
      </c>
      <c r="L462" s="2"/>
      <c r="M462" s="2"/>
      <c r="N462" s="2"/>
    </row>
    <row r="463" customFormat="false" ht="14.25" hidden="false" customHeight="false" outlineLevel="0" collapsed="false">
      <c r="A463" s="4" t="s">
        <v>500</v>
      </c>
      <c r="B463" s="4" t="s">
        <v>853</v>
      </c>
      <c r="C463" s="4" t="s">
        <v>813</v>
      </c>
      <c r="D463" s="8" t="b">
        <f aca="false">FALSE()</f>
        <v>0</v>
      </c>
      <c r="E463" s="5" t="n">
        <v>3</v>
      </c>
      <c r="F463" s="7" t="n">
        <f aca="false">E463/SUMIFS($E$2:$E$783,$A$2:$A$783,A463)</f>
        <v>0.3</v>
      </c>
      <c r="G463" s="5" t="n">
        <v>0</v>
      </c>
      <c r="H463" s="17" t="n">
        <v>45007</v>
      </c>
      <c r="I463" s="17" t="n">
        <v>45035</v>
      </c>
      <c r="J463" s="4" t="s">
        <v>859</v>
      </c>
      <c r="K463" s="4" t="s">
        <v>1291</v>
      </c>
      <c r="L463" s="2"/>
      <c r="M463" s="2"/>
      <c r="N463" s="2"/>
    </row>
    <row r="464" customFormat="false" ht="14.25" hidden="false" customHeight="false" outlineLevel="0" collapsed="false">
      <c r="A464" s="10" t="s">
        <v>501</v>
      </c>
      <c r="B464" s="10" t="s">
        <v>853</v>
      </c>
      <c r="C464" s="10" t="s">
        <v>433</v>
      </c>
      <c r="D464" s="14" t="b">
        <f aca="false">TRUE()</f>
        <v>1</v>
      </c>
      <c r="E464" s="11" t="n">
        <v>5</v>
      </c>
      <c r="F464" s="13" t="n">
        <f aca="false">E464/SUMIFS($E$2:$E$783,$A$2:$A$783,A464)</f>
        <v>0.714285714285714</v>
      </c>
      <c r="G464" s="11" t="n">
        <v>0</v>
      </c>
      <c r="H464" s="18" t="n">
        <v>45014</v>
      </c>
      <c r="I464" s="18" t="n">
        <v>45239</v>
      </c>
      <c r="J464" s="10" t="s">
        <v>854</v>
      </c>
      <c r="K464" s="10" t="s">
        <v>1292</v>
      </c>
      <c r="L464" s="2"/>
      <c r="M464" s="2"/>
      <c r="N464" s="2"/>
    </row>
    <row r="465" customFormat="false" ht="14.25" hidden="false" customHeight="false" outlineLevel="0" collapsed="false">
      <c r="A465" s="4" t="s">
        <v>501</v>
      </c>
      <c r="B465" s="4" t="s">
        <v>853</v>
      </c>
      <c r="C465" s="4" t="s">
        <v>813</v>
      </c>
      <c r="D465" s="8" t="b">
        <f aca="false">FALSE()</f>
        <v>0</v>
      </c>
      <c r="E465" s="5" t="n">
        <v>2</v>
      </c>
      <c r="F465" s="7" t="n">
        <f aca="false">E465/SUMIFS($E$2:$E$783,$A$2:$A$783,A465)</f>
        <v>0.285714285714286</v>
      </c>
      <c r="G465" s="5" t="n">
        <v>0</v>
      </c>
      <c r="H465" s="17" t="n">
        <v>44951</v>
      </c>
      <c r="I465" s="17" t="n">
        <v>44974</v>
      </c>
      <c r="J465" s="4" t="s">
        <v>859</v>
      </c>
      <c r="K465" s="4" t="s">
        <v>1293</v>
      </c>
      <c r="L465" s="2"/>
      <c r="M465" s="2"/>
      <c r="N465" s="2"/>
    </row>
    <row r="466" customFormat="false" ht="14.25" hidden="false" customHeight="false" outlineLevel="0" collapsed="false">
      <c r="A466" s="10" t="s">
        <v>507</v>
      </c>
      <c r="B466" s="10" t="s">
        <v>853</v>
      </c>
      <c r="C466" s="10" t="s">
        <v>506</v>
      </c>
      <c r="D466" s="14" t="b">
        <f aca="false">TRUE()</f>
        <v>1</v>
      </c>
      <c r="E466" s="11" t="n">
        <v>13211</v>
      </c>
      <c r="F466" s="13" t="n">
        <f aca="false">E466/SUMIFS($E$2:$E$783,$A$2:$A$783,A466)</f>
        <v>0.87967772006925</v>
      </c>
      <c r="G466" s="11" t="n">
        <v>0</v>
      </c>
      <c r="H466" s="18" t="n">
        <v>44929</v>
      </c>
      <c r="I466" s="18" t="n">
        <v>45404</v>
      </c>
      <c r="J466" s="10" t="s">
        <v>854</v>
      </c>
      <c r="K466" s="10" t="s">
        <v>1294</v>
      </c>
      <c r="L466" s="2"/>
      <c r="M466" s="2"/>
      <c r="N466" s="2"/>
    </row>
    <row r="467" customFormat="false" ht="14.25" hidden="false" customHeight="false" outlineLevel="0" collapsed="false">
      <c r="A467" s="4" t="s">
        <v>507</v>
      </c>
      <c r="B467" s="4" t="s">
        <v>853</v>
      </c>
      <c r="C467" s="4" t="s">
        <v>1295</v>
      </c>
      <c r="D467" s="8" t="b">
        <f aca="false">FALSE()</f>
        <v>0</v>
      </c>
      <c r="E467" s="5" t="n">
        <v>1807</v>
      </c>
      <c r="F467" s="7" t="n">
        <f aca="false">E467/SUMIFS($E$2:$E$783,$A$2:$A$783,A467)</f>
        <v>0.12032227993075</v>
      </c>
      <c r="G467" s="5" t="n">
        <v>0</v>
      </c>
      <c r="H467" s="17" t="n">
        <v>44928</v>
      </c>
      <c r="I467" s="17" t="n">
        <v>45055</v>
      </c>
      <c r="J467" s="4" t="s">
        <v>859</v>
      </c>
      <c r="K467" s="4" t="s">
        <v>931</v>
      </c>
      <c r="L467" s="2"/>
      <c r="M467" s="2"/>
      <c r="N467" s="2"/>
    </row>
    <row r="468" customFormat="false" ht="14.25" hidden="false" customHeight="false" outlineLevel="0" collapsed="false">
      <c r="A468" s="10" t="s">
        <v>509</v>
      </c>
      <c r="B468" s="10" t="s">
        <v>853</v>
      </c>
      <c r="C468" s="10" t="s">
        <v>506</v>
      </c>
      <c r="D468" s="14" t="b">
        <f aca="false">TRUE()</f>
        <v>1</v>
      </c>
      <c r="E468" s="11" t="n">
        <v>11349</v>
      </c>
      <c r="F468" s="13" t="n">
        <f aca="false">E468/SUMIFS($E$2:$E$783,$A$2:$A$783,A468)</f>
        <v>0.999207606973059</v>
      </c>
      <c r="G468" s="11" t="n">
        <v>2081</v>
      </c>
      <c r="H468" s="18" t="n">
        <v>44928</v>
      </c>
      <c r="I468" s="18" t="n">
        <v>46296</v>
      </c>
      <c r="J468" s="10" t="s">
        <v>854</v>
      </c>
      <c r="K468" s="10" t="s">
        <v>936</v>
      </c>
      <c r="L468" s="2"/>
      <c r="M468" s="2"/>
      <c r="N468" s="2"/>
    </row>
    <row r="469" customFormat="false" ht="14.25" hidden="false" customHeight="false" outlineLevel="0" collapsed="false">
      <c r="A469" s="4" t="s">
        <v>509</v>
      </c>
      <c r="B469" s="4" t="s">
        <v>853</v>
      </c>
      <c r="C469" s="4" t="s">
        <v>1295</v>
      </c>
      <c r="D469" s="8" t="b">
        <f aca="false">FALSE()</f>
        <v>0</v>
      </c>
      <c r="E469" s="5" t="n">
        <v>9</v>
      </c>
      <c r="F469" s="7" t="n">
        <f aca="false">E469/SUMIFS($E$2:$E$783,$A$2:$A$783,A469)</f>
        <v>0.000792393026941363</v>
      </c>
      <c r="G469" s="5" t="n">
        <v>0</v>
      </c>
      <c r="H469" s="17" t="n">
        <v>44929</v>
      </c>
      <c r="I469" s="17" t="n">
        <v>45039</v>
      </c>
      <c r="J469" s="4" t="s">
        <v>859</v>
      </c>
      <c r="K469" s="4" t="s">
        <v>1296</v>
      </c>
      <c r="L469" s="2"/>
      <c r="M469" s="2"/>
      <c r="N469" s="2"/>
    </row>
    <row r="470" customFormat="false" ht="14.25" hidden="false" customHeight="false" outlineLevel="0" collapsed="false">
      <c r="A470" s="10" t="s">
        <v>510</v>
      </c>
      <c r="B470" s="10" t="s">
        <v>853</v>
      </c>
      <c r="C470" s="10" t="s">
        <v>506</v>
      </c>
      <c r="D470" s="14" t="b">
        <f aca="false">TRUE()</f>
        <v>1</v>
      </c>
      <c r="E470" s="11" t="n">
        <v>9005</v>
      </c>
      <c r="F470" s="13" t="n">
        <f aca="false">E470/SUMIFS($E$2:$E$783,$A$2:$A$783,A470)</f>
        <v>0.945704683889939</v>
      </c>
      <c r="G470" s="11" t="n">
        <v>1857</v>
      </c>
      <c r="H470" s="18" t="n">
        <v>44928</v>
      </c>
      <c r="I470" s="18" t="n">
        <v>46296</v>
      </c>
      <c r="J470" s="10" t="s">
        <v>854</v>
      </c>
      <c r="K470" s="10" t="s">
        <v>936</v>
      </c>
      <c r="L470" s="2"/>
      <c r="M470" s="2"/>
      <c r="N470" s="2"/>
    </row>
    <row r="471" customFormat="false" ht="14.25" hidden="false" customHeight="false" outlineLevel="0" collapsed="false">
      <c r="A471" s="4" t="s">
        <v>510</v>
      </c>
      <c r="B471" s="4" t="s">
        <v>853</v>
      </c>
      <c r="C471" s="4" t="s">
        <v>1295</v>
      </c>
      <c r="D471" s="8" t="b">
        <f aca="false">FALSE()</f>
        <v>0</v>
      </c>
      <c r="E471" s="5" t="n">
        <v>517</v>
      </c>
      <c r="F471" s="7" t="n">
        <f aca="false">E471/SUMIFS($E$2:$E$783,$A$2:$A$783,A471)</f>
        <v>0.0542953161100609</v>
      </c>
      <c r="G471" s="5" t="n">
        <v>0</v>
      </c>
      <c r="H471" s="17" t="n">
        <v>44928</v>
      </c>
      <c r="I471" s="17" t="n">
        <v>45055</v>
      </c>
      <c r="J471" s="4" t="s">
        <v>859</v>
      </c>
      <c r="K471" s="4" t="s">
        <v>937</v>
      </c>
      <c r="L471" s="2"/>
      <c r="M471" s="2"/>
      <c r="N471" s="2"/>
    </row>
    <row r="472" customFormat="false" ht="14.25" hidden="false" customHeight="false" outlineLevel="0" collapsed="false">
      <c r="A472" s="10" t="s">
        <v>514</v>
      </c>
      <c r="B472" s="10" t="s">
        <v>853</v>
      </c>
      <c r="C472" s="10" t="s">
        <v>506</v>
      </c>
      <c r="D472" s="14" t="b">
        <f aca="false">TRUE()</f>
        <v>1</v>
      </c>
      <c r="E472" s="11" t="n">
        <v>3705</v>
      </c>
      <c r="F472" s="13" t="n">
        <f aca="false">E472/SUMIFS($E$2:$E$783,$A$2:$A$783,A472)</f>
        <v>0.593274619695757</v>
      </c>
      <c r="G472" s="11" t="n">
        <v>0</v>
      </c>
      <c r="H472" s="18" t="n">
        <v>44935</v>
      </c>
      <c r="I472" s="18" t="n">
        <v>45404</v>
      </c>
      <c r="J472" s="10" t="s">
        <v>854</v>
      </c>
      <c r="K472" s="10" t="s">
        <v>1297</v>
      </c>
      <c r="L472" s="2"/>
      <c r="M472" s="2"/>
      <c r="N472" s="2"/>
    </row>
    <row r="473" customFormat="false" ht="14.25" hidden="false" customHeight="false" outlineLevel="0" collapsed="false">
      <c r="A473" s="4" t="s">
        <v>514</v>
      </c>
      <c r="B473" s="4" t="s">
        <v>853</v>
      </c>
      <c r="C473" s="4" t="s">
        <v>1295</v>
      </c>
      <c r="D473" s="8" t="b">
        <f aca="false">FALSE()</f>
        <v>0</v>
      </c>
      <c r="E473" s="5" t="n">
        <v>2540</v>
      </c>
      <c r="F473" s="7" t="n">
        <f aca="false">E473/SUMIFS($E$2:$E$783,$A$2:$A$783,A473)</f>
        <v>0.406725380304243</v>
      </c>
      <c r="G473" s="5" t="n">
        <v>0</v>
      </c>
      <c r="H473" s="17" t="n">
        <v>44928</v>
      </c>
      <c r="I473" s="17" t="n">
        <v>45027</v>
      </c>
      <c r="J473" s="4" t="s">
        <v>859</v>
      </c>
      <c r="K473" s="4" t="s">
        <v>1298</v>
      </c>
      <c r="L473" s="2"/>
      <c r="M473" s="2"/>
      <c r="N473" s="2"/>
    </row>
    <row r="474" customFormat="false" ht="14.25" hidden="false" customHeight="false" outlineLevel="0" collapsed="false">
      <c r="A474" s="10" t="s">
        <v>515</v>
      </c>
      <c r="B474" s="10" t="s">
        <v>853</v>
      </c>
      <c r="C474" s="10" t="s">
        <v>506</v>
      </c>
      <c r="D474" s="14" t="b">
        <f aca="false">TRUE()</f>
        <v>1</v>
      </c>
      <c r="E474" s="11" t="n">
        <v>4873</v>
      </c>
      <c r="F474" s="13" t="n">
        <f aca="false">E474/SUMIFS($E$2:$E$783,$A$2:$A$783,A474)</f>
        <v>0.934599156118144</v>
      </c>
      <c r="G474" s="11" t="n">
        <v>1464</v>
      </c>
      <c r="H474" s="18" t="n">
        <v>44942</v>
      </c>
      <c r="I474" s="18" t="n">
        <v>46296</v>
      </c>
      <c r="J474" s="10" t="s">
        <v>854</v>
      </c>
      <c r="K474" s="10" t="s">
        <v>1250</v>
      </c>
      <c r="L474" s="2"/>
      <c r="M474" s="2"/>
      <c r="N474" s="2"/>
    </row>
    <row r="475" customFormat="false" ht="14.25" hidden="false" customHeight="false" outlineLevel="0" collapsed="false">
      <c r="A475" s="4" t="s">
        <v>515</v>
      </c>
      <c r="B475" s="4" t="s">
        <v>853</v>
      </c>
      <c r="C475" s="4" t="s">
        <v>1295</v>
      </c>
      <c r="D475" s="8" t="b">
        <f aca="false">FALSE()</f>
        <v>0</v>
      </c>
      <c r="E475" s="5" t="n">
        <v>341</v>
      </c>
      <c r="F475" s="7" t="n">
        <f aca="false">E475/SUMIFS($E$2:$E$783,$A$2:$A$783,A475)</f>
        <v>0.0654008438818566</v>
      </c>
      <c r="G475" s="5" t="n">
        <v>0</v>
      </c>
      <c r="H475" s="17" t="n">
        <v>44928</v>
      </c>
      <c r="I475" s="17" t="n">
        <v>45048</v>
      </c>
      <c r="J475" s="4" t="s">
        <v>859</v>
      </c>
      <c r="K475" s="4" t="s">
        <v>1299</v>
      </c>
      <c r="L475" s="2"/>
      <c r="M475" s="2"/>
      <c r="N475" s="2"/>
    </row>
    <row r="476" customFormat="false" ht="14.25" hidden="false" customHeight="false" outlineLevel="0" collapsed="false">
      <c r="A476" s="10" t="s">
        <v>516</v>
      </c>
      <c r="B476" s="10" t="s">
        <v>853</v>
      </c>
      <c r="C476" s="10" t="s">
        <v>506</v>
      </c>
      <c r="D476" s="14" t="b">
        <f aca="false">TRUE()</f>
        <v>1</v>
      </c>
      <c r="E476" s="11" t="n">
        <v>3803</v>
      </c>
      <c r="F476" s="13" t="n">
        <f aca="false">E476/SUMIFS($E$2:$E$783,$A$2:$A$783,A476)</f>
        <v>0.773596419853539</v>
      </c>
      <c r="G476" s="11" t="n">
        <v>0</v>
      </c>
      <c r="H476" s="18" t="n">
        <v>45006</v>
      </c>
      <c r="I476" s="18" t="n">
        <v>45405</v>
      </c>
      <c r="J476" s="10" t="s">
        <v>854</v>
      </c>
      <c r="K476" s="10" t="s">
        <v>1300</v>
      </c>
      <c r="L476" s="2"/>
      <c r="M476" s="2"/>
      <c r="N476" s="2"/>
    </row>
    <row r="477" customFormat="false" ht="14.25" hidden="false" customHeight="false" outlineLevel="0" collapsed="false">
      <c r="A477" s="4" t="s">
        <v>516</v>
      </c>
      <c r="B477" s="4" t="s">
        <v>853</v>
      </c>
      <c r="C477" s="4" t="s">
        <v>1295</v>
      </c>
      <c r="D477" s="8" t="b">
        <f aca="false">FALSE()</f>
        <v>0</v>
      </c>
      <c r="E477" s="5" t="n">
        <v>1113</v>
      </c>
      <c r="F477" s="7" t="n">
        <f aca="false">E477/SUMIFS($E$2:$E$783,$A$2:$A$783,A477)</f>
        <v>0.226403580146461</v>
      </c>
      <c r="G477" s="5" t="n">
        <v>0</v>
      </c>
      <c r="H477" s="17" t="n">
        <v>44928</v>
      </c>
      <c r="I477" s="17" t="n">
        <v>45055</v>
      </c>
      <c r="J477" s="4" t="s">
        <v>859</v>
      </c>
      <c r="K477" s="4" t="s">
        <v>1301</v>
      </c>
      <c r="L477" s="2"/>
      <c r="M477" s="2"/>
      <c r="N477" s="2"/>
    </row>
    <row r="478" customFormat="false" ht="14.25" hidden="false" customHeight="false" outlineLevel="0" collapsed="false">
      <c r="A478" s="10" t="s">
        <v>517</v>
      </c>
      <c r="B478" s="10" t="s">
        <v>853</v>
      </c>
      <c r="C478" s="10" t="s">
        <v>506</v>
      </c>
      <c r="D478" s="14" t="b">
        <f aca="false">TRUE()</f>
        <v>1</v>
      </c>
      <c r="E478" s="11" t="n">
        <v>4574</v>
      </c>
      <c r="F478" s="13" t="n">
        <f aca="false">E478/SUMIFS($E$2:$E$783,$A$2:$A$783,A478)</f>
        <v>0.967837494710114</v>
      </c>
      <c r="G478" s="11" t="n">
        <v>1040</v>
      </c>
      <c r="H478" s="18" t="n">
        <v>44928</v>
      </c>
      <c r="I478" s="18" t="n">
        <v>46296</v>
      </c>
      <c r="J478" s="10" t="s">
        <v>854</v>
      </c>
      <c r="K478" s="10" t="s">
        <v>936</v>
      </c>
      <c r="L478" s="2"/>
      <c r="M478" s="2"/>
      <c r="N478" s="2"/>
    </row>
    <row r="479" customFormat="false" ht="14.25" hidden="false" customHeight="false" outlineLevel="0" collapsed="false">
      <c r="A479" s="4" t="s">
        <v>517</v>
      </c>
      <c r="B479" s="4" t="s">
        <v>853</v>
      </c>
      <c r="C479" s="4" t="s">
        <v>1295</v>
      </c>
      <c r="D479" s="8" t="b">
        <f aca="false">FALSE()</f>
        <v>0</v>
      </c>
      <c r="E479" s="5" t="n">
        <v>87</v>
      </c>
      <c r="F479" s="7" t="n">
        <f aca="false">E479/SUMIFS($E$2:$E$783,$A$2:$A$783,A479)</f>
        <v>0.0184088023698688</v>
      </c>
      <c r="G479" s="5" t="n">
        <v>0</v>
      </c>
      <c r="H479" s="17" t="n">
        <v>44929</v>
      </c>
      <c r="I479" s="17" t="n">
        <v>45022</v>
      </c>
      <c r="J479" s="4" t="s">
        <v>859</v>
      </c>
      <c r="K479" s="4" t="s">
        <v>1302</v>
      </c>
      <c r="L479" s="2"/>
      <c r="M479" s="2"/>
      <c r="N479" s="2"/>
    </row>
    <row r="480" customFormat="false" ht="14.25" hidden="false" customHeight="false" outlineLevel="0" collapsed="false">
      <c r="A480" s="4" t="s">
        <v>517</v>
      </c>
      <c r="B480" s="4" t="s">
        <v>853</v>
      </c>
      <c r="C480" s="4" t="s">
        <v>129</v>
      </c>
      <c r="D480" s="8" t="b">
        <f aca="false">FALSE()</f>
        <v>0</v>
      </c>
      <c r="E480" s="5" t="n">
        <v>65</v>
      </c>
      <c r="F480" s="7" t="n">
        <f aca="false">E480/SUMIFS($E$2:$E$783,$A$2:$A$783,A480)</f>
        <v>0.0137537029200169</v>
      </c>
      <c r="G480" s="5" t="n">
        <v>0</v>
      </c>
      <c r="H480" s="17" t="n">
        <v>44930</v>
      </c>
      <c r="I480" s="17" t="n">
        <v>45050</v>
      </c>
      <c r="J480" s="4" t="s">
        <v>859</v>
      </c>
      <c r="K480" s="4" t="s">
        <v>1303</v>
      </c>
      <c r="L480" s="2"/>
      <c r="M480" s="2"/>
      <c r="N480" s="2"/>
    </row>
    <row r="481" customFormat="false" ht="14.25" hidden="false" customHeight="false" outlineLevel="0" collapsed="false">
      <c r="A481" s="10" t="s">
        <v>519</v>
      </c>
      <c r="B481" s="10" t="s">
        <v>853</v>
      </c>
      <c r="C481" s="10" t="s">
        <v>506</v>
      </c>
      <c r="D481" s="14" t="b">
        <f aca="false">TRUE()</f>
        <v>1</v>
      </c>
      <c r="E481" s="11" t="n">
        <v>2816</v>
      </c>
      <c r="F481" s="13" t="n">
        <f aca="false">E481/SUMIFS($E$2:$E$783,$A$2:$A$783,A481)</f>
        <v>0.801822323462415</v>
      </c>
      <c r="G481" s="11" t="n">
        <v>0</v>
      </c>
      <c r="H481" s="18" t="n">
        <v>44984</v>
      </c>
      <c r="I481" s="18" t="n">
        <v>45404</v>
      </c>
      <c r="J481" s="10" t="s">
        <v>854</v>
      </c>
      <c r="K481" s="10" t="s">
        <v>1304</v>
      </c>
      <c r="L481" s="2"/>
      <c r="M481" s="2"/>
      <c r="N481" s="2"/>
    </row>
    <row r="482" customFormat="false" ht="14.25" hidden="false" customHeight="false" outlineLevel="0" collapsed="false">
      <c r="A482" s="4" t="s">
        <v>519</v>
      </c>
      <c r="B482" s="4" t="s">
        <v>853</v>
      </c>
      <c r="C482" s="4" t="s">
        <v>1295</v>
      </c>
      <c r="D482" s="8" t="b">
        <f aca="false">FALSE()</f>
        <v>0</v>
      </c>
      <c r="E482" s="5" t="n">
        <v>696</v>
      </c>
      <c r="F482" s="7" t="n">
        <f aca="false">E482/SUMIFS($E$2:$E$783,$A$2:$A$783,A482)</f>
        <v>0.198177676537585</v>
      </c>
      <c r="G482" s="5" t="n">
        <v>0</v>
      </c>
      <c r="H482" s="17" t="n">
        <v>44928</v>
      </c>
      <c r="I482" s="17" t="n">
        <v>45055</v>
      </c>
      <c r="J482" s="4" t="s">
        <v>859</v>
      </c>
      <c r="K482" s="4" t="s">
        <v>1305</v>
      </c>
      <c r="L482" s="2"/>
      <c r="M482" s="2"/>
      <c r="N482" s="2"/>
    </row>
    <row r="483" customFormat="false" ht="14.25" hidden="false" customHeight="false" outlineLevel="0" collapsed="false">
      <c r="A483" s="10" t="s">
        <v>520</v>
      </c>
      <c r="B483" s="10" t="s">
        <v>853</v>
      </c>
      <c r="C483" s="10" t="s">
        <v>506</v>
      </c>
      <c r="D483" s="14" t="b">
        <f aca="false">TRUE()</f>
        <v>1</v>
      </c>
      <c r="E483" s="11" t="n">
        <v>2545</v>
      </c>
      <c r="F483" s="13" t="n">
        <f aca="false">E483/SUMIFS($E$2:$E$783,$A$2:$A$783,A483)</f>
        <v>0.835796387520525</v>
      </c>
      <c r="G483" s="11" t="n">
        <v>0</v>
      </c>
      <c r="H483" s="18" t="n">
        <v>45006</v>
      </c>
      <c r="I483" s="18" t="n">
        <v>45404</v>
      </c>
      <c r="J483" s="10" t="s">
        <v>854</v>
      </c>
      <c r="K483" s="10" t="s">
        <v>1306</v>
      </c>
      <c r="L483" s="2"/>
      <c r="M483" s="2"/>
      <c r="N483" s="2"/>
    </row>
    <row r="484" customFormat="false" ht="14.25" hidden="false" customHeight="false" outlineLevel="0" collapsed="false">
      <c r="A484" s="4" t="s">
        <v>520</v>
      </c>
      <c r="B484" s="4" t="s">
        <v>853</v>
      </c>
      <c r="C484" s="4" t="s">
        <v>1295</v>
      </c>
      <c r="D484" s="8" t="b">
        <f aca="false">FALSE()</f>
        <v>0</v>
      </c>
      <c r="E484" s="5" t="n">
        <v>500</v>
      </c>
      <c r="F484" s="7" t="n">
        <f aca="false">E484/SUMIFS($E$2:$E$783,$A$2:$A$783,A484)</f>
        <v>0.164203612479475</v>
      </c>
      <c r="G484" s="5" t="n">
        <v>0</v>
      </c>
      <c r="H484" s="17" t="n">
        <v>44928</v>
      </c>
      <c r="I484" s="17" t="n">
        <v>45055</v>
      </c>
      <c r="J484" s="4" t="s">
        <v>859</v>
      </c>
      <c r="K484" s="4" t="s">
        <v>1301</v>
      </c>
      <c r="L484" s="2"/>
      <c r="M484" s="2"/>
      <c r="N484" s="2"/>
    </row>
    <row r="485" customFormat="false" ht="14.25" hidden="false" customHeight="false" outlineLevel="0" collapsed="false">
      <c r="A485" s="10" t="s">
        <v>524</v>
      </c>
      <c r="B485" s="10" t="s">
        <v>853</v>
      </c>
      <c r="C485" s="10" t="s">
        <v>506</v>
      </c>
      <c r="D485" s="14" t="b">
        <f aca="false">TRUE()</f>
        <v>1</v>
      </c>
      <c r="E485" s="11" t="n">
        <v>1825</v>
      </c>
      <c r="F485" s="13" t="n">
        <f aca="false">E485/SUMIFS($E$2:$E$783,$A$2:$A$783,A485)</f>
        <v>0.833714024668799</v>
      </c>
      <c r="G485" s="11" t="n">
        <v>0</v>
      </c>
      <c r="H485" s="18" t="n">
        <v>45044</v>
      </c>
      <c r="I485" s="18" t="n">
        <v>45404</v>
      </c>
      <c r="J485" s="10" t="s">
        <v>854</v>
      </c>
      <c r="K485" s="10" t="s">
        <v>1307</v>
      </c>
      <c r="L485" s="2"/>
      <c r="M485" s="2"/>
      <c r="N485" s="2"/>
    </row>
    <row r="486" customFormat="false" ht="14.25" hidden="false" customHeight="false" outlineLevel="0" collapsed="false">
      <c r="A486" s="4" t="s">
        <v>524</v>
      </c>
      <c r="B486" s="4" t="s">
        <v>853</v>
      </c>
      <c r="C486" s="4" t="s">
        <v>1295</v>
      </c>
      <c r="D486" s="8" t="b">
        <f aca="false">FALSE()</f>
        <v>0</v>
      </c>
      <c r="E486" s="5" t="n">
        <v>364</v>
      </c>
      <c r="F486" s="7" t="n">
        <f aca="false">E486/SUMIFS($E$2:$E$783,$A$2:$A$783,A486)</f>
        <v>0.166285975331201</v>
      </c>
      <c r="G486" s="5" t="n">
        <v>0</v>
      </c>
      <c r="H486" s="17" t="n">
        <v>44929</v>
      </c>
      <c r="I486" s="17" t="n">
        <v>45054</v>
      </c>
      <c r="J486" s="4" t="s">
        <v>859</v>
      </c>
      <c r="K486" s="4" t="s">
        <v>1308</v>
      </c>
      <c r="L486" s="2"/>
      <c r="M486" s="2"/>
      <c r="N486" s="2"/>
    </row>
    <row r="487" customFormat="false" ht="14.25" hidden="false" customHeight="false" outlineLevel="0" collapsed="false">
      <c r="A487" s="10" t="s">
        <v>525</v>
      </c>
      <c r="B487" s="10" t="s">
        <v>853</v>
      </c>
      <c r="C487" s="10" t="s">
        <v>506</v>
      </c>
      <c r="D487" s="14" t="b">
        <f aca="false">TRUE()</f>
        <v>1</v>
      </c>
      <c r="E487" s="11" t="n">
        <v>1983</v>
      </c>
      <c r="F487" s="13" t="n">
        <f aca="false">E487/SUMIFS($E$2:$E$783,$A$2:$A$783,A487)</f>
        <v>0.975885826771654</v>
      </c>
      <c r="G487" s="11" t="n">
        <v>0</v>
      </c>
      <c r="H487" s="18" t="n">
        <v>45046</v>
      </c>
      <c r="I487" s="18" t="n">
        <v>45400</v>
      </c>
      <c r="J487" s="10" t="s">
        <v>854</v>
      </c>
      <c r="K487" s="10" t="s">
        <v>1309</v>
      </c>
      <c r="L487" s="2"/>
      <c r="M487" s="2"/>
      <c r="N487" s="2"/>
    </row>
    <row r="488" customFormat="false" ht="14.25" hidden="false" customHeight="false" outlineLevel="0" collapsed="false">
      <c r="A488" s="4" t="s">
        <v>525</v>
      </c>
      <c r="B488" s="4" t="s">
        <v>853</v>
      </c>
      <c r="C488" s="4" t="s">
        <v>1295</v>
      </c>
      <c r="D488" s="8" t="b">
        <f aca="false">FALSE()</f>
        <v>0</v>
      </c>
      <c r="E488" s="5" t="n">
        <v>49</v>
      </c>
      <c r="F488" s="7" t="n">
        <f aca="false">E488/SUMIFS($E$2:$E$783,$A$2:$A$783,A488)</f>
        <v>0.0241141732283465</v>
      </c>
      <c r="G488" s="5" t="n">
        <v>0</v>
      </c>
      <c r="H488" s="17" t="n">
        <v>44933</v>
      </c>
      <c r="I488" s="17" t="n">
        <v>45054</v>
      </c>
      <c r="J488" s="4" t="s">
        <v>859</v>
      </c>
      <c r="K488" s="4" t="s">
        <v>1310</v>
      </c>
      <c r="L488" s="2"/>
      <c r="M488" s="2"/>
      <c r="N488" s="2"/>
    </row>
    <row r="489" customFormat="false" ht="14.25" hidden="false" customHeight="false" outlineLevel="0" collapsed="false">
      <c r="A489" s="10" t="s">
        <v>526</v>
      </c>
      <c r="B489" s="10" t="s">
        <v>853</v>
      </c>
      <c r="C489" s="10" t="s">
        <v>506</v>
      </c>
      <c r="D489" s="14" t="b">
        <f aca="false">TRUE()</f>
        <v>1</v>
      </c>
      <c r="E489" s="11" t="n">
        <v>1870</v>
      </c>
      <c r="F489" s="13" t="n">
        <f aca="false">E489/SUMIFS($E$2:$E$783,$A$2:$A$783,A489)</f>
        <v>0.944921677614957</v>
      </c>
      <c r="G489" s="11" t="n">
        <v>363</v>
      </c>
      <c r="H489" s="18" t="n">
        <v>44995</v>
      </c>
      <c r="I489" s="18" t="n">
        <v>46296</v>
      </c>
      <c r="J489" s="10" t="s">
        <v>854</v>
      </c>
      <c r="K489" s="10" t="s">
        <v>1311</v>
      </c>
      <c r="L489" s="2"/>
      <c r="M489" s="2"/>
      <c r="N489" s="2"/>
    </row>
    <row r="490" customFormat="false" ht="14.25" hidden="false" customHeight="false" outlineLevel="0" collapsed="false">
      <c r="A490" s="4" t="s">
        <v>526</v>
      </c>
      <c r="B490" s="4" t="s">
        <v>853</v>
      </c>
      <c r="C490" s="4" t="s">
        <v>1295</v>
      </c>
      <c r="D490" s="8" t="b">
        <f aca="false">FALSE()</f>
        <v>0</v>
      </c>
      <c r="E490" s="5" t="n">
        <v>109</v>
      </c>
      <c r="F490" s="7" t="n">
        <f aca="false">E490/SUMIFS($E$2:$E$783,$A$2:$A$783,A490)</f>
        <v>0.055078322385043</v>
      </c>
      <c r="G490" s="5" t="n">
        <v>0</v>
      </c>
      <c r="H490" s="17" t="n">
        <v>44929</v>
      </c>
      <c r="I490" s="17" t="n">
        <v>45054</v>
      </c>
      <c r="J490" s="4" t="s">
        <v>859</v>
      </c>
      <c r="K490" s="4" t="s">
        <v>1312</v>
      </c>
      <c r="L490" s="2"/>
      <c r="M490" s="2"/>
      <c r="N490" s="2"/>
    </row>
    <row r="491" customFormat="false" ht="14.25" hidden="false" customHeight="false" outlineLevel="0" collapsed="false">
      <c r="A491" s="10" t="s">
        <v>530</v>
      </c>
      <c r="B491" s="10" t="s">
        <v>853</v>
      </c>
      <c r="C491" s="10" t="s">
        <v>506</v>
      </c>
      <c r="D491" s="14" t="b">
        <f aca="false">TRUE()</f>
        <v>1</v>
      </c>
      <c r="E491" s="11" t="n">
        <v>1407</v>
      </c>
      <c r="F491" s="13" t="n">
        <f aca="false">E491/SUMIFS($E$2:$E$783,$A$2:$A$783,A491)</f>
        <v>0.955842391304348</v>
      </c>
      <c r="G491" s="11" t="n">
        <v>280</v>
      </c>
      <c r="H491" s="18" t="n">
        <v>44929</v>
      </c>
      <c r="I491" s="18" t="n">
        <v>46296</v>
      </c>
      <c r="J491" s="10" t="s">
        <v>854</v>
      </c>
      <c r="K491" s="10" t="s">
        <v>930</v>
      </c>
      <c r="L491" s="2"/>
      <c r="M491" s="2"/>
      <c r="N491" s="2"/>
    </row>
    <row r="492" customFormat="false" ht="14.25" hidden="false" customHeight="false" outlineLevel="0" collapsed="false">
      <c r="A492" s="4" t="s">
        <v>530</v>
      </c>
      <c r="B492" s="4" t="s">
        <v>853</v>
      </c>
      <c r="C492" s="4" t="s">
        <v>1295</v>
      </c>
      <c r="D492" s="8" t="b">
        <f aca="false">FALSE()</f>
        <v>0</v>
      </c>
      <c r="E492" s="5" t="n">
        <v>65</v>
      </c>
      <c r="F492" s="7" t="n">
        <f aca="false">E492/SUMIFS($E$2:$E$783,$A$2:$A$783,A492)</f>
        <v>0.0441576086956522</v>
      </c>
      <c r="G492" s="5" t="n">
        <v>0</v>
      </c>
      <c r="H492" s="17" t="n">
        <v>44931</v>
      </c>
      <c r="I492" s="17" t="n">
        <v>45054</v>
      </c>
      <c r="J492" s="4" t="s">
        <v>859</v>
      </c>
      <c r="K492" s="4" t="s">
        <v>1313</v>
      </c>
      <c r="L492" s="2"/>
      <c r="M492" s="2"/>
      <c r="N492" s="2"/>
    </row>
    <row r="493" customFormat="false" ht="14.25" hidden="false" customHeight="false" outlineLevel="0" collapsed="false">
      <c r="A493" s="10" t="s">
        <v>532</v>
      </c>
      <c r="B493" s="10" t="s">
        <v>853</v>
      </c>
      <c r="C493" s="10" t="s">
        <v>506</v>
      </c>
      <c r="D493" s="14" t="b">
        <f aca="false">TRUE()</f>
        <v>1</v>
      </c>
      <c r="E493" s="11" t="n">
        <v>1033</v>
      </c>
      <c r="F493" s="13" t="n">
        <f aca="false">E493/SUMIFS($E$2:$E$783,$A$2:$A$783,A493)</f>
        <v>0.924798567591764</v>
      </c>
      <c r="G493" s="11" t="n">
        <v>0</v>
      </c>
      <c r="H493" s="18" t="n">
        <v>44952</v>
      </c>
      <c r="I493" s="18" t="n">
        <v>45404</v>
      </c>
      <c r="J493" s="10" t="s">
        <v>854</v>
      </c>
      <c r="K493" s="10" t="s">
        <v>1314</v>
      </c>
      <c r="L493" s="2"/>
      <c r="M493" s="2"/>
      <c r="N493" s="2"/>
    </row>
    <row r="494" customFormat="false" ht="14.25" hidden="false" customHeight="false" outlineLevel="0" collapsed="false">
      <c r="A494" s="4" t="s">
        <v>532</v>
      </c>
      <c r="B494" s="4" t="s">
        <v>853</v>
      </c>
      <c r="C494" s="4" t="s">
        <v>1295</v>
      </c>
      <c r="D494" s="8" t="b">
        <f aca="false">FALSE()</f>
        <v>0</v>
      </c>
      <c r="E494" s="5" t="n">
        <v>84</v>
      </c>
      <c r="F494" s="7" t="n">
        <f aca="false">E494/SUMIFS($E$2:$E$783,$A$2:$A$783,A494)</f>
        <v>0.0752014324082364</v>
      </c>
      <c r="G494" s="5" t="n">
        <v>0</v>
      </c>
      <c r="H494" s="17" t="n">
        <v>44929</v>
      </c>
      <c r="I494" s="17" t="n">
        <v>45053</v>
      </c>
      <c r="J494" s="4" t="s">
        <v>859</v>
      </c>
      <c r="K494" s="4" t="s">
        <v>1315</v>
      </c>
      <c r="L494" s="2"/>
      <c r="M494" s="2"/>
      <c r="N494" s="2"/>
    </row>
    <row r="495" customFormat="false" ht="14.25" hidden="false" customHeight="false" outlineLevel="0" collapsed="false">
      <c r="A495" s="10" t="s">
        <v>534</v>
      </c>
      <c r="B495" s="10" t="s">
        <v>853</v>
      </c>
      <c r="C495" s="10" t="s">
        <v>506</v>
      </c>
      <c r="D495" s="14" t="b">
        <f aca="false">TRUE()</f>
        <v>1</v>
      </c>
      <c r="E495" s="11" t="n">
        <v>954</v>
      </c>
      <c r="F495" s="13" t="n">
        <f aca="false">E495/SUMIFS($E$2:$E$783,$A$2:$A$783,A495)</f>
        <v>0.951146560319043</v>
      </c>
      <c r="G495" s="11" t="n">
        <v>0</v>
      </c>
      <c r="H495" s="18" t="n">
        <v>44966</v>
      </c>
      <c r="I495" s="18" t="n">
        <v>45718</v>
      </c>
      <c r="J495" s="10" t="s">
        <v>854</v>
      </c>
      <c r="K495" s="10" t="s">
        <v>1316</v>
      </c>
      <c r="L495" s="2"/>
      <c r="M495" s="2"/>
      <c r="N495" s="2"/>
    </row>
    <row r="496" customFormat="false" ht="14.25" hidden="false" customHeight="false" outlineLevel="0" collapsed="false">
      <c r="A496" s="4" t="s">
        <v>534</v>
      </c>
      <c r="B496" s="4" t="s">
        <v>853</v>
      </c>
      <c r="C496" s="4" t="s">
        <v>1295</v>
      </c>
      <c r="D496" s="8" t="b">
        <f aca="false">FALSE()</f>
        <v>0</v>
      </c>
      <c r="E496" s="5" t="n">
        <v>49</v>
      </c>
      <c r="F496" s="7" t="n">
        <f aca="false">E496/SUMIFS($E$2:$E$783,$A$2:$A$783,A496)</f>
        <v>0.0488534396809571</v>
      </c>
      <c r="G496" s="5" t="n">
        <v>0</v>
      </c>
      <c r="H496" s="17" t="n">
        <v>44929</v>
      </c>
      <c r="I496" s="17" t="n">
        <v>45028</v>
      </c>
      <c r="J496" s="4" t="s">
        <v>859</v>
      </c>
      <c r="K496" s="4" t="s">
        <v>1317</v>
      </c>
      <c r="L496" s="2"/>
      <c r="M496" s="2"/>
      <c r="N496" s="2"/>
    </row>
    <row r="497" customFormat="false" ht="14.25" hidden="false" customHeight="false" outlineLevel="0" collapsed="false">
      <c r="A497" s="10" t="s">
        <v>535</v>
      </c>
      <c r="B497" s="10" t="s">
        <v>853</v>
      </c>
      <c r="C497" s="10" t="s">
        <v>506</v>
      </c>
      <c r="D497" s="14" t="b">
        <f aca="false">TRUE()</f>
        <v>1</v>
      </c>
      <c r="E497" s="11" t="n">
        <v>863</v>
      </c>
      <c r="F497" s="13" t="n">
        <f aca="false">E497/SUMIFS($E$2:$E$783,$A$2:$A$783,A497)</f>
        <v>0.934994582881907</v>
      </c>
      <c r="G497" s="11" t="n">
        <v>0</v>
      </c>
      <c r="H497" s="18" t="n">
        <v>45050</v>
      </c>
      <c r="I497" s="18" t="n">
        <v>45876</v>
      </c>
      <c r="J497" s="10" t="s">
        <v>854</v>
      </c>
      <c r="K497" s="10" t="s">
        <v>1318</v>
      </c>
      <c r="L497" s="2"/>
      <c r="M497" s="2"/>
      <c r="N497" s="2"/>
    </row>
    <row r="498" customFormat="false" ht="14.25" hidden="false" customHeight="false" outlineLevel="0" collapsed="false">
      <c r="A498" s="4" t="s">
        <v>535</v>
      </c>
      <c r="B498" s="4" t="s">
        <v>853</v>
      </c>
      <c r="C498" s="4" t="s">
        <v>1295</v>
      </c>
      <c r="D498" s="8" t="b">
        <f aca="false">FALSE()</f>
        <v>0</v>
      </c>
      <c r="E498" s="5" t="n">
        <v>60</v>
      </c>
      <c r="F498" s="7" t="n">
        <f aca="false">E498/SUMIFS($E$2:$E$783,$A$2:$A$783,A498)</f>
        <v>0.0650054171180932</v>
      </c>
      <c r="G498" s="5" t="n">
        <v>0</v>
      </c>
      <c r="H498" s="17" t="n">
        <v>44930</v>
      </c>
      <c r="I498" s="17" t="n">
        <v>45051</v>
      </c>
      <c r="J498" s="4" t="s">
        <v>859</v>
      </c>
      <c r="K498" s="4" t="s">
        <v>1319</v>
      </c>
      <c r="L498" s="2"/>
      <c r="M498" s="2"/>
      <c r="N498" s="2"/>
    </row>
    <row r="499" customFormat="false" ht="14.25" hidden="false" customHeight="false" outlineLevel="0" collapsed="false">
      <c r="A499" s="10" t="s">
        <v>537</v>
      </c>
      <c r="B499" s="10" t="s">
        <v>853</v>
      </c>
      <c r="C499" s="10" t="s">
        <v>506</v>
      </c>
      <c r="D499" s="14" t="b">
        <f aca="false">TRUE()</f>
        <v>1</v>
      </c>
      <c r="E499" s="11" t="n">
        <v>661</v>
      </c>
      <c r="F499" s="13" t="n">
        <f aca="false">E499/SUMIFS($E$2:$E$783,$A$2:$A$783,A499)</f>
        <v>0.942938659058488</v>
      </c>
      <c r="G499" s="11" t="n">
        <v>221</v>
      </c>
      <c r="H499" s="18" t="n">
        <v>45045</v>
      </c>
      <c r="I499" s="18" t="n">
        <v>46294</v>
      </c>
      <c r="J499" s="10" t="s">
        <v>854</v>
      </c>
      <c r="K499" s="10" t="s">
        <v>1320</v>
      </c>
      <c r="L499" s="2"/>
      <c r="M499" s="2"/>
      <c r="N499" s="2"/>
    </row>
    <row r="500" customFormat="false" ht="14.25" hidden="false" customHeight="false" outlineLevel="0" collapsed="false">
      <c r="A500" s="4" t="s">
        <v>537</v>
      </c>
      <c r="B500" s="4" t="s">
        <v>853</v>
      </c>
      <c r="C500" s="4" t="s">
        <v>129</v>
      </c>
      <c r="D500" s="8" t="b">
        <f aca="false">FALSE()</f>
        <v>0</v>
      </c>
      <c r="E500" s="5" t="n">
        <v>40</v>
      </c>
      <c r="F500" s="7" t="n">
        <f aca="false">E500/SUMIFS($E$2:$E$783,$A$2:$A$783,A500)</f>
        <v>0.0570613409415121</v>
      </c>
      <c r="G500" s="5" t="n">
        <v>0</v>
      </c>
      <c r="H500" s="17" t="n">
        <v>44942</v>
      </c>
      <c r="I500" s="17" t="n">
        <v>45054</v>
      </c>
      <c r="J500" s="4" t="s">
        <v>859</v>
      </c>
      <c r="K500" s="4" t="s">
        <v>1321</v>
      </c>
      <c r="L500" s="2"/>
      <c r="M500" s="2"/>
      <c r="N500" s="2"/>
    </row>
    <row r="501" customFormat="false" ht="14.25" hidden="false" customHeight="false" outlineLevel="0" collapsed="false">
      <c r="A501" s="10" t="s">
        <v>538</v>
      </c>
      <c r="B501" s="10" t="s">
        <v>853</v>
      </c>
      <c r="C501" s="10" t="s">
        <v>506</v>
      </c>
      <c r="D501" s="14" t="b">
        <f aca="false">TRUE()</f>
        <v>1</v>
      </c>
      <c r="E501" s="11" t="n">
        <v>682</v>
      </c>
      <c r="F501" s="13" t="n">
        <f aca="false">E501/SUMIFS($E$2:$E$783,$A$2:$A$783,A501)</f>
        <v>0.975679542203147</v>
      </c>
      <c r="G501" s="11" t="n">
        <v>0</v>
      </c>
      <c r="H501" s="18" t="n">
        <v>45027</v>
      </c>
      <c r="I501" s="18" t="n">
        <v>45404</v>
      </c>
      <c r="J501" s="10" t="s">
        <v>854</v>
      </c>
      <c r="K501" s="10" t="s">
        <v>1322</v>
      </c>
      <c r="L501" s="2"/>
      <c r="M501" s="2"/>
      <c r="N501" s="2"/>
    </row>
    <row r="502" customFormat="false" ht="14.25" hidden="false" customHeight="false" outlineLevel="0" collapsed="false">
      <c r="A502" s="4" t="s">
        <v>538</v>
      </c>
      <c r="B502" s="4" t="s">
        <v>853</v>
      </c>
      <c r="C502" s="4" t="s">
        <v>1295</v>
      </c>
      <c r="D502" s="8" t="b">
        <f aca="false">FALSE()</f>
        <v>0</v>
      </c>
      <c r="E502" s="5" t="n">
        <v>17</v>
      </c>
      <c r="F502" s="7" t="n">
        <f aca="false">E502/SUMIFS($E$2:$E$783,$A$2:$A$783,A502)</f>
        <v>0.0243204577968526</v>
      </c>
      <c r="G502" s="5" t="n">
        <v>0</v>
      </c>
      <c r="H502" s="17" t="n">
        <v>44959</v>
      </c>
      <c r="I502" s="17" t="n">
        <v>45044</v>
      </c>
      <c r="J502" s="4" t="s">
        <v>859</v>
      </c>
      <c r="K502" s="4" t="s">
        <v>1323</v>
      </c>
      <c r="L502" s="2"/>
      <c r="M502" s="2"/>
      <c r="N502" s="2"/>
    </row>
    <row r="503" customFormat="false" ht="14.25" hidden="false" customHeight="false" outlineLevel="0" collapsed="false">
      <c r="A503" s="10" t="s">
        <v>542</v>
      </c>
      <c r="B503" s="10" t="s">
        <v>853</v>
      </c>
      <c r="C503" s="10" t="s">
        <v>506</v>
      </c>
      <c r="D503" s="14" t="b">
        <f aca="false">TRUE()</f>
        <v>1</v>
      </c>
      <c r="E503" s="11" t="n">
        <v>472</v>
      </c>
      <c r="F503" s="13" t="n">
        <f aca="false">E503/SUMIFS($E$2:$E$783,$A$2:$A$783,A503)</f>
        <v>0.797297297297297</v>
      </c>
      <c r="G503" s="11" t="n">
        <v>0</v>
      </c>
      <c r="H503" s="18" t="n">
        <v>45017</v>
      </c>
      <c r="I503" s="18" t="n">
        <v>45405</v>
      </c>
      <c r="J503" s="10" t="s">
        <v>854</v>
      </c>
      <c r="K503" s="10" t="s">
        <v>1324</v>
      </c>
      <c r="L503" s="2"/>
      <c r="M503" s="2"/>
      <c r="N503" s="2"/>
    </row>
    <row r="504" customFormat="false" ht="14.25" hidden="false" customHeight="false" outlineLevel="0" collapsed="false">
      <c r="A504" s="4" t="s">
        <v>542</v>
      </c>
      <c r="B504" s="4" t="s">
        <v>853</v>
      </c>
      <c r="C504" s="4" t="s">
        <v>1295</v>
      </c>
      <c r="D504" s="8" t="b">
        <f aca="false">FALSE()</f>
        <v>0</v>
      </c>
      <c r="E504" s="5" t="n">
        <v>120</v>
      </c>
      <c r="F504" s="7" t="n">
        <f aca="false">E504/SUMIFS($E$2:$E$783,$A$2:$A$783,A504)</f>
        <v>0.202702702702703</v>
      </c>
      <c r="G504" s="5" t="n">
        <v>0</v>
      </c>
      <c r="H504" s="17" t="n">
        <v>44929</v>
      </c>
      <c r="I504" s="17" t="n">
        <v>45054</v>
      </c>
      <c r="J504" s="4" t="s">
        <v>859</v>
      </c>
      <c r="K504" s="4" t="s">
        <v>1325</v>
      </c>
      <c r="L504" s="2"/>
      <c r="M504" s="2"/>
      <c r="N504" s="2"/>
    </row>
    <row r="505" customFormat="false" ht="14.25" hidden="false" customHeight="false" outlineLevel="0" collapsed="false">
      <c r="A505" s="10" t="s">
        <v>543</v>
      </c>
      <c r="B505" s="10" t="s">
        <v>853</v>
      </c>
      <c r="C505" s="10" t="s">
        <v>506</v>
      </c>
      <c r="D505" s="14" t="b">
        <f aca="false">TRUE()</f>
        <v>1</v>
      </c>
      <c r="E505" s="11" t="n">
        <v>590</v>
      </c>
      <c r="F505" s="13" t="n">
        <f aca="false">E505/SUMIFS($E$2:$E$783,$A$2:$A$783,A505)</f>
        <v>0.998307952622674</v>
      </c>
      <c r="G505" s="11" t="n">
        <v>154</v>
      </c>
      <c r="H505" s="18" t="n">
        <v>45075</v>
      </c>
      <c r="I505" s="18" t="n">
        <v>46296</v>
      </c>
      <c r="J505" s="10" t="s">
        <v>854</v>
      </c>
      <c r="K505" s="10" t="s">
        <v>1326</v>
      </c>
      <c r="L505" s="2"/>
      <c r="M505" s="2"/>
      <c r="N505" s="2"/>
    </row>
    <row r="506" customFormat="false" ht="14.25" hidden="false" customHeight="false" outlineLevel="0" collapsed="false">
      <c r="A506" s="4" t="s">
        <v>543</v>
      </c>
      <c r="B506" s="4" t="s">
        <v>853</v>
      </c>
      <c r="C506" s="4" t="s">
        <v>1295</v>
      </c>
      <c r="D506" s="8" t="b">
        <f aca="false">FALSE()</f>
        <v>0</v>
      </c>
      <c r="E506" s="5" t="n">
        <v>1</v>
      </c>
      <c r="F506" s="7" t="n">
        <f aca="false">E506/SUMIFS($E$2:$E$783,$A$2:$A$783,A506)</f>
        <v>0.00169204737732657</v>
      </c>
      <c r="G506" s="5" t="n">
        <v>0</v>
      </c>
      <c r="H506" s="17" t="n">
        <v>44998</v>
      </c>
      <c r="I506" s="17" t="n">
        <v>44998</v>
      </c>
      <c r="J506" s="4" t="s">
        <v>859</v>
      </c>
      <c r="K506" s="4" t="s">
        <v>1327</v>
      </c>
      <c r="L506" s="2"/>
      <c r="M506" s="2"/>
      <c r="N506" s="2"/>
    </row>
    <row r="507" customFormat="false" ht="14.25" hidden="false" customHeight="false" outlineLevel="0" collapsed="false">
      <c r="A507" s="10" t="s">
        <v>544</v>
      </c>
      <c r="B507" s="10" t="s">
        <v>853</v>
      </c>
      <c r="C507" s="10" t="s">
        <v>506</v>
      </c>
      <c r="D507" s="14" t="b">
        <f aca="false">TRUE()</f>
        <v>1</v>
      </c>
      <c r="E507" s="11" t="n">
        <v>466</v>
      </c>
      <c r="F507" s="13" t="n">
        <f aca="false">E507/SUMIFS($E$2:$E$783,$A$2:$A$783,A507)</f>
        <v>0.897880539499037</v>
      </c>
      <c r="G507" s="11" t="n">
        <v>0</v>
      </c>
      <c r="H507" s="18" t="n">
        <v>44991</v>
      </c>
      <c r="I507" s="18" t="n">
        <v>45404</v>
      </c>
      <c r="J507" s="10" t="s">
        <v>854</v>
      </c>
      <c r="K507" s="10" t="s">
        <v>1328</v>
      </c>
      <c r="L507" s="2"/>
      <c r="M507" s="2"/>
      <c r="N507" s="2"/>
    </row>
    <row r="508" customFormat="false" ht="14.25" hidden="false" customHeight="false" outlineLevel="0" collapsed="false">
      <c r="A508" s="4" t="s">
        <v>544</v>
      </c>
      <c r="B508" s="4" t="s">
        <v>853</v>
      </c>
      <c r="C508" s="4" t="s">
        <v>1295</v>
      </c>
      <c r="D508" s="8" t="b">
        <f aca="false">FALSE()</f>
        <v>0</v>
      </c>
      <c r="E508" s="5" t="n">
        <v>53</v>
      </c>
      <c r="F508" s="7" t="n">
        <f aca="false">E508/SUMIFS($E$2:$E$783,$A$2:$A$783,A508)</f>
        <v>0.102119460500963</v>
      </c>
      <c r="G508" s="5" t="n">
        <v>0</v>
      </c>
      <c r="H508" s="17" t="n">
        <v>44944</v>
      </c>
      <c r="I508" s="17" t="n">
        <v>45051</v>
      </c>
      <c r="J508" s="4" t="s">
        <v>859</v>
      </c>
      <c r="K508" s="4" t="s">
        <v>1329</v>
      </c>
      <c r="L508" s="2"/>
      <c r="M508" s="2"/>
      <c r="N508" s="2"/>
    </row>
    <row r="509" customFormat="false" ht="14.25" hidden="false" customHeight="false" outlineLevel="0" collapsed="false">
      <c r="A509" s="10" t="s">
        <v>545</v>
      </c>
      <c r="B509" s="10" t="s">
        <v>853</v>
      </c>
      <c r="C509" s="10" t="s">
        <v>506</v>
      </c>
      <c r="D509" s="14" t="b">
        <f aca="false">TRUE()</f>
        <v>1</v>
      </c>
      <c r="E509" s="11" t="n">
        <v>447</v>
      </c>
      <c r="F509" s="13" t="n">
        <f aca="false">E509/SUMIFS($E$2:$E$783,$A$2:$A$783,A509)</f>
        <v>0.881656804733728</v>
      </c>
      <c r="G509" s="11" t="n">
        <v>92</v>
      </c>
      <c r="H509" s="18" t="n">
        <v>45044</v>
      </c>
      <c r="I509" s="18" t="n">
        <v>46295</v>
      </c>
      <c r="J509" s="10" t="s">
        <v>854</v>
      </c>
      <c r="K509" s="10" t="s">
        <v>1330</v>
      </c>
      <c r="L509" s="2"/>
      <c r="M509" s="2"/>
      <c r="N509" s="2"/>
    </row>
    <row r="510" customFormat="false" ht="14.25" hidden="false" customHeight="false" outlineLevel="0" collapsed="false">
      <c r="A510" s="4" t="s">
        <v>545</v>
      </c>
      <c r="B510" s="4" t="s">
        <v>853</v>
      </c>
      <c r="C510" s="4" t="s">
        <v>1295</v>
      </c>
      <c r="D510" s="8" t="b">
        <f aca="false">FALSE()</f>
        <v>0</v>
      </c>
      <c r="E510" s="5" t="n">
        <v>60</v>
      </c>
      <c r="F510" s="7" t="n">
        <f aca="false">E510/SUMIFS($E$2:$E$783,$A$2:$A$783,A510)</f>
        <v>0.118343195266272</v>
      </c>
      <c r="G510" s="5" t="n">
        <v>0</v>
      </c>
      <c r="H510" s="17" t="n">
        <v>44937</v>
      </c>
      <c r="I510" s="17" t="n">
        <v>45051</v>
      </c>
      <c r="J510" s="4" t="s">
        <v>859</v>
      </c>
      <c r="K510" s="4" t="s">
        <v>1331</v>
      </c>
      <c r="L510" s="2"/>
      <c r="M510" s="2"/>
      <c r="N510" s="2"/>
    </row>
    <row r="511" customFormat="false" ht="14.25" hidden="false" customHeight="false" outlineLevel="0" collapsed="false">
      <c r="A511" s="10" t="s">
        <v>546</v>
      </c>
      <c r="B511" s="10" t="s">
        <v>853</v>
      </c>
      <c r="C511" s="10" t="s">
        <v>506</v>
      </c>
      <c r="D511" s="14" t="b">
        <f aca="false">TRUE()</f>
        <v>1</v>
      </c>
      <c r="E511" s="11" t="n">
        <v>438</v>
      </c>
      <c r="F511" s="13" t="n">
        <f aca="false">E511/SUMIFS($E$2:$E$783,$A$2:$A$783,A511)</f>
        <v>0.899383983572895</v>
      </c>
      <c r="G511" s="11" t="n">
        <v>120</v>
      </c>
      <c r="H511" s="18" t="n">
        <v>45036</v>
      </c>
      <c r="I511" s="18" t="n">
        <v>46293</v>
      </c>
      <c r="J511" s="10" t="s">
        <v>854</v>
      </c>
      <c r="K511" s="10" t="s">
        <v>1332</v>
      </c>
      <c r="L511" s="2"/>
      <c r="M511" s="2"/>
      <c r="N511" s="2"/>
    </row>
    <row r="512" customFormat="false" ht="14.25" hidden="false" customHeight="false" outlineLevel="0" collapsed="false">
      <c r="A512" s="4" t="s">
        <v>546</v>
      </c>
      <c r="B512" s="4" t="s">
        <v>853</v>
      </c>
      <c r="C512" s="4" t="s">
        <v>1295</v>
      </c>
      <c r="D512" s="8" t="b">
        <f aca="false">FALSE()</f>
        <v>0</v>
      </c>
      <c r="E512" s="5" t="n">
        <v>49</v>
      </c>
      <c r="F512" s="7" t="n">
        <f aca="false">E512/SUMIFS($E$2:$E$783,$A$2:$A$783,A512)</f>
        <v>0.100616016427105</v>
      </c>
      <c r="G512" s="5" t="n">
        <v>0</v>
      </c>
      <c r="H512" s="17" t="n">
        <v>44935</v>
      </c>
      <c r="I512" s="17" t="n">
        <v>45049</v>
      </c>
      <c r="J512" s="4" t="s">
        <v>859</v>
      </c>
      <c r="K512" s="4" t="s">
        <v>1333</v>
      </c>
      <c r="L512" s="2"/>
      <c r="M512" s="2"/>
      <c r="N512" s="2"/>
    </row>
    <row r="513" customFormat="false" ht="14.25" hidden="false" customHeight="false" outlineLevel="0" collapsed="false">
      <c r="A513" s="10" t="s">
        <v>547</v>
      </c>
      <c r="B513" s="10" t="s">
        <v>853</v>
      </c>
      <c r="C513" s="10" t="s">
        <v>506</v>
      </c>
      <c r="D513" s="14" t="b">
        <f aca="false">TRUE()</f>
        <v>1</v>
      </c>
      <c r="E513" s="11" t="n">
        <v>342</v>
      </c>
      <c r="F513" s="13" t="n">
        <f aca="false">E513/SUMIFS($E$2:$E$783,$A$2:$A$783,A513)</f>
        <v>0.793503480278422</v>
      </c>
      <c r="G513" s="11" t="n">
        <v>116</v>
      </c>
      <c r="H513" s="18" t="n">
        <v>45007</v>
      </c>
      <c r="I513" s="18" t="n">
        <v>46274</v>
      </c>
      <c r="J513" s="10" t="s">
        <v>854</v>
      </c>
      <c r="K513" s="10" t="s">
        <v>1334</v>
      </c>
      <c r="L513" s="2"/>
      <c r="M513" s="2"/>
      <c r="N513" s="2"/>
    </row>
    <row r="514" customFormat="false" ht="14.25" hidden="false" customHeight="false" outlineLevel="0" collapsed="false">
      <c r="A514" s="4" t="s">
        <v>547</v>
      </c>
      <c r="B514" s="4" t="s">
        <v>853</v>
      </c>
      <c r="C514" s="4" t="s">
        <v>1295</v>
      </c>
      <c r="D514" s="8" t="b">
        <f aca="false">FALSE()</f>
        <v>0</v>
      </c>
      <c r="E514" s="5" t="n">
        <v>89</v>
      </c>
      <c r="F514" s="7" t="n">
        <f aca="false">E514/SUMIFS($E$2:$E$783,$A$2:$A$783,A514)</f>
        <v>0.206496519721578</v>
      </c>
      <c r="G514" s="5" t="n">
        <v>0</v>
      </c>
      <c r="H514" s="17" t="n">
        <v>44956</v>
      </c>
      <c r="I514" s="17" t="n">
        <v>45043</v>
      </c>
      <c r="J514" s="4" t="s">
        <v>859</v>
      </c>
      <c r="K514" s="4" t="s">
        <v>1335</v>
      </c>
      <c r="L514" s="2"/>
      <c r="M514" s="2"/>
      <c r="N514" s="2"/>
    </row>
    <row r="515" customFormat="false" ht="14.25" hidden="false" customHeight="false" outlineLevel="0" collapsed="false">
      <c r="A515" s="10" t="s">
        <v>548</v>
      </c>
      <c r="B515" s="10" t="s">
        <v>853</v>
      </c>
      <c r="C515" s="10" t="s">
        <v>506</v>
      </c>
      <c r="D515" s="14" t="b">
        <f aca="false">TRUE()</f>
        <v>1</v>
      </c>
      <c r="E515" s="11" t="n">
        <v>377</v>
      </c>
      <c r="F515" s="13" t="n">
        <f aca="false">E515/SUMIFS($E$2:$E$783,$A$2:$A$783,A515)</f>
        <v>0.979220779220779</v>
      </c>
      <c r="G515" s="11" t="n">
        <v>125</v>
      </c>
      <c r="H515" s="18" t="n">
        <v>45026</v>
      </c>
      <c r="I515" s="18" t="n">
        <v>46296</v>
      </c>
      <c r="J515" s="10" t="s">
        <v>854</v>
      </c>
      <c r="K515" s="10" t="s">
        <v>1336</v>
      </c>
      <c r="L515" s="2"/>
      <c r="M515" s="2"/>
      <c r="N515" s="2"/>
    </row>
    <row r="516" customFormat="false" ht="14.25" hidden="false" customHeight="false" outlineLevel="0" collapsed="false">
      <c r="A516" s="4" t="s">
        <v>548</v>
      </c>
      <c r="B516" s="4" t="s">
        <v>853</v>
      </c>
      <c r="C516" s="4" t="s">
        <v>1295</v>
      </c>
      <c r="D516" s="8" t="b">
        <f aca="false">FALSE()</f>
        <v>0</v>
      </c>
      <c r="E516" s="5" t="n">
        <v>8</v>
      </c>
      <c r="F516" s="7" t="n">
        <f aca="false">E516/SUMIFS($E$2:$E$783,$A$2:$A$783,A516)</f>
        <v>0.0207792207792208</v>
      </c>
      <c r="G516" s="5" t="n">
        <v>0</v>
      </c>
      <c r="H516" s="17" t="n">
        <v>44936</v>
      </c>
      <c r="I516" s="17" t="n">
        <v>45049</v>
      </c>
      <c r="J516" s="4" t="s">
        <v>859</v>
      </c>
      <c r="K516" s="4" t="s">
        <v>1337</v>
      </c>
      <c r="L516" s="2"/>
      <c r="M516" s="2"/>
      <c r="N516" s="2"/>
    </row>
    <row r="517" customFormat="false" ht="14.25" hidden="false" customHeight="false" outlineLevel="0" collapsed="false">
      <c r="A517" s="10" t="s">
        <v>549</v>
      </c>
      <c r="B517" s="10" t="s">
        <v>853</v>
      </c>
      <c r="C517" s="10" t="s">
        <v>506</v>
      </c>
      <c r="D517" s="14" t="b">
        <f aca="false">TRUE()</f>
        <v>1</v>
      </c>
      <c r="E517" s="11" t="n">
        <v>291</v>
      </c>
      <c r="F517" s="13" t="n">
        <f aca="false">E517/SUMIFS($E$2:$E$783,$A$2:$A$783,A517)</f>
        <v>0.776</v>
      </c>
      <c r="G517" s="11" t="n">
        <v>0</v>
      </c>
      <c r="H517" s="18" t="n">
        <v>45050</v>
      </c>
      <c r="I517" s="18" t="n">
        <v>45399</v>
      </c>
      <c r="J517" s="10" t="s">
        <v>854</v>
      </c>
      <c r="K517" s="10" t="s">
        <v>1338</v>
      </c>
      <c r="L517" s="2"/>
      <c r="M517" s="2"/>
      <c r="N517" s="2"/>
    </row>
    <row r="518" customFormat="false" ht="14.25" hidden="false" customHeight="false" outlineLevel="0" collapsed="false">
      <c r="A518" s="4" t="s">
        <v>549</v>
      </c>
      <c r="B518" s="4" t="s">
        <v>853</v>
      </c>
      <c r="C518" s="4" t="s">
        <v>1295</v>
      </c>
      <c r="D518" s="8" t="b">
        <f aca="false">FALSE()</f>
        <v>0</v>
      </c>
      <c r="E518" s="5" t="n">
        <v>84</v>
      </c>
      <c r="F518" s="7" t="n">
        <f aca="false">E518/SUMIFS($E$2:$E$783,$A$2:$A$783,A518)</f>
        <v>0.224</v>
      </c>
      <c r="G518" s="5" t="n">
        <v>0</v>
      </c>
      <c r="H518" s="17" t="n">
        <v>44929</v>
      </c>
      <c r="I518" s="17" t="n">
        <v>45054</v>
      </c>
      <c r="J518" s="4" t="s">
        <v>859</v>
      </c>
      <c r="K518" s="4" t="s">
        <v>1339</v>
      </c>
      <c r="L518" s="2"/>
      <c r="M518" s="2"/>
      <c r="N518" s="2"/>
    </row>
    <row r="519" customFormat="false" ht="14.25" hidden="false" customHeight="false" outlineLevel="0" collapsed="false">
      <c r="A519" s="10" t="s">
        <v>551</v>
      </c>
      <c r="B519" s="10" t="s">
        <v>853</v>
      </c>
      <c r="C519" s="10" t="s">
        <v>506</v>
      </c>
      <c r="D519" s="14" t="b">
        <f aca="false">TRUE()</f>
        <v>1</v>
      </c>
      <c r="E519" s="11" t="n">
        <v>269</v>
      </c>
      <c r="F519" s="13" t="n">
        <f aca="false">E519/SUMIFS($E$2:$E$783,$A$2:$A$783,A519)</f>
        <v>0.802985074626866</v>
      </c>
      <c r="G519" s="11" t="n">
        <v>0</v>
      </c>
      <c r="H519" s="18" t="n">
        <v>45029</v>
      </c>
      <c r="I519" s="18" t="n">
        <v>45442</v>
      </c>
      <c r="J519" s="10" t="s">
        <v>854</v>
      </c>
      <c r="K519" s="10" t="s">
        <v>1340</v>
      </c>
      <c r="L519" s="2"/>
      <c r="M519" s="2"/>
      <c r="N519" s="2"/>
    </row>
    <row r="520" customFormat="false" ht="14.25" hidden="false" customHeight="false" outlineLevel="0" collapsed="false">
      <c r="A520" s="4" t="s">
        <v>551</v>
      </c>
      <c r="B520" s="4" t="s">
        <v>853</v>
      </c>
      <c r="C520" s="4" t="s">
        <v>1295</v>
      </c>
      <c r="D520" s="8" t="b">
        <f aca="false">FALSE()</f>
        <v>0</v>
      </c>
      <c r="E520" s="5" t="n">
        <v>66</v>
      </c>
      <c r="F520" s="7" t="n">
        <f aca="false">E520/SUMIFS($E$2:$E$783,$A$2:$A$783,A520)</f>
        <v>0.197014925373134</v>
      </c>
      <c r="G520" s="5" t="n">
        <v>0</v>
      </c>
      <c r="H520" s="17" t="n">
        <v>44930</v>
      </c>
      <c r="I520" s="17" t="n">
        <v>45054</v>
      </c>
      <c r="J520" s="4" t="s">
        <v>859</v>
      </c>
      <c r="K520" s="4" t="s">
        <v>1341</v>
      </c>
      <c r="L520" s="2"/>
      <c r="M520" s="2"/>
      <c r="N520" s="2"/>
    </row>
    <row r="521" customFormat="false" ht="14.25" hidden="false" customHeight="false" outlineLevel="0" collapsed="false">
      <c r="A521" s="10" t="s">
        <v>553</v>
      </c>
      <c r="B521" s="10" t="s">
        <v>853</v>
      </c>
      <c r="C521" s="10" t="s">
        <v>506</v>
      </c>
      <c r="D521" s="14" t="b">
        <f aca="false">TRUE()</f>
        <v>1</v>
      </c>
      <c r="E521" s="11" t="n">
        <v>172</v>
      </c>
      <c r="F521" s="13" t="n">
        <f aca="false">E521/SUMIFS($E$2:$E$783,$A$2:$A$783,A521)</f>
        <v>0.8</v>
      </c>
      <c r="G521" s="11" t="n">
        <v>0</v>
      </c>
      <c r="H521" s="18" t="n">
        <v>45051</v>
      </c>
      <c r="I521" s="18" t="n">
        <v>45398</v>
      </c>
      <c r="J521" s="10" t="s">
        <v>854</v>
      </c>
      <c r="K521" s="10" t="s">
        <v>1342</v>
      </c>
      <c r="L521" s="2"/>
      <c r="M521" s="2"/>
      <c r="N521" s="2"/>
    </row>
    <row r="522" customFormat="false" ht="14.25" hidden="false" customHeight="false" outlineLevel="0" collapsed="false">
      <c r="A522" s="4" t="s">
        <v>553</v>
      </c>
      <c r="B522" s="4" t="s">
        <v>853</v>
      </c>
      <c r="C522" s="4" t="s">
        <v>1295</v>
      </c>
      <c r="D522" s="8" t="b">
        <f aca="false">FALSE()</f>
        <v>0</v>
      </c>
      <c r="E522" s="5" t="n">
        <v>43</v>
      </c>
      <c r="F522" s="7" t="n">
        <f aca="false">E522/SUMIFS($E$2:$E$783,$A$2:$A$783,A522)</f>
        <v>0.2</v>
      </c>
      <c r="G522" s="5" t="n">
        <v>0</v>
      </c>
      <c r="H522" s="17" t="n">
        <v>44928</v>
      </c>
      <c r="I522" s="17" t="n">
        <v>45053</v>
      </c>
      <c r="J522" s="4" t="s">
        <v>859</v>
      </c>
      <c r="K522" s="4" t="s">
        <v>1343</v>
      </c>
      <c r="L522" s="2"/>
      <c r="M522" s="2"/>
      <c r="N522" s="2"/>
    </row>
    <row r="523" customFormat="false" ht="14.25" hidden="false" customHeight="false" outlineLevel="0" collapsed="false">
      <c r="A523" s="10" t="s">
        <v>554</v>
      </c>
      <c r="B523" s="10" t="s">
        <v>853</v>
      </c>
      <c r="C523" s="10" t="s">
        <v>506</v>
      </c>
      <c r="D523" s="14" t="b">
        <f aca="false">TRUE()</f>
        <v>1</v>
      </c>
      <c r="E523" s="11" t="n">
        <v>146</v>
      </c>
      <c r="F523" s="13" t="n">
        <f aca="false">E523/SUMIFS($E$2:$E$783,$A$2:$A$783,A523)</f>
        <v>0.797814207650273</v>
      </c>
      <c r="G523" s="11" t="n">
        <v>0</v>
      </c>
      <c r="H523" s="18" t="n">
        <v>45037</v>
      </c>
      <c r="I523" s="18" t="n">
        <v>45398</v>
      </c>
      <c r="J523" s="10" t="s">
        <v>854</v>
      </c>
      <c r="K523" s="10" t="s">
        <v>1344</v>
      </c>
      <c r="L523" s="2"/>
      <c r="M523" s="2"/>
      <c r="N523" s="2"/>
    </row>
    <row r="524" customFormat="false" ht="14.25" hidden="false" customHeight="false" outlineLevel="0" collapsed="false">
      <c r="A524" s="4" t="s">
        <v>554</v>
      </c>
      <c r="B524" s="4" t="s">
        <v>853</v>
      </c>
      <c r="C524" s="4" t="s">
        <v>1295</v>
      </c>
      <c r="D524" s="8" t="b">
        <f aca="false">FALSE()</f>
        <v>0</v>
      </c>
      <c r="E524" s="5" t="n">
        <v>37</v>
      </c>
      <c r="F524" s="7" t="n">
        <f aca="false">E524/SUMIFS($E$2:$E$783,$A$2:$A$783,A524)</f>
        <v>0.202185792349727</v>
      </c>
      <c r="G524" s="5" t="n">
        <v>0</v>
      </c>
      <c r="H524" s="17" t="n">
        <v>44935</v>
      </c>
      <c r="I524" s="17" t="n">
        <v>45054</v>
      </c>
      <c r="J524" s="4" t="s">
        <v>859</v>
      </c>
      <c r="K524" s="4" t="s">
        <v>1345</v>
      </c>
      <c r="L524" s="2"/>
      <c r="M524" s="2"/>
      <c r="N524" s="2"/>
    </row>
    <row r="525" customFormat="false" ht="14.25" hidden="false" customHeight="false" outlineLevel="0" collapsed="false">
      <c r="A525" s="10" t="s">
        <v>556</v>
      </c>
      <c r="B525" s="10" t="s">
        <v>853</v>
      </c>
      <c r="C525" s="10" t="s">
        <v>506</v>
      </c>
      <c r="D525" s="14" t="b">
        <f aca="false">TRUE()</f>
        <v>1</v>
      </c>
      <c r="E525" s="11" t="n">
        <v>128</v>
      </c>
      <c r="F525" s="13" t="n">
        <f aca="false">E525/SUMIFS($E$2:$E$783,$A$2:$A$783,A525)</f>
        <v>0.859060402684564</v>
      </c>
      <c r="G525" s="11" t="n">
        <v>0</v>
      </c>
      <c r="H525" s="18" t="n">
        <v>45057</v>
      </c>
      <c r="I525" s="18" t="n">
        <v>45400</v>
      </c>
      <c r="J525" s="10" t="s">
        <v>854</v>
      </c>
      <c r="K525" s="10" t="s">
        <v>1346</v>
      </c>
      <c r="L525" s="2"/>
      <c r="M525" s="2"/>
      <c r="N525" s="2"/>
    </row>
    <row r="526" customFormat="false" ht="14.25" hidden="false" customHeight="false" outlineLevel="0" collapsed="false">
      <c r="A526" s="4" t="s">
        <v>556</v>
      </c>
      <c r="B526" s="4" t="s">
        <v>853</v>
      </c>
      <c r="C526" s="4" t="s">
        <v>1295</v>
      </c>
      <c r="D526" s="8" t="b">
        <f aca="false">FALSE()</f>
        <v>0</v>
      </c>
      <c r="E526" s="5" t="n">
        <v>21</v>
      </c>
      <c r="F526" s="7" t="n">
        <f aca="false">E526/SUMIFS($E$2:$E$783,$A$2:$A$783,A526)</f>
        <v>0.140939597315436</v>
      </c>
      <c r="G526" s="5" t="n">
        <v>0</v>
      </c>
      <c r="H526" s="17" t="n">
        <v>44960</v>
      </c>
      <c r="I526" s="17" t="n">
        <v>45054</v>
      </c>
      <c r="J526" s="4" t="s">
        <v>859</v>
      </c>
      <c r="K526" s="4" t="s">
        <v>1347</v>
      </c>
      <c r="L526" s="2"/>
      <c r="M526" s="2"/>
      <c r="N526" s="2"/>
    </row>
    <row r="527" customFormat="false" ht="14.25" hidden="false" customHeight="false" outlineLevel="0" collapsed="false">
      <c r="A527" s="10" t="s">
        <v>560</v>
      </c>
      <c r="B527" s="10" t="s">
        <v>853</v>
      </c>
      <c r="C527" s="10" t="s">
        <v>506</v>
      </c>
      <c r="D527" s="14" t="b">
        <f aca="false">TRUE()</f>
        <v>1</v>
      </c>
      <c r="E527" s="11" t="n">
        <v>65</v>
      </c>
      <c r="F527" s="13" t="n">
        <f aca="false">E527/SUMIFS($E$2:$E$783,$A$2:$A$783,A527)</f>
        <v>0.68421052631579</v>
      </c>
      <c r="G527" s="11" t="n">
        <v>0</v>
      </c>
      <c r="H527" s="18" t="n">
        <v>45098</v>
      </c>
      <c r="I527" s="18" t="n">
        <v>45723</v>
      </c>
      <c r="J527" s="10" t="s">
        <v>854</v>
      </c>
      <c r="K527" s="10" t="s">
        <v>1348</v>
      </c>
      <c r="L527" s="2"/>
      <c r="M527" s="2"/>
      <c r="N527" s="2"/>
    </row>
    <row r="528" customFormat="false" ht="14.25" hidden="false" customHeight="false" outlineLevel="0" collapsed="false">
      <c r="A528" s="4" t="s">
        <v>560</v>
      </c>
      <c r="B528" s="4" t="s">
        <v>853</v>
      </c>
      <c r="C528" s="4" t="s">
        <v>258</v>
      </c>
      <c r="D528" s="8" t="b">
        <f aca="false">FALSE()</f>
        <v>0</v>
      </c>
      <c r="E528" s="5" t="n">
        <v>26</v>
      </c>
      <c r="F528" s="7" t="n">
        <f aca="false">E528/SUMIFS($E$2:$E$783,$A$2:$A$783,A528)</f>
        <v>0.273684210526316</v>
      </c>
      <c r="G528" s="5" t="n">
        <v>0</v>
      </c>
      <c r="H528" s="17" t="n">
        <v>45001</v>
      </c>
      <c r="I528" s="17" t="n">
        <v>45085</v>
      </c>
      <c r="J528" s="4" t="s">
        <v>863</v>
      </c>
      <c r="K528" s="4" t="s">
        <v>1349</v>
      </c>
      <c r="L528" s="2"/>
      <c r="M528" s="2"/>
      <c r="N528" s="2"/>
    </row>
    <row r="529" customFormat="false" ht="14.25" hidden="false" customHeight="false" outlineLevel="0" collapsed="false">
      <c r="A529" s="4" t="s">
        <v>560</v>
      </c>
      <c r="B529" s="4" t="s">
        <v>853</v>
      </c>
      <c r="C529" s="4" t="s">
        <v>809</v>
      </c>
      <c r="D529" s="8" t="b">
        <f aca="false">FALSE()</f>
        <v>0</v>
      </c>
      <c r="E529" s="5" t="n">
        <v>4</v>
      </c>
      <c r="F529" s="7" t="n">
        <f aca="false">E529/SUMIFS($E$2:$E$783,$A$2:$A$783,A529)</f>
        <v>0.0421052631578947</v>
      </c>
      <c r="G529" s="5" t="n">
        <v>0</v>
      </c>
      <c r="H529" s="17" t="n">
        <v>45033</v>
      </c>
      <c r="I529" s="17" t="n">
        <v>45050</v>
      </c>
      <c r="J529" s="4" t="s">
        <v>859</v>
      </c>
      <c r="K529" s="4" t="s">
        <v>1350</v>
      </c>
      <c r="L529" s="2"/>
      <c r="M529" s="2"/>
      <c r="N529" s="2"/>
    </row>
    <row r="530" customFormat="false" ht="14.25" hidden="false" customHeight="false" outlineLevel="0" collapsed="false">
      <c r="A530" s="10" t="s">
        <v>563</v>
      </c>
      <c r="B530" s="10" t="s">
        <v>853</v>
      </c>
      <c r="C530" s="10" t="s">
        <v>506</v>
      </c>
      <c r="D530" s="14" t="b">
        <f aca="false">TRUE()</f>
        <v>1</v>
      </c>
      <c r="E530" s="11" t="n">
        <v>56</v>
      </c>
      <c r="F530" s="13" t="n">
        <f aca="false">E530/SUMIFS($E$2:$E$783,$A$2:$A$783,A530)</f>
        <v>0.848484848484849</v>
      </c>
      <c r="G530" s="11" t="n">
        <v>0</v>
      </c>
      <c r="H530" s="18" t="n">
        <v>45002</v>
      </c>
      <c r="I530" s="18" t="n">
        <v>45719</v>
      </c>
      <c r="J530" s="10" t="s">
        <v>854</v>
      </c>
      <c r="K530" s="10" t="s">
        <v>1351</v>
      </c>
      <c r="L530" s="2"/>
      <c r="M530" s="2"/>
      <c r="N530" s="2"/>
    </row>
    <row r="531" customFormat="false" ht="14.25" hidden="false" customHeight="false" outlineLevel="0" collapsed="false">
      <c r="A531" s="4" t="s">
        <v>563</v>
      </c>
      <c r="B531" s="4" t="s">
        <v>853</v>
      </c>
      <c r="C531" s="4" t="s">
        <v>1295</v>
      </c>
      <c r="D531" s="8" t="b">
        <f aca="false">FALSE()</f>
        <v>0</v>
      </c>
      <c r="E531" s="5" t="n">
        <v>10</v>
      </c>
      <c r="F531" s="7" t="n">
        <f aca="false">E531/SUMIFS($E$2:$E$783,$A$2:$A$783,A531)</f>
        <v>0.151515151515152</v>
      </c>
      <c r="G531" s="5" t="n">
        <v>0</v>
      </c>
      <c r="H531" s="17" t="n">
        <v>44942</v>
      </c>
      <c r="I531" s="17" t="n">
        <v>45020</v>
      </c>
      <c r="J531" s="4" t="s">
        <v>859</v>
      </c>
      <c r="K531" s="4" t="s">
        <v>1352</v>
      </c>
      <c r="L531" s="2"/>
      <c r="M531" s="2"/>
      <c r="N531" s="2"/>
    </row>
    <row r="532" customFormat="false" ht="14.25" hidden="false" customHeight="false" outlineLevel="0" collapsed="false">
      <c r="A532" s="10" t="s">
        <v>564</v>
      </c>
      <c r="B532" s="10" t="s">
        <v>853</v>
      </c>
      <c r="C532" s="10" t="s">
        <v>506</v>
      </c>
      <c r="D532" s="14" t="b">
        <f aca="false">TRUE()</f>
        <v>1</v>
      </c>
      <c r="E532" s="11" t="n">
        <v>39</v>
      </c>
      <c r="F532" s="13" t="n">
        <f aca="false">E532/SUMIFS($E$2:$E$783,$A$2:$A$783,A532)</f>
        <v>0.78</v>
      </c>
      <c r="G532" s="11" t="n">
        <v>0</v>
      </c>
      <c r="H532" s="18" t="n">
        <v>44977</v>
      </c>
      <c r="I532" s="18" t="n">
        <v>45404</v>
      </c>
      <c r="J532" s="10" t="s">
        <v>854</v>
      </c>
      <c r="K532" s="10" t="s">
        <v>1353</v>
      </c>
      <c r="L532" s="2"/>
      <c r="M532" s="2"/>
      <c r="N532" s="2"/>
    </row>
    <row r="533" customFormat="false" ht="14.25" hidden="false" customHeight="false" outlineLevel="0" collapsed="false">
      <c r="A533" s="4" t="s">
        <v>564</v>
      </c>
      <c r="B533" s="4" t="s">
        <v>853</v>
      </c>
      <c r="C533" s="4" t="s">
        <v>1295</v>
      </c>
      <c r="D533" s="8" t="b">
        <f aca="false">FALSE()</f>
        <v>0</v>
      </c>
      <c r="E533" s="5" t="n">
        <v>11</v>
      </c>
      <c r="F533" s="7" t="n">
        <f aca="false">E533/SUMIFS($E$2:$E$783,$A$2:$A$783,A533)</f>
        <v>0.22</v>
      </c>
      <c r="G533" s="5" t="n">
        <v>0</v>
      </c>
      <c r="H533" s="17" t="n">
        <v>44935</v>
      </c>
      <c r="I533" s="17" t="n">
        <v>45049</v>
      </c>
      <c r="J533" s="4" t="s">
        <v>859</v>
      </c>
      <c r="K533" s="4" t="s">
        <v>1354</v>
      </c>
      <c r="L533" s="2"/>
      <c r="M533" s="2"/>
      <c r="N533" s="2"/>
    </row>
    <row r="534" customFormat="false" ht="14.25" hidden="false" customHeight="false" outlineLevel="0" collapsed="false">
      <c r="A534" s="10" t="s">
        <v>567</v>
      </c>
      <c r="B534" s="10" t="s">
        <v>853</v>
      </c>
      <c r="C534" s="10" t="s">
        <v>568</v>
      </c>
      <c r="D534" s="14" t="b">
        <f aca="false">TRUE()</f>
        <v>1</v>
      </c>
      <c r="E534" s="11" t="n">
        <v>94987</v>
      </c>
      <c r="F534" s="13" t="n">
        <f aca="false">E534/SUMIFS($E$2:$E$783,$A$2:$A$783,A534)</f>
        <v>0.927353848557035</v>
      </c>
      <c r="G534" s="11" t="n">
        <v>23454</v>
      </c>
      <c r="H534" s="18" t="n">
        <v>44928</v>
      </c>
      <c r="I534" s="18" t="n">
        <v>46296</v>
      </c>
      <c r="J534" s="10" t="s">
        <v>854</v>
      </c>
      <c r="K534" s="10" t="s">
        <v>936</v>
      </c>
      <c r="L534" s="2"/>
      <c r="M534" s="2"/>
      <c r="N534" s="2"/>
    </row>
    <row r="535" customFormat="false" ht="14.25" hidden="false" customHeight="false" outlineLevel="0" collapsed="false">
      <c r="A535" s="4" t="s">
        <v>567</v>
      </c>
      <c r="B535" s="4" t="s">
        <v>853</v>
      </c>
      <c r="C535" s="4" t="s">
        <v>820</v>
      </c>
      <c r="D535" s="8" t="b">
        <f aca="false">FALSE()</f>
        <v>0</v>
      </c>
      <c r="E535" s="5" t="n">
        <v>7441</v>
      </c>
      <c r="F535" s="7" t="n">
        <f aca="false">E535/SUMIFS($E$2:$E$783,$A$2:$A$783,A535)</f>
        <v>0.0726461514429648</v>
      </c>
      <c r="G535" s="5" t="n">
        <v>0</v>
      </c>
      <c r="H535" s="17" t="n">
        <v>44928</v>
      </c>
      <c r="I535" s="17" t="n">
        <v>45055</v>
      </c>
      <c r="J535" s="4" t="s">
        <v>856</v>
      </c>
      <c r="K535" s="4" t="s">
        <v>937</v>
      </c>
      <c r="L535" s="2"/>
      <c r="M535" s="2"/>
      <c r="N535" s="2"/>
    </row>
    <row r="536" customFormat="false" ht="14.25" hidden="false" customHeight="false" outlineLevel="0" collapsed="false">
      <c r="A536" s="10" t="s">
        <v>569</v>
      </c>
      <c r="B536" s="10" t="s">
        <v>853</v>
      </c>
      <c r="C536" s="10" t="s">
        <v>568</v>
      </c>
      <c r="D536" s="14" t="b">
        <f aca="false">TRUE()</f>
        <v>1</v>
      </c>
      <c r="E536" s="11" t="n">
        <v>34494</v>
      </c>
      <c r="F536" s="13" t="n">
        <f aca="false">E536/SUMIFS($E$2:$E$783,$A$2:$A$783,A536)</f>
        <v>0.939634976845546</v>
      </c>
      <c r="G536" s="11" t="n">
        <v>9256</v>
      </c>
      <c r="H536" s="18" t="n">
        <v>44930</v>
      </c>
      <c r="I536" s="18" t="n">
        <v>46296</v>
      </c>
      <c r="J536" s="10" t="s">
        <v>854</v>
      </c>
      <c r="K536" s="10" t="s">
        <v>1208</v>
      </c>
      <c r="L536" s="2"/>
      <c r="M536" s="2"/>
      <c r="N536" s="2"/>
    </row>
    <row r="537" customFormat="false" ht="14.25" hidden="false" customHeight="false" outlineLevel="0" collapsed="false">
      <c r="A537" s="4" t="s">
        <v>569</v>
      </c>
      <c r="B537" s="4" t="s">
        <v>853</v>
      </c>
      <c r="C537" s="4" t="s">
        <v>820</v>
      </c>
      <c r="D537" s="8" t="b">
        <f aca="false">FALSE()</f>
        <v>0</v>
      </c>
      <c r="E537" s="5" t="n">
        <v>2216</v>
      </c>
      <c r="F537" s="7" t="n">
        <f aca="false">E537/SUMIFS($E$2:$E$783,$A$2:$A$783,A537)</f>
        <v>0.0603650231544538</v>
      </c>
      <c r="G537" s="5" t="n">
        <v>0</v>
      </c>
      <c r="H537" s="17" t="n">
        <v>44928</v>
      </c>
      <c r="I537" s="17" t="n">
        <v>45055</v>
      </c>
      <c r="J537" s="4" t="s">
        <v>856</v>
      </c>
      <c r="K537" s="4" t="s">
        <v>889</v>
      </c>
      <c r="L537" s="2"/>
      <c r="M537" s="2"/>
      <c r="N537" s="2"/>
    </row>
    <row r="538" customFormat="false" ht="14.25" hidden="false" customHeight="false" outlineLevel="0" collapsed="false">
      <c r="A538" s="10" t="s">
        <v>570</v>
      </c>
      <c r="B538" s="10" t="s">
        <v>853</v>
      </c>
      <c r="C538" s="10" t="s">
        <v>568</v>
      </c>
      <c r="D538" s="14" t="b">
        <f aca="false">TRUE()</f>
        <v>1</v>
      </c>
      <c r="E538" s="11" t="n">
        <v>34109</v>
      </c>
      <c r="F538" s="13" t="n">
        <f aca="false">E538/SUMIFS($E$2:$E$783,$A$2:$A$783,A538)</f>
        <v>0.939408961965353</v>
      </c>
      <c r="G538" s="11" t="n">
        <v>9327</v>
      </c>
      <c r="H538" s="18" t="n">
        <v>44929</v>
      </c>
      <c r="I538" s="18" t="n">
        <v>46296</v>
      </c>
      <c r="J538" s="10" t="s">
        <v>854</v>
      </c>
      <c r="K538" s="10" t="s">
        <v>930</v>
      </c>
      <c r="L538" s="2"/>
      <c r="M538" s="2"/>
      <c r="N538" s="2"/>
    </row>
    <row r="539" customFormat="false" ht="14.25" hidden="false" customHeight="false" outlineLevel="0" collapsed="false">
      <c r="A539" s="4" t="s">
        <v>570</v>
      </c>
      <c r="B539" s="4" t="s">
        <v>853</v>
      </c>
      <c r="C539" s="4" t="s">
        <v>820</v>
      </c>
      <c r="D539" s="8" t="b">
        <f aca="false">FALSE()</f>
        <v>0</v>
      </c>
      <c r="E539" s="5" t="n">
        <v>2200</v>
      </c>
      <c r="F539" s="7" t="n">
        <f aca="false">E539/SUMIFS($E$2:$E$783,$A$2:$A$783,A539)</f>
        <v>0.0605910380346471</v>
      </c>
      <c r="G539" s="5" t="n">
        <v>0</v>
      </c>
      <c r="H539" s="17" t="n">
        <v>44928</v>
      </c>
      <c r="I539" s="17" t="n">
        <v>45055</v>
      </c>
      <c r="J539" s="4" t="s">
        <v>856</v>
      </c>
      <c r="K539" s="4" t="s">
        <v>931</v>
      </c>
      <c r="L539" s="2"/>
      <c r="M539" s="2"/>
      <c r="N539" s="2"/>
    </row>
    <row r="540" customFormat="false" ht="14.25" hidden="false" customHeight="false" outlineLevel="0" collapsed="false">
      <c r="A540" s="10" t="s">
        <v>571</v>
      </c>
      <c r="B540" s="10" t="s">
        <v>853</v>
      </c>
      <c r="C540" s="10" t="s">
        <v>568</v>
      </c>
      <c r="D540" s="14" t="b">
        <f aca="false">TRUE()</f>
        <v>1</v>
      </c>
      <c r="E540" s="11" t="n">
        <v>31082</v>
      </c>
      <c r="F540" s="13" t="n">
        <f aca="false">E540/SUMIFS($E$2:$E$783,$A$2:$A$783,A540)</f>
        <v>0.934431650783153</v>
      </c>
      <c r="G540" s="11" t="n">
        <v>6896</v>
      </c>
      <c r="H540" s="18" t="n">
        <v>44930</v>
      </c>
      <c r="I540" s="18" t="n">
        <v>46296</v>
      </c>
      <c r="J540" s="10" t="s">
        <v>854</v>
      </c>
      <c r="K540" s="10" t="s">
        <v>1208</v>
      </c>
      <c r="L540" s="2"/>
      <c r="M540" s="2"/>
      <c r="N540" s="2"/>
    </row>
    <row r="541" customFormat="false" ht="14.25" hidden="false" customHeight="false" outlineLevel="0" collapsed="false">
      <c r="A541" s="4" t="s">
        <v>571</v>
      </c>
      <c r="B541" s="4" t="s">
        <v>853</v>
      </c>
      <c r="C541" s="4" t="s">
        <v>820</v>
      </c>
      <c r="D541" s="8" t="b">
        <f aca="false">FALSE()</f>
        <v>0</v>
      </c>
      <c r="E541" s="5" t="n">
        <v>2181</v>
      </c>
      <c r="F541" s="7" t="n">
        <f aca="false">E541/SUMIFS($E$2:$E$783,$A$2:$A$783,A541)</f>
        <v>0.0655683492168476</v>
      </c>
      <c r="G541" s="5" t="n">
        <v>0</v>
      </c>
      <c r="H541" s="17" t="n">
        <v>44928</v>
      </c>
      <c r="I541" s="17" t="n">
        <v>45055</v>
      </c>
      <c r="J541" s="4" t="s">
        <v>856</v>
      </c>
      <c r="K541" s="4" t="s">
        <v>889</v>
      </c>
      <c r="L541" s="2"/>
      <c r="M541" s="2"/>
      <c r="N541" s="2"/>
    </row>
    <row r="542" customFormat="false" ht="14.25" hidden="false" customHeight="false" outlineLevel="0" collapsed="false">
      <c r="A542" s="10" t="s">
        <v>572</v>
      </c>
      <c r="B542" s="10" t="s">
        <v>853</v>
      </c>
      <c r="C542" s="10" t="s">
        <v>568</v>
      </c>
      <c r="D542" s="14" t="b">
        <f aca="false">TRUE()</f>
        <v>1</v>
      </c>
      <c r="E542" s="11" t="n">
        <v>28493</v>
      </c>
      <c r="F542" s="13" t="n">
        <f aca="false">E542/SUMIFS($E$2:$E$783,$A$2:$A$783,A542)</f>
        <v>0.933584534731324</v>
      </c>
      <c r="G542" s="11" t="n">
        <v>6165</v>
      </c>
      <c r="H542" s="18" t="n">
        <v>44932</v>
      </c>
      <c r="I542" s="18" t="n">
        <v>46296</v>
      </c>
      <c r="J542" s="10" t="s">
        <v>854</v>
      </c>
      <c r="K542" s="10" t="s">
        <v>1223</v>
      </c>
      <c r="L542" s="2"/>
      <c r="M542" s="2"/>
      <c r="N542" s="2"/>
    </row>
    <row r="543" customFormat="false" ht="14.25" hidden="false" customHeight="false" outlineLevel="0" collapsed="false">
      <c r="A543" s="4" t="s">
        <v>572</v>
      </c>
      <c r="B543" s="4" t="s">
        <v>853</v>
      </c>
      <c r="C543" s="4" t="s">
        <v>820</v>
      </c>
      <c r="D543" s="8" t="b">
        <f aca="false">FALSE()</f>
        <v>0</v>
      </c>
      <c r="E543" s="5" t="n">
        <v>2027</v>
      </c>
      <c r="F543" s="7" t="n">
        <f aca="false">E543/SUMIFS($E$2:$E$783,$A$2:$A$783,A543)</f>
        <v>0.0664154652686763</v>
      </c>
      <c r="G543" s="5" t="n">
        <v>0</v>
      </c>
      <c r="H543" s="17" t="n">
        <v>44928</v>
      </c>
      <c r="I543" s="17" t="n">
        <v>45055</v>
      </c>
      <c r="J543" s="4" t="s">
        <v>856</v>
      </c>
      <c r="K543" s="4" t="s">
        <v>1224</v>
      </c>
      <c r="L543" s="2"/>
      <c r="M543" s="2"/>
      <c r="N543" s="2"/>
    </row>
    <row r="544" customFormat="false" ht="14.25" hidden="false" customHeight="false" outlineLevel="0" collapsed="false">
      <c r="A544" s="10" t="s">
        <v>573</v>
      </c>
      <c r="B544" s="10" t="s">
        <v>853</v>
      </c>
      <c r="C544" s="10" t="s">
        <v>568</v>
      </c>
      <c r="D544" s="14" t="b">
        <f aca="false">TRUE()</f>
        <v>1</v>
      </c>
      <c r="E544" s="11" t="n">
        <v>14929</v>
      </c>
      <c r="F544" s="13" t="n">
        <f aca="false">E544/SUMIFS($E$2:$E$783,$A$2:$A$783,A544)</f>
        <v>0.948354719857706</v>
      </c>
      <c r="G544" s="11" t="n">
        <v>4158</v>
      </c>
      <c r="H544" s="18" t="n">
        <v>44937</v>
      </c>
      <c r="I544" s="18" t="n">
        <v>46296</v>
      </c>
      <c r="J544" s="10" t="s">
        <v>854</v>
      </c>
      <c r="K544" s="10" t="s">
        <v>1226</v>
      </c>
      <c r="L544" s="2"/>
      <c r="M544" s="2"/>
      <c r="N544" s="2"/>
    </row>
    <row r="545" customFormat="false" ht="14.25" hidden="false" customHeight="false" outlineLevel="0" collapsed="false">
      <c r="A545" s="4" t="s">
        <v>573</v>
      </c>
      <c r="B545" s="4" t="s">
        <v>853</v>
      </c>
      <c r="C545" s="4" t="s">
        <v>820</v>
      </c>
      <c r="D545" s="8" t="b">
        <f aca="false">FALSE()</f>
        <v>0</v>
      </c>
      <c r="E545" s="5" t="n">
        <v>813</v>
      </c>
      <c r="F545" s="7" t="n">
        <f aca="false">E545/SUMIFS($E$2:$E$783,$A$2:$A$783,A545)</f>
        <v>0.0516452801422945</v>
      </c>
      <c r="G545" s="5" t="n">
        <v>0</v>
      </c>
      <c r="H545" s="17" t="n">
        <v>44928</v>
      </c>
      <c r="I545" s="17" t="n">
        <v>45055</v>
      </c>
      <c r="J545" s="4" t="s">
        <v>856</v>
      </c>
      <c r="K545" s="4" t="s">
        <v>1227</v>
      </c>
      <c r="L545" s="2"/>
      <c r="M545" s="2"/>
      <c r="N545" s="2"/>
    </row>
    <row r="546" customFormat="false" ht="14.25" hidden="false" customHeight="false" outlineLevel="0" collapsed="false">
      <c r="A546" s="10" t="s">
        <v>574</v>
      </c>
      <c r="B546" s="10" t="s">
        <v>853</v>
      </c>
      <c r="C546" s="10" t="s">
        <v>568</v>
      </c>
      <c r="D546" s="14" t="b">
        <f aca="false">TRUE()</f>
        <v>1</v>
      </c>
      <c r="E546" s="11" t="n">
        <v>11669</v>
      </c>
      <c r="F546" s="13" t="n">
        <f aca="false">E546/SUMIFS($E$2:$E$783,$A$2:$A$783,A546)</f>
        <v>0.926037616062217</v>
      </c>
      <c r="G546" s="11" t="n">
        <v>3124</v>
      </c>
      <c r="H546" s="18" t="n">
        <v>44930</v>
      </c>
      <c r="I546" s="18" t="n">
        <v>46296</v>
      </c>
      <c r="J546" s="10" t="s">
        <v>854</v>
      </c>
      <c r="K546" s="10" t="s">
        <v>1208</v>
      </c>
      <c r="L546" s="2"/>
      <c r="M546" s="2"/>
      <c r="N546" s="2"/>
    </row>
    <row r="547" customFormat="false" ht="14.25" hidden="false" customHeight="false" outlineLevel="0" collapsed="false">
      <c r="A547" s="4" t="s">
        <v>574</v>
      </c>
      <c r="B547" s="4" t="s">
        <v>853</v>
      </c>
      <c r="C547" s="4" t="s">
        <v>820</v>
      </c>
      <c r="D547" s="8" t="b">
        <f aca="false">FALSE()</f>
        <v>0</v>
      </c>
      <c r="E547" s="5" t="n">
        <v>932</v>
      </c>
      <c r="F547" s="7" t="n">
        <f aca="false">E547/SUMIFS($E$2:$E$783,$A$2:$A$783,A547)</f>
        <v>0.0739623839377827</v>
      </c>
      <c r="G547" s="5" t="n">
        <v>0</v>
      </c>
      <c r="H547" s="17" t="n">
        <v>44928</v>
      </c>
      <c r="I547" s="17" t="n">
        <v>45055</v>
      </c>
      <c r="J547" s="4" t="s">
        <v>856</v>
      </c>
      <c r="K547" s="4" t="s">
        <v>889</v>
      </c>
      <c r="L547" s="2"/>
      <c r="M547" s="2"/>
      <c r="N547" s="2"/>
    </row>
    <row r="548" customFormat="false" ht="14.25" hidden="false" customHeight="false" outlineLevel="0" collapsed="false">
      <c r="A548" s="10" t="s">
        <v>575</v>
      </c>
      <c r="B548" s="10" t="s">
        <v>853</v>
      </c>
      <c r="C548" s="10" t="s">
        <v>568</v>
      </c>
      <c r="D548" s="14" t="b">
        <f aca="false">TRUE()</f>
        <v>1</v>
      </c>
      <c r="E548" s="11" t="n">
        <v>9428</v>
      </c>
      <c r="F548" s="13" t="n">
        <f aca="false">E548/SUMIFS($E$2:$E$783,$A$2:$A$783,A548)</f>
        <v>0.939324499352396</v>
      </c>
      <c r="G548" s="11" t="n">
        <v>2638</v>
      </c>
      <c r="H548" s="18" t="n">
        <v>44930</v>
      </c>
      <c r="I548" s="18" t="n">
        <v>46296</v>
      </c>
      <c r="J548" s="10" t="s">
        <v>854</v>
      </c>
      <c r="K548" s="10" t="s">
        <v>1208</v>
      </c>
      <c r="L548" s="2"/>
      <c r="M548" s="2"/>
      <c r="N548" s="2"/>
    </row>
    <row r="549" customFormat="false" ht="14.25" hidden="false" customHeight="false" outlineLevel="0" collapsed="false">
      <c r="A549" s="4" t="s">
        <v>575</v>
      </c>
      <c r="B549" s="4" t="s">
        <v>853</v>
      </c>
      <c r="C549" s="4" t="s">
        <v>820</v>
      </c>
      <c r="D549" s="8" t="b">
        <f aca="false">FALSE()</f>
        <v>0</v>
      </c>
      <c r="E549" s="5" t="n">
        <v>609</v>
      </c>
      <c r="F549" s="7" t="n">
        <f aca="false">E549/SUMIFS($E$2:$E$783,$A$2:$A$783,A549)</f>
        <v>0.0606755006476039</v>
      </c>
      <c r="G549" s="5" t="n">
        <v>0</v>
      </c>
      <c r="H549" s="17" t="n">
        <v>44928</v>
      </c>
      <c r="I549" s="17" t="n">
        <v>45054</v>
      </c>
      <c r="J549" s="4" t="s">
        <v>856</v>
      </c>
      <c r="K549" s="4" t="s">
        <v>1232</v>
      </c>
      <c r="L549" s="2"/>
      <c r="M549" s="2"/>
      <c r="N549" s="2"/>
    </row>
    <row r="550" customFormat="false" ht="14.25" hidden="false" customHeight="false" outlineLevel="0" collapsed="false">
      <c r="A550" s="10" t="s">
        <v>576</v>
      </c>
      <c r="B550" s="10" t="s">
        <v>853</v>
      </c>
      <c r="C550" s="10" t="s">
        <v>568</v>
      </c>
      <c r="D550" s="14" t="b">
        <f aca="false">TRUE()</f>
        <v>1</v>
      </c>
      <c r="E550" s="11" t="n">
        <v>2473</v>
      </c>
      <c r="F550" s="13" t="n">
        <f aca="false">E550/SUMIFS($E$2:$E$783,$A$2:$A$783,A550)</f>
        <v>0.964132553606238</v>
      </c>
      <c r="G550" s="11" t="n">
        <v>584</v>
      </c>
      <c r="H550" s="18" t="n">
        <v>44929</v>
      </c>
      <c r="I550" s="18" t="n">
        <v>46296</v>
      </c>
      <c r="J550" s="10" t="s">
        <v>854</v>
      </c>
      <c r="K550" s="10" t="s">
        <v>930</v>
      </c>
      <c r="L550" s="2"/>
      <c r="M550" s="2"/>
      <c r="N550" s="2"/>
    </row>
    <row r="551" customFormat="false" ht="14.25" hidden="false" customHeight="false" outlineLevel="0" collapsed="false">
      <c r="A551" s="4" t="s">
        <v>576</v>
      </c>
      <c r="B551" s="4" t="s">
        <v>853</v>
      </c>
      <c r="C551" s="4" t="s">
        <v>820</v>
      </c>
      <c r="D551" s="8" t="b">
        <f aca="false">FALSE()</f>
        <v>0</v>
      </c>
      <c r="E551" s="5" t="n">
        <v>92</v>
      </c>
      <c r="F551" s="7" t="n">
        <f aca="false">E551/SUMIFS($E$2:$E$783,$A$2:$A$783,A551)</f>
        <v>0.0358674463937622</v>
      </c>
      <c r="G551" s="5" t="n">
        <v>0</v>
      </c>
      <c r="H551" s="17" t="n">
        <v>44930</v>
      </c>
      <c r="I551" s="17" t="n">
        <v>45054</v>
      </c>
      <c r="J551" s="4" t="s">
        <v>856</v>
      </c>
      <c r="K551" s="4" t="s">
        <v>1355</v>
      </c>
      <c r="L551" s="2"/>
      <c r="M551" s="2"/>
      <c r="N551" s="2"/>
    </row>
    <row r="552" customFormat="false" ht="14.25" hidden="false" customHeight="false" outlineLevel="0" collapsed="false">
      <c r="A552" s="10" t="s">
        <v>577</v>
      </c>
      <c r="B552" s="10" t="s">
        <v>853</v>
      </c>
      <c r="C552" s="10" t="s">
        <v>568</v>
      </c>
      <c r="D552" s="14" t="b">
        <f aca="false">TRUE()</f>
        <v>1</v>
      </c>
      <c r="E552" s="11" t="n">
        <v>1496</v>
      </c>
      <c r="F552" s="13" t="n">
        <f aca="false">E552/SUMIFS($E$2:$E$783,$A$2:$A$783,A552)</f>
        <v>0.935</v>
      </c>
      <c r="G552" s="11" t="n">
        <v>258</v>
      </c>
      <c r="H552" s="18" t="n">
        <v>45050</v>
      </c>
      <c r="I552" s="18" t="n">
        <v>46296</v>
      </c>
      <c r="J552" s="10" t="s">
        <v>854</v>
      </c>
      <c r="K552" s="10" t="s">
        <v>1356</v>
      </c>
      <c r="L552" s="2"/>
      <c r="M552" s="2"/>
      <c r="N552" s="2"/>
    </row>
    <row r="553" customFormat="false" ht="14.25" hidden="false" customHeight="false" outlineLevel="0" collapsed="false">
      <c r="A553" s="4" t="s">
        <v>577</v>
      </c>
      <c r="B553" s="4" t="s">
        <v>853</v>
      </c>
      <c r="C553" s="4" t="s">
        <v>820</v>
      </c>
      <c r="D553" s="8" t="b">
        <f aca="false">FALSE()</f>
        <v>0</v>
      </c>
      <c r="E553" s="5" t="n">
        <v>104</v>
      </c>
      <c r="F553" s="7" t="n">
        <f aca="false">E553/SUMIFS($E$2:$E$783,$A$2:$A$783,A553)</f>
        <v>0.065</v>
      </c>
      <c r="G553" s="5" t="n">
        <v>0</v>
      </c>
      <c r="H553" s="17" t="n">
        <v>44928</v>
      </c>
      <c r="I553" s="17" t="n">
        <v>45050</v>
      </c>
      <c r="J553" s="4" t="s">
        <v>856</v>
      </c>
      <c r="K553" s="4" t="s">
        <v>1357</v>
      </c>
      <c r="L553" s="2"/>
      <c r="M553" s="2"/>
      <c r="N553" s="2"/>
    </row>
    <row r="554" customFormat="false" ht="14.25" hidden="false" customHeight="false" outlineLevel="0" collapsed="false">
      <c r="A554" s="10" t="s">
        <v>578</v>
      </c>
      <c r="B554" s="10" t="s">
        <v>853</v>
      </c>
      <c r="C554" s="10" t="s">
        <v>568</v>
      </c>
      <c r="D554" s="14" t="b">
        <f aca="false">TRUE()</f>
        <v>1</v>
      </c>
      <c r="E554" s="11" t="n">
        <v>1405</v>
      </c>
      <c r="F554" s="13" t="n">
        <f aca="false">E554/SUMIFS($E$2:$E$783,$A$2:$A$783,A554)</f>
        <v>0.91710182767624</v>
      </c>
      <c r="G554" s="11" t="n">
        <v>341</v>
      </c>
      <c r="H554" s="18" t="n">
        <v>44929</v>
      </c>
      <c r="I554" s="18" t="n">
        <v>46296</v>
      </c>
      <c r="J554" s="10" t="s">
        <v>854</v>
      </c>
      <c r="K554" s="10" t="s">
        <v>930</v>
      </c>
      <c r="L554" s="2"/>
      <c r="M554" s="2"/>
      <c r="N554" s="2"/>
    </row>
    <row r="555" customFormat="false" ht="14.25" hidden="false" customHeight="false" outlineLevel="0" collapsed="false">
      <c r="A555" s="4" t="s">
        <v>578</v>
      </c>
      <c r="B555" s="4" t="s">
        <v>853</v>
      </c>
      <c r="C555" s="4" t="s">
        <v>820</v>
      </c>
      <c r="D555" s="8" t="b">
        <f aca="false">FALSE()</f>
        <v>0</v>
      </c>
      <c r="E555" s="5" t="n">
        <v>127</v>
      </c>
      <c r="F555" s="7" t="n">
        <f aca="false">E555/SUMIFS($E$2:$E$783,$A$2:$A$783,A555)</f>
        <v>0.0828981723237598</v>
      </c>
      <c r="G555" s="5" t="n">
        <v>0</v>
      </c>
      <c r="H555" s="17" t="n">
        <v>44929</v>
      </c>
      <c r="I555" s="17" t="n">
        <v>45053</v>
      </c>
      <c r="J555" s="4" t="s">
        <v>856</v>
      </c>
      <c r="K555" s="4" t="s">
        <v>1358</v>
      </c>
      <c r="L555" s="2"/>
      <c r="M555" s="2"/>
      <c r="N555" s="2"/>
    </row>
    <row r="556" customFormat="false" ht="14.25" hidden="false" customHeight="false" outlineLevel="0" collapsed="false">
      <c r="A556" s="10" t="s">
        <v>579</v>
      </c>
      <c r="B556" s="10" t="s">
        <v>853</v>
      </c>
      <c r="C556" s="10" t="s">
        <v>568</v>
      </c>
      <c r="D556" s="14" t="b">
        <f aca="false">TRUE()</f>
        <v>1</v>
      </c>
      <c r="E556" s="11" t="n">
        <v>779</v>
      </c>
      <c r="F556" s="13" t="n">
        <f aca="false">E556/SUMIFS($E$2:$E$783,$A$2:$A$783,A556)</f>
        <v>0.934052757793765</v>
      </c>
      <c r="G556" s="11" t="n">
        <v>154</v>
      </c>
      <c r="H556" s="18" t="n">
        <v>44929</v>
      </c>
      <c r="I556" s="18" t="n">
        <v>46295</v>
      </c>
      <c r="J556" s="10" t="s">
        <v>854</v>
      </c>
      <c r="K556" s="10" t="s">
        <v>1359</v>
      </c>
      <c r="L556" s="2"/>
      <c r="M556" s="2"/>
      <c r="N556" s="2"/>
    </row>
    <row r="557" customFormat="false" ht="14.25" hidden="false" customHeight="false" outlineLevel="0" collapsed="false">
      <c r="A557" s="4" t="s">
        <v>579</v>
      </c>
      <c r="B557" s="4" t="s">
        <v>853</v>
      </c>
      <c r="C557" s="4" t="s">
        <v>820</v>
      </c>
      <c r="D557" s="8" t="b">
        <f aca="false">FALSE()</f>
        <v>0</v>
      </c>
      <c r="E557" s="5" t="n">
        <v>55</v>
      </c>
      <c r="F557" s="7" t="n">
        <f aca="false">E557/SUMIFS($E$2:$E$783,$A$2:$A$783,A557)</f>
        <v>0.065947242206235</v>
      </c>
      <c r="G557" s="5" t="n">
        <v>0</v>
      </c>
      <c r="H557" s="17" t="n">
        <v>44932</v>
      </c>
      <c r="I557" s="17" t="n">
        <v>45055</v>
      </c>
      <c r="J557" s="4" t="s">
        <v>856</v>
      </c>
      <c r="K557" s="4" t="s">
        <v>1360</v>
      </c>
      <c r="L557" s="2"/>
      <c r="M557" s="2"/>
      <c r="N557" s="2"/>
    </row>
    <row r="558" customFormat="false" ht="14.25" hidden="false" customHeight="false" outlineLevel="0" collapsed="false">
      <c r="A558" s="10" t="s">
        <v>580</v>
      </c>
      <c r="B558" s="10" t="s">
        <v>853</v>
      </c>
      <c r="C558" s="10" t="s">
        <v>568</v>
      </c>
      <c r="D558" s="14" t="b">
        <f aca="false">TRUE()</f>
        <v>1</v>
      </c>
      <c r="E558" s="11" t="n">
        <v>605</v>
      </c>
      <c r="F558" s="13" t="n">
        <f aca="false">E558/SUMIFS($E$2:$E$783,$A$2:$A$783,A558)</f>
        <v>0.930769230769231</v>
      </c>
      <c r="G558" s="11" t="n">
        <v>128</v>
      </c>
      <c r="H558" s="18" t="n">
        <v>44932</v>
      </c>
      <c r="I558" s="18" t="n">
        <v>46288</v>
      </c>
      <c r="J558" s="10" t="s">
        <v>854</v>
      </c>
      <c r="K558" s="10" t="s">
        <v>1361</v>
      </c>
      <c r="L558" s="2"/>
      <c r="M558" s="2"/>
      <c r="N558" s="2"/>
    </row>
    <row r="559" customFormat="false" ht="14.25" hidden="false" customHeight="false" outlineLevel="0" collapsed="false">
      <c r="A559" s="4" t="s">
        <v>580</v>
      </c>
      <c r="B559" s="4" t="s">
        <v>853</v>
      </c>
      <c r="C559" s="4" t="s">
        <v>820</v>
      </c>
      <c r="D559" s="8" t="b">
        <f aca="false">FALSE()</f>
        <v>0</v>
      </c>
      <c r="E559" s="5" t="n">
        <v>45</v>
      </c>
      <c r="F559" s="7" t="n">
        <f aca="false">E559/SUMIFS($E$2:$E$783,$A$2:$A$783,A559)</f>
        <v>0.0692307692307692</v>
      </c>
      <c r="G559" s="5" t="n">
        <v>0</v>
      </c>
      <c r="H559" s="17" t="n">
        <v>44929</v>
      </c>
      <c r="I559" s="17" t="n">
        <v>45054</v>
      </c>
      <c r="J559" s="4" t="s">
        <v>856</v>
      </c>
      <c r="K559" s="4" t="s">
        <v>1362</v>
      </c>
      <c r="L559" s="2"/>
      <c r="M559" s="2"/>
      <c r="N559" s="2"/>
    </row>
    <row r="560" customFormat="false" ht="14.25" hidden="false" customHeight="false" outlineLevel="0" collapsed="false">
      <c r="A560" s="10" t="s">
        <v>581</v>
      </c>
      <c r="B560" s="10" t="s">
        <v>853</v>
      </c>
      <c r="C560" s="10" t="s">
        <v>568</v>
      </c>
      <c r="D560" s="14" t="b">
        <f aca="false">TRUE()</f>
        <v>1</v>
      </c>
      <c r="E560" s="11" t="n">
        <v>567</v>
      </c>
      <c r="F560" s="13" t="n">
        <f aca="false">E560/SUMIFS($E$2:$E$783,$A$2:$A$783,A560)</f>
        <v>0.937190082644628</v>
      </c>
      <c r="G560" s="11" t="n">
        <v>116</v>
      </c>
      <c r="H560" s="18" t="n">
        <v>45035</v>
      </c>
      <c r="I560" s="18" t="n">
        <v>46295</v>
      </c>
      <c r="J560" s="10" t="s">
        <v>854</v>
      </c>
      <c r="K560" s="10" t="s">
        <v>1363</v>
      </c>
      <c r="L560" s="2"/>
      <c r="M560" s="2"/>
      <c r="N560" s="2"/>
    </row>
    <row r="561" customFormat="false" ht="14.25" hidden="false" customHeight="false" outlineLevel="0" collapsed="false">
      <c r="A561" s="4" t="s">
        <v>581</v>
      </c>
      <c r="B561" s="4" t="s">
        <v>853</v>
      </c>
      <c r="C561" s="4" t="s">
        <v>820</v>
      </c>
      <c r="D561" s="8" t="b">
        <f aca="false">FALSE()</f>
        <v>0</v>
      </c>
      <c r="E561" s="5" t="n">
        <v>38</v>
      </c>
      <c r="F561" s="7" t="n">
        <f aca="false">E561/SUMIFS($E$2:$E$783,$A$2:$A$783,A561)</f>
        <v>0.0628099173553719</v>
      </c>
      <c r="G561" s="5" t="n">
        <v>0</v>
      </c>
      <c r="H561" s="17" t="n">
        <v>44929</v>
      </c>
      <c r="I561" s="17" t="n">
        <v>45034</v>
      </c>
      <c r="J561" s="4" t="s">
        <v>856</v>
      </c>
      <c r="K561" s="4" t="s">
        <v>1364</v>
      </c>
      <c r="L561" s="2"/>
      <c r="M561" s="2"/>
      <c r="N561" s="2"/>
    </row>
    <row r="562" customFormat="false" ht="14.25" hidden="false" customHeight="false" outlineLevel="0" collapsed="false">
      <c r="A562" s="10" t="s">
        <v>582</v>
      </c>
      <c r="B562" s="10" t="s">
        <v>853</v>
      </c>
      <c r="C562" s="10" t="s">
        <v>568</v>
      </c>
      <c r="D562" s="14" t="b">
        <f aca="false">TRUE()</f>
        <v>1</v>
      </c>
      <c r="E562" s="11" t="n">
        <v>436</v>
      </c>
      <c r="F562" s="13" t="n">
        <f aca="false">E562/SUMIFS($E$2:$E$783,$A$2:$A$783,A562)</f>
        <v>0.915966386554622</v>
      </c>
      <c r="G562" s="11" t="n">
        <v>117</v>
      </c>
      <c r="H562" s="18" t="n">
        <v>45040</v>
      </c>
      <c r="I562" s="18" t="n">
        <v>46294</v>
      </c>
      <c r="J562" s="10" t="s">
        <v>854</v>
      </c>
      <c r="K562" s="10" t="s">
        <v>1365</v>
      </c>
      <c r="L562" s="2"/>
      <c r="M562" s="2"/>
      <c r="N562" s="2"/>
    </row>
    <row r="563" customFormat="false" ht="14.25" hidden="false" customHeight="false" outlineLevel="0" collapsed="false">
      <c r="A563" s="4" t="s">
        <v>582</v>
      </c>
      <c r="B563" s="4" t="s">
        <v>853</v>
      </c>
      <c r="C563" s="4" t="s">
        <v>820</v>
      </c>
      <c r="D563" s="8" t="b">
        <f aca="false">FALSE()</f>
        <v>0</v>
      </c>
      <c r="E563" s="5" t="n">
        <v>40</v>
      </c>
      <c r="F563" s="7" t="n">
        <f aca="false">E563/SUMIFS($E$2:$E$783,$A$2:$A$783,A563)</f>
        <v>0.0840336134453782</v>
      </c>
      <c r="G563" s="5" t="n">
        <v>0</v>
      </c>
      <c r="H563" s="17" t="n">
        <v>44930</v>
      </c>
      <c r="I563" s="17" t="n">
        <v>45055</v>
      </c>
      <c r="J563" s="4" t="s">
        <v>856</v>
      </c>
      <c r="K563" s="4" t="s">
        <v>1366</v>
      </c>
      <c r="L563" s="2"/>
      <c r="M563" s="2"/>
      <c r="N563" s="2"/>
    </row>
    <row r="564" customFormat="false" ht="14.25" hidden="false" customHeight="false" outlineLevel="0" collapsed="false">
      <c r="A564" s="10" t="s">
        <v>583</v>
      </c>
      <c r="B564" s="10" t="s">
        <v>853</v>
      </c>
      <c r="C564" s="10" t="s">
        <v>568</v>
      </c>
      <c r="D564" s="14" t="b">
        <f aca="false">TRUE()</f>
        <v>1</v>
      </c>
      <c r="E564" s="11" t="n">
        <v>471</v>
      </c>
      <c r="F564" s="13" t="n">
        <f aca="false">E564/SUMIFS($E$2:$E$783,$A$2:$A$783,A564)</f>
        <v>0.993670886075949</v>
      </c>
      <c r="G564" s="11" t="n">
        <v>96</v>
      </c>
      <c r="H564" s="18" t="n">
        <v>45061</v>
      </c>
      <c r="I564" s="18" t="n">
        <v>46277</v>
      </c>
      <c r="J564" s="10" t="s">
        <v>854</v>
      </c>
      <c r="K564" s="10" t="s">
        <v>1367</v>
      </c>
      <c r="L564" s="2"/>
      <c r="M564" s="2"/>
      <c r="N564" s="2"/>
    </row>
    <row r="565" customFormat="false" ht="14.25" hidden="false" customHeight="false" outlineLevel="0" collapsed="false">
      <c r="A565" s="4" t="s">
        <v>583</v>
      </c>
      <c r="B565" s="4" t="s">
        <v>853</v>
      </c>
      <c r="C565" s="4" t="s">
        <v>820</v>
      </c>
      <c r="D565" s="8" t="b">
        <f aca="false">FALSE()</f>
        <v>0</v>
      </c>
      <c r="E565" s="5" t="n">
        <v>3</v>
      </c>
      <c r="F565" s="7" t="n">
        <f aca="false">E565/SUMIFS($E$2:$E$783,$A$2:$A$783,A565)</f>
        <v>0.00632911392405063</v>
      </c>
      <c r="G565" s="5" t="n">
        <v>0</v>
      </c>
      <c r="H565" s="17" t="n">
        <v>45043</v>
      </c>
      <c r="I565" s="17" t="n">
        <v>45047</v>
      </c>
      <c r="J565" s="4" t="s">
        <v>856</v>
      </c>
      <c r="K565" s="4" t="s">
        <v>1368</v>
      </c>
      <c r="L565" s="2"/>
      <c r="M565" s="2"/>
      <c r="N565" s="2"/>
    </row>
    <row r="566" customFormat="false" ht="14.25" hidden="false" customHeight="false" outlineLevel="0" collapsed="false">
      <c r="A566" s="10" t="s">
        <v>584</v>
      </c>
      <c r="B566" s="10" t="s">
        <v>853</v>
      </c>
      <c r="C566" s="10" t="s">
        <v>568</v>
      </c>
      <c r="D566" s="14" t="b">
        <f aca="false">TRUE()</f>
        <v>1</v>
      </c>
      <c r="E566" s="11" t="n">
        <v>404</v>
      </c>
      <c r="F566" s="13" t="n">
        <f aca="false">E566/SUMIFS($E$2:$E$783,$A$2:$A$783,A566)</f>
        <v>0.926605504587156</v>
      </c>
      <c r="G566" s="11" t="n">
        <v>17</v>
      </c>
      <c r="H566" s="18" t="n">
        <v>45043</v>
      </c>
      <c r="I566" s="18" t="n">
        <v>46290</v>
      </c>
      <c r="J566" s="10" t="s">
        <v>854</v>
      </c>
      <c r="K566" s="10" t="s">
        <v>1092</v>
      </c>
      <c r="L566" s="2"/>
      <c r="M566" s="2"/>
      <c r="N566" s="2"/>
    </row>
    <row r="567" customFormat="false" ht="14.25" hidden="false" customHeight="false" outlineLevel="0" collapsed="false">
      <c r="A567" s="4" t="s">
        <v>584</v>
      </c>
      <c r="B567" s="4" t="s">
        <v>853</v>
      </c>
      <c r="C567" s="4" t="s">
        <v>820</v>
      </c>
      <c r="D567" s="8" t="b">
        <f aca="false">FALSE()</f>
        <v>0</v>
      </c>
      <c r="E567" s="5" t="n">
        <v>32</v>
      </c>
      <c r="F567" s="7" t="n">
        <f aca="false">E567/SUMIFS($E$2:$E$783,$A$2:$A$783,A567)</f>
        <v>0.073394495412844</v>
      </c>
      <c r="G567" s="5" t="n">
        <v>0</v>
      </c>
      <c r="H567" s="17" t="n">
        <v>44928</v>
      </c>
      <c r="I567" s="17" t="n">
        <v>45044</v>
      </c>
      <c r="J567" s="4" t="s">
        <v>856</v>
      </c>
      <c r="K567" s="4" t="s">
        <v>1369</v>
      </c>
      <c r="L567" s="2"/>
      <c r="M567" s="2"/>
      <c r="N567" s="2"/>
    </row>
    <row r="568" customFormat="false" ht="14.25" hidden="false" customHeight="false" outlineLevel="0" collapsed="false">
      <c r="A568" s="10" t="s">
        <v>586</v>
      </c>
      <c r="B568" s="10" t="s">
        <v>853</v>
      </c>
      <c r="C568" s="10" t="s">
        <v>568</v>
      </c>
      <c r="D568" s="14" t="b">
        <f aca="false">TRUE()</f>
        <v>1</v>
      </c>
      <c r="E568" s="11" t="n">
        <v>398</v>
      </c>
      <c r="F568" s="13" t="n">
        <f aca="false">E568/SUMIFS($E$2:$E$783,$A$2:$A$783,A568)</f>
        <v>0.995</v>
      </c>
      <c r="G568" s="11" t="n">
        <v>107</v>
      </c>
      <c r="H568" s="18" t="n">
        <v>44936</v>
      </c>
      <c r="I568" s="18" t="n">
        <v>46293</v>
      </c>
      <c r="J568" s="10" t="s">
        <v>854</v>
      </c>
      <c r="K568" s="10" t="s">
        <v>1370</v>
      </c>
      <c r="L568" s="2"/>
      <c r="M568" s="2"/>
      <c r="N568" s="2"/>
    </row>
    <row r="569" customFormat="false" ht="14.25" hidden="false" customHeight="false" outlineLevel="0" collapsed="false">
      <c r="A569" s="4" t="s">
        <v>586</v>
      </c>
      <c r="B569" s="4" t="s">
        <v>853</v>
      </c>
      <c r="C569" s="4" t="s">
        <v>820</v>
      </c>
      <c r="D569" s="8" t="b">
        <f aca="false">FALSE()</f>
        <v>0</v>
      </c>
      <c r="E569" s="5" t="n">
        <v>2</v>
      </c>
      <c r="F569" s="7" t="n">
        <f aca="false">E569/SUMIFS($E$2:$E$783,$A$2:$A$783,A569)</f>
        <v>0.005</v>
      </c>
      <c r="G569" s="5" t="n">
        <v>0</v>
      </c>
      <c r="H569" s="17" t="n">
        <v>44953</v>
      </c>
      <c r="I569" s="17" t="n">
        <v>44988</v>
      </c>
      <c r="J569" s="4" t="s">
        <v>856</v>
      </c>
      <c r="K569" s="4" t="s">
        <v>1371</v>
      </c>
      <c r="L569" s="2"/>
      <c r="M569" s="2"/>
      <c r="N569" s="2"/>
    </row>
    <row r="570" customFormat="false" ht="14.25" hidden="false" customHeight="false" outlineLevel="0" collapsed="false">
      <c r="A570" s="10" t="s">
        <v>587</v>
      </c>
      <c r="B570" s="10" t="s">
        <v>853</v>
      </c>
      <c r="C570" s="10" t="s">
        <v>568</v>
      </c>
      <c r="D570" s="14" t="b">
        <f aca="false">TRUE()</f>
        <v>1</v>
      </c>
      <c r="E570" s="11" t="n">
        <v>341</v>
      </c>
      <c r="F570" s="13" t="n">
        <f aca="false">E570/SUMIFS($E$2:$E$783,$A$2:$A$783,A570)</f>
        <v>0.997076023391813</v>
      </c>
      <c r="G570" s="11" t="n">
        <v>64</v>
      </c>
      <c r="H570" s="18" t="n">
        <v>44928</v>
      </c>
      <c r="I570" s="18" t="n">
        <v>46289</v>
      </c>
      <c r="J570" s="10" t="s">
        <v>854</v>
      </c>
      <c r="K570" s="10" t="s">
        <v>1372</v>
      </c>
      <c r="L570" s="2"/>
      <c r="M570" s="2"/>
      <c r="N570" s="2"/>
    </row>
    <row r="571" customFormat="false" ht="14.25" hidden="false" customHeight="false" outlineLevel="0" collapsed="false">
      <c r="A571" s="4" t="s">
        <v>587</v>
      </c>
      <c r="B571" s="4" t="s">
        <v>853</v>
      </c>
      <c r="C571" s="4" t="s">
        <v>820</v>
      </c>
      <c r="D571" s="8" t="b">
        <f aca="false">FALSE()</f>
        <v>0</v>
      </c>
      <c r="E571" s="5" t="n">
        <v>1</v>
      </c>
      <c r="F571" s="7" t="n">
        <f aca="false">E571/SUMIFS($E$2:$E$783,$A$2:$A$783,A571)</f>
        <v>0.00292397660818713</v>
      </c>
      <c r="G571" s="5" t="n">
        <v>0</v>
      </c>
      <c r="H571" s="17" t="n">
        <v>45042</v>
      </c>
      <c r="I571" s="17" t="n">
        <v>45042</v>
      </c>
      <c r="J571" s="4" t="s">
        <v>856</v>
      </c>
      <c r="K571" s="4" t="s">
        <v>1207</v>
      </c>
      <c r="L571" s="2"/>
      <c r="M571" s="2"/>
      <c r="N571" s="2"/>
    </row>
    <row r="572" customFormat="false" ht="14.25" hidden="false" customHeight="false" outlineLevel="0" collapsed="false">
      <c r="A572" s="10" t="s">
        <v>588</v>
      </c>
      <c r="B572" s="10" t="s">
        <v>853</v>
      </c>
      <c r="C572" s="10" t="s">
        <v>568</v>
      </c>
      <c r="D572" s="14" t="b">
        <f aca="false">TRUE()</f>
        <v>1</v>
      </c>
      <c r="E572" s="11" t="n">
        <v>331</v>
      </c>
      <c r="F572" s="13" t="n">
        <f aca="false">E572/SUMIFS($E$2:$E$783,$A$2:$A$783,A572)</f>
        <v>0.988059701492537</v>
      </c>
      <c r="G572" s="11" t="n">
        <v>78</v>
      </c>
      <c r="H572" s="18" t="n">
        <v>44937</v>
      </c>
      <c r="I572" s="18" t="n">
        <v>46296</v>
      </c>
      <c r="J572" s="10" t="s">
        <v>854</v>
      </c>
      <c r="K572" s="10" t="s">
        <v>1226</v>
      </c>
      <c r="L572" s="2"/>
      <c r="M572" s="2"/>
      <c r="N572" s="2"/>
    </row>
    <row r="573" customFormat="false" ht="14.25" hidden="false" customHeight="false" outlineLevel="0" collapsed="false">
      <c r="A573" s="4" t="s">
        <v>588</v>
      </c>
      <c r="B573" s="4" t="s">
        <v>853</v>
      </c>
      <c r="C573" s="4" t="s">
        <v>820</v>
      </c>
      <c r="D573" s="8" t="b">
        <f aca="false">FALSE()</f>
        <v>0</v>
      </c>
      <c r="E573" s="5" t="n">
        <v>4</v>
      </c>
      <c r="F573" s="7" t="n">
        <f aca="false">E573/SUMIFS($E$2:$E$783,$A$2:$A$783,A573)</f>
        <v>0.0119402985074627</v>
      </c>
      <c r="G573" s="5" t="n">
        <v>0</v>
      </c>
      <c r="H573" s="17" t="n">
        <v>44942</v>
      </c>
      <c r="I573" s="17" t="n">
        <v>45055</v>
      </c>
      <c r="J573" s="4" t="s">
        <v>856</v>
      </c>
      <c r="K573" s="4" t="s">
        <v>1373</v>
      </c>
      <c r="L573" s="2"/>
      <c r="M573" s="2"/>
      <c r="N573" s="2"/>
    </row>
    <row r="574" customFormat="false" ht="14.25" hidden="false" customHeight="false" outlineLevel="0" collapsed="false">
      <c r="A574" s="10" t="s">
        <v>589</v>
      </c>
      <c r="B574" s="10" t="s">
        <v>853</v>
      </c>
      <c r="C574" s="10" t="s">
        <v>568</v>
      </c>
      <c r="D574" s="14" t="b">
        <f aca="false">TRUE()</f>
        <v>1</v>
      </c>
      <c r="E574" s="11" t="n">
        <v>240</v>
      </c>
      <c r="F574" s="13" t="n">
        <f aca="false">E574/SUMIFS($E$2:$E$783,$A$2:$A$783,A574)</f>
        <v>0.851063829787234</v>
      </c>
      <c r="G574" s="11" t="n">
        <v>49</v>
      </c>
      <c r="H574" s="18" t="n">
        <v>45047</v>
      </c>
      <c r="I574" s="18" t="n">
        <v>46292</v>
      </c>
      <c r="J574" s="10" t="s">
        <v>854</v>
      </c>
      <c r="K574" s="10" t="s">
        <v>1374</v>
      </c>
      <c r="L574" s="2"/>
      <c r="M574" s="2"/>
      <c r="N574" s="2"/>
    </row>
    <row r="575" customFormat="false" ht="14.25" hidden="false" customHeight="false" outlineLevel="0" collapsed="false">
      <c r="A575" s="4" t="s">
        <v>589</v>
      </c>
      <c r="B575" s="4" t="s">
        <v>853</v>
      </c>
      <c r="C575" s="4" t="s">
        <v>820</v>
      </c>
      <c r="D575" s="8" t="b">
        <f aca="false">FALSE()</f>
        <v>0</v>
      </c>
      <c r="E575" s="5" t="n">
        <v>42</v>
      </c>
      <c r="F575" s="7" t="n">
        <f aca="false">E575/SUMIFS($E$2:$E$783,$A$2:$A$783,A575)</f>
        <v>0.148936170212766</v>
      </c>
      <c r="G575" s="5" t="n">
        <v>0</v>
      </c>
      <c r="H575" s="17" t="n">
        <v>44928</v>
      </c>
      <c r="I575" s="17" t="n">
        <v>45043</v>
      </c>
      <c r="J575" s="4" t="s">
        <v>856</v>
      </c>
      <c r="K575" s="4" t="s">
        <v>1375</v>
      </c>
      <c r="L575" s="2"/>
      <c r="M575" s="2"/>
      <c r="N575" s="2"/>
    </row>
    <row r="576" customFormat="false" ht="14.25" hidden="false" customHeight="false" outlineLevel="0" collapsed="false">
      <c r="A576" s="10" t="s">
        <v>591</v>
      </c>
      <c r="B576" s="10" t="s">
        <v>853</v>
      </c>
      <c r="C576" s="10" t="s">
        <v>568</v>
      </c>
      <c r="D576" s="14" t="b">
        <f aca="false">TRUE()</f>
        <v>1</v>
      </c>
      <c r="E576" s="11" t="n">
        <v>189</v>
      </c>
      <c r="F576" s="13" t="n">
        <f aca="false">E576/SUMIFS($E$2:$E$783,$A$2:$A$783,A576)</f>
        <v>0.9</v>
      </c>
      <c r="G576" s="11" t="n">
        <v>34</v>
      </c>
      <c r="H576" s="18" t="n">
        <v>44942</v>
      </c>
      <c r="I576" s="18" t="n">
        <v>46288</v>
      </c>
      <c r="J576" s="10" t="s">
        <v>854</v>
      </c>
      <c r="K576" s="10" t="s">
        <v>1376</v>
      </c>
      <c r="L576" s="2"/>
      <c r="M576" s="2"/>
      <c r="N576" s="2"/>
    </row>
    <row r="577" customFormat="false" ht="14.25" hidden="false" customHeight="false" outlineLevel="0" collapsed="false">
      <c r="A577" s="4" t="s">
        <v>591</v>
      </c>
      <c r="B577" s="4" t="s">
        <v>853</v>
      </c>
      <c r="C577" s="4" t="s">
        <v>820</v>
      </c>
      <c r="D577" s="8" t="b">
        <f aca="false">FALSE()</f>
        <v>0</v>
      </c>
      <c r="E577" s="5" t="n">
        <v>21</v>
      </c>
      <c r="F577" s="7" t="n">
        <f aca="false">E577/SUMIFS($E$2:$E$783,$A$2:$A$783,A577)</f>
        <v>0.1</v>
      </c>
      <c r="G577" s="5" t="n">
        <v>0</v>
      </c>
      <c r="H577" s="17" t="n">
        <v>44936</v>
      </c>
      <c r="I577" s="17" t="n">
        <v>45030</v>
      </c>
      <c r="J577" s="4" t="s">
        <v>856</v>
      </c>
      <c r="K577" s="4" t="s">
        <v>1377</v>
      </c>
      <c r="L577" s="2"/>
      <c r="M577" s="2"/>
      <c r="N577" s="2"/>
    </row>
    <row r="578" customFormat="false" ht="14.25" hidden="false" customHeight="false" outlineLevel="0" collapsed="false">
      <c r="A578" s="10" t="s">
        <v>592</v>
      </c>
      <c r="B578" s="10" t="s">
        <v>853</v>
      </c>
      <c r="C578" s="10" t="s">
        <v>568</v>
      </c>
      <c r="D578" s="14" t="b">
        <f aca="false">TRUE()</f>
        <v>1</v>
      </c>
      <c r="E578" s="11" t="n">
        <v>114</v>
      </c>
      <c r="F578" s="13" t="n">
        <f aca="false">E578/SUMIFS($E$2:$E$783,$A$2:$A$783,A578)</f>
        <v>0.883720930232558</v>
      </c>
      <c r="G578" s="11" t="n">
        <v>21</v>
      </c>
      <c r="H578" s="18" t="n">
        <v>45056</v>
      </c>
      <c r="I578" s="18" t="n">
        <v>46269</v>
      </c>
      <c r="J578" s="10" t="s">
        <v>854</v>
      </c>
      <c r="K578" s="10" t="s">
        <v>1378</v>
      </c>
      <c r="L578" s="2"/>
      <c r="M578" s="2"/>
      <c r="N578" s="2"/>
    </row>
    <row r="579" customFormat="false" ht="14.25" hidden="false" customHeight="false" outlineLevel="0" collapsed="false">
      <c r="A579" s="4" t="s">
        <v>592</v>
      </c>
      <c r="B579" s="4" t="s">
        <v>853</v>
      </c>
      <c r="C579" s="4" t="s">
        <v>820</v>
      </c>
      <c r="D579" s="8" t="b">
        <f aca="false">FALSE()</f>
        <v>0</v>
      </c>
      <c r="E579" s="5" t="n">
        <v>15</v>
      </c>
      <c r="F579" s="7" t="n">
        <f aca="false">E579/SUMIFS($E$2:$E$783,$A$2:$A$783,A579)</f>
        <v>0.116279069767442</v>
      </c>
      <c r="G579" s="5" t="n">
        <v>0</v>
      </c>
      <c r="H579" s="17" t="n">
        <v>44944</v>
      </c>
      <c r="I579" s="17" t="n">
        <v>45049</v>
      </c>
      <c r="J579" s="4" t="s">
        <v>856</v>
      </c>
      <c r="K579" s="4" t="s">
        <v>1144</v>
      </c>
      <c r="L579" s="2"/>
      <c r="M579" s="2"/>
      <c r="N579" s="2"/>
    </row>
    <row r="580" customFormat="false" ht="14.25" hidden="false" customHeight="false" outlineLevel="0" collapsed="false">
      <c r="A580" s="10" t="s">
        <v>594</v>
      </c>
      <c r="B580" s="10" t="s">
        <v>853</v>
      </c>
      <c r="C580" s="10" t="s">
        <v>595</v>
      </c>
      <c r="D580" s="14" t="b">
        <f aca="false">TRUE()</f>
        <v>1</v>
      </c>
      <c r="E580" s="11" t="n">
        <v>147</v>
      </c>
      <c r="F580" s="13" t="n">
        <f aca="false">E580/SUMIFS($E$2:$E$783,$A$2:$A$783,A580)</f>
        <v>0.727722772277228</v>
      </c>
      <c r="G580" s="11" t="n">
        <v>0</v>
      </c>
      <c r="H580" s="18" t="n">
        <v>44935</v>
      </c>
      <c r="I580" s="18" t="n">
        <v>45247</v>
      </c>
      <c r="J580" s="10" t="s">
        <v>854</v>
      </c>
      <c r="K580" s="10" t="s">
        <v>1379</v>
      </c>
      <c r="L580" s="2"/>
      <c r="M580" s="2"/>
      <c r="N580" s="2"/>
    </row>
    <row r="581" customFormat="false" ht="14.25" hidden="false" customHeight="false" outlineLevel="0" collapsed="false">
      <c r="A581" s="4" t="s">
        <v>594</v>
      </c>
      <c r="B581" s="4" t="s">
        <v>853</v>
      </c>
      <c r="C581" s="4" t="s">
        <v>822</v>
      </c>
      <c r="D581" s="8" t="b">
        <f aca="false">FALSE()</f>
        <v>0</v>
      </c>
      <c r="E581" s="5" t="n">
        <v>55</v>
      </c>
      <c r="F581" s="7" t="n">
        <f aca="false">E581/SUMIFS($E$2:$E$783,$A$2:$A$783,A581)</f>
        <v>0.272277227722772</v>
      </c>
      <c r="G581" s="5" t="n">
        <v>0</v>
      </c>
      <c r="H581" s="17" t="n">
        <v>44928</v>
      </c>
      <c r="I581" s="17" t="n">
        <v>45048</v>
      </c>
      <c r="J581" s="4" t="s">
        <v>856</v>
      </c>
      <c r="K581" s="4" t="s">
        <v>1380</v>
      </c>
      <c r="L581" s="2"/>
      <c r="M581" s="2"/>
      <c r="N581" s="2"/>
    </row>
    <row r="582" customFormat="false" ht="14.25" hidden="false" customHeight="false" outlineLevel="0" collapsed="false">
      <c r="A582" s="10" t="s">
        <v>596</v>
      </c>
      <c r="B582" s="10" t="s">
        <v>853</v>
      </c>
      <c r="C582" s="10" t="s">
        <v>595</v>
      </c>
      <c r="D582" s="14" t="b">
        <f aca="false">TRUE()</f>
        <v>1</v>
      </c>
      <c r="E582" s="11" t="n">
        <v>65</v>
      </c>
      <c r="F582" s="13" t="n">
        <f aca="false">E582/SUMIFS($E$2:$E$783,$A$2:$A$783,A582)</f>
        <v>0.730337078651685</v>
      </c>
      <c r="G582" s="11" t="n">
        <v>0</v>
      </c>
      <c r="H582" s="18" t="n">
        <v>44966</v>
      </c>
      <c r="I582" s="18" t="n">
        <v>45320</v>
      </c>
      <c r="J582" s="10" t="s">
        <v>854</v>
      </c>
      <c r="K582" s="10" t="s">
        <v>1381</v>
      </c>
      <c r="L582" s="2"/>
      <c r="M582" s="2"/>
      <c r="N582" s="2"/>
    </row>
    <row r="583" customFormat="false" ht="14.25" hidden="false" customHeight="false" outlineLevel="0" collapsed="false">
      <c r="A583" s="4" t="s">
        <v>596</v>
      </c>
      <c r="B583" s="4" t="s">
        <v>853</v>
      </c>
      <c r="C583" s="4" t="s">
        <v>822</v>
      </c>
      <c r="D583" s="8" t="b">
        <f aca="false">FALSE()</f>
        <v>0</v>
      </c>
      <c r="E583" s="5" t="n">
        <v>24</v>
      </c>
      <c r="F583" s="7" t="n">
        <f aca="false">E583/SUMIFS($E$2:$E$783,$A$2:$A$783,A583)</f>
        <v>0.269662921348315</v>
      </c>
      <c r="G583" s="5" t="n">
        <v>0</v>
      </c>
      <c r="H583" s="17" t="n">
        <v>44929</v>
      </c>
      <c r="I583" s="17" t="n">
        <v>45041</v>
      </c>
      <c r="J583" s="4" t="s">
        <v>856</v>
      </c>
      <c r="K583" s="4" t="s">
        <v>1382</v>
      </c>
      <c r="L583" s="2"/>
      <c r="M583" s="2"/>
      <c r="N583" s="2"/>
    </row>
    <row r="584" customFormat="false" ht="14.25" hidden="false" customHeight="false" outlineLevel="0" collapsed="false">
      <c r="A584" s="10" t="s">
        <v>597</v>
      </c>
      <c r="B584" s="10" t="s">
        <v>853</v>
      </c>
      <c r="C584" s="10" t="s">
        <v>595</v>
      </c>
      <c r="D584" s="14" t="b">
        <f aca="false">TRUE()</f>
        <v>1</v>
      </c>
      <c r="E584" s="11" t="n">
        <v>26</v>
      </c>
      <c r="F584" s="13" t="n">
        <f aca="false">E584/SUMIFS($E$2:$E$783,$A$2:$A$783,A584)</f>
        <v>0.702702702702703</v>
      </c>
      <c r="G584" s="11" t="n">
        <v>0</v>
      </c>
      <c r="H584" s="18" t="n">
        <v>45054</v>
      </c>
      <c r="I584" s="18" t="n">
        <v>45317</v>
      </c>
      <c r="J584" s="10" t="s">
        <v>854</v>
      </c>
      <c r="K584" s="10" t="s">
        <v>1383</v>
      </c>
      <c r="L584" s="2"/>
      <c r="M584" s="2"/>
      <c r="N584" s="2"/>
    </row>
    <row r="585" customFormat="false" ht="14.25" hidden="false" customHeight="false" outlineLevel="0" collapsed="false">
      <c r="A585" s="4" t="s">
        <v>597</v>
      </c>
      <c r="B585" s="4" t="s">
        <v>853</v>
      </c>
      <c r="C585" s="4" t="s">
        <v>822</v>
      </c>
      <c r="D585" s="8" t="b">
        <f aca="false">FALSE()</f>
        <v>0</v>
      </c>
      <c r="E585" s="5" t="n">
        <v>11</v>
      </c>
      <c r="F585" s="7" t="n">
        <f aca="false">E585/SUMIFS($E$2:$E$783,$A$2:$A$783,A585)</f>
        <v>0.297297297297297</v>
      </c>
      <c r="G585" s="5" t="n">
        <v>0</v>
      </c>
      <c r="H585" s="17" t="n">
        <v>44956</v>
      </c>
      <c r="I585" s="17" t="n">
        <v>45034</v>
      </c>
      <c r="J585" s="4" t="s">
        <v>856</v>
      </c>
      <c r="K585" s="4" t="s">
        <v>1384</v>
      </c>
      <c r="L585" s="2"/>
      <c r="M585" s="2"/>
      <c r="N585" s="2"/>
    </row>
    <row r="586" customFormat="false" ht="14.25" hidden="false" customHeight="false" outlineLevel="0" collapsed="false">
      <c r="A586" s="10" t="s">
        <v>598</v>
      </c>
      <c r="B586" s="10" t="s">
        <v>853</v>
      </c>
      <c r="C586" s="10" t="s">
        <v>595</v>
      </c>
      <c r="D586" s="14" t="b">
        <f aca="false">TRUE()</f>
        <v>1</v>
      </c>
      <c r="E586" s="11" t="n">
        <v>7</v>
      </c>
      <c r="F586" s="13" t="n">
        <f aca="false">E586/SUMIFS($E$2:$E$783,$A$2:$A$783,A586)</f>
        <v>0.875</v>
      </c>
      <c r="G586" s="11" t="n">
        <v>0</v>
      </c>
      <c r="H586" s="18" t="n">
        <v>44945</v>
      </c>
      <c r="I586" s="18" t="n">
        <v>45349</v>
      </c>
      <c r="J586" s="10" t="s">
        <v>854</v>
      </c>
      <c r="K586" s="10" t="s">
        <v>1385</v>
      </c>
      <c r="L586" s="2"/>
      <c r="M586" s="2"/>
      <c r="N586" s="2"/>
    </row>
    <row r="587" customFormat="false" ht="14.25" hidden="false" customHeight="false" outlineLevel="0" collapsed="false">
      <c r="A587" s="4" t="s">
        <v>598</v>
      </c>
      <c r="B587" s="4" t="s">
        <v>853</v>
      </c>
      <c r="C587" s="4" t="s">
        <v>822</v>
      </c>
      <c r="D587" s="8" t="b">
        <f aca="false">FALSE()</f>
        <v>0</v>
      </c>
      <c r="E587" s="5" t="n">
        <v>1</v>
      </c>
      <c r="F587" s="7" t="n">
        <f aca="false">E587/SUMIFS($E$2:$E$783,$A$2:$A$783,A587)</f>
        <v>0.125</v>
      </c>
      <c r="G587" s="5" t="n">
        <v>0</v>
      </c>
      <c r="H587" s="17" t="n">
        <v>44935</v>
      </c>
      <c r="I587" s="17" t="n">
        <v>44935</v>
      </c>
      <c r="J587" s="4" t="s">
        <v>856</v>
      </c>
      <c r="K587" s="4" t="s">
        <v>1146</v>
      </c>
      <c r="L587" s="2"/>
      <c r="M587" s="2"/>
      <c r="N587" s="2"/>
    </row>
    <row r="588" customFormat="false" ht="14.25" hidden="false" customHeight="false" outlineLevel="0" collapsed="false">
      <c r="A588" s="10" t="s">
        <v>599</v>
      </c>
      <c r="B588" s="10" t="s">
        <v>853</v>
      </c>
      <c r="C588" s="10" t="s">
        <v>600</v>
      </c>
      <c r="D588" s="14" t="b">
        <f aca="false">TRUE()</f>
        <v>1</v>
      </c>
      <c r="E588" s="11" t="n">
        <v>22654</v>
      </c>
      <c r="F588" s="13" t="n">
        <f aca="false">E588/SUMIFS($E$2:$E$783,$A$2:$A$783,A588)</f>
        <v>0.903305554447945</v>
      </c>
      <c r="G588" s="11" t="n">
        <v>4422</v>
      </c>
      <c r="H588" s="18" t="n">
        <v>44967</v>
      </c>
      <c r="I588" s="18" t="n">
        <v>46296</v>
      </c>
      <c r="J588" s="10" t="s">
        <v>854</v>
      </c>
      <c r="K588" s="10" t="s">
        <v>1186</v>
      </c>
      <c r="L588" s="2"/>
      <c r="M588" s="2"/>
      <c r="N588" s="2"/>
    </row>
    <row r="589" customFormat="false" ht="14.25" hidden="false" customHeight="false" outlineLevel="0" collapsed="false">
      <c r="A589" s="4" t="s">
        <v>599</v>
      </c>
      <c r="B589" s="4" t="s">
        <v>853</v>
      </c>
      <c r="C589" s="4" t="s">
        <v>829</v>
      </c>
      <c r="D589" s="8" t="b">
        <f aca="false">FALSE()</f>
        <v>0</v>
      </c>
      <c r="E589" s="5" t="n">
        <v>2425</v>
      </c>
      <c r="F589" s="7" t="n">
        <f aca="false">E589/SUMIFS($E$2:$E$783,$A$2:$A$783,A589)</f>
        <v>0.0966944455520555</v>
      </c>
      <c r="G589" s="5" t="n">
        <v>0</v>
      </c>
      <c r="H589" s="17" t="n">
        <v>44928</v>
      </c>
      <c r="I589" s="17" t="n">
        <v>45054</v>
      </c>
      <c r="J589" s="4" t="s">
        <v>856</v>
      </c>
      <c r="K589" s="4" t="s">
        <v>1386</v>
      </c>
      <c r="L589" s="2"/>
      <c r="M589" s="2"/>
      <c r="N589" s="2"/>
    </row>
    <row r="590" customFormat="false" ht="14.25" hidden="false" customHeight="false" outlineLevel="0" collapsed="false">
      <c r="A590" s="10" t="s">
        <v>601</v>
      </c>
      <c r="B590" s="10" t="s">
        <v>853</v>
      </c>
      <c r="C590" s="10" t="s">
        <v>600</v>
      </c>
      <c r="D590" s="14" t="b">
        <f aca="false">TRUE()</f>
        <v>1</v>
      </c>
      <c r="E590" s="11" t="n">
        <v>13797</v>
      </c>
      <c r="F590" s="13" t="n">
        <f aca="false">E590/SUMIFS($E$2:$E$783,$A$2:$A$783,A590)</f>
        <v>0.92653280505003</v>
      </c>
      <c r="G590" s="11" t="n">
        <v>3324</v>
      </c>
      <c r="H590" s="18" t="n">
        <v>44958</v>
      </c>
      <c r="I590" s="18" t="n">
        <v>46296</v>
      </c>
      <c r="J590" s="10" t="s">
        <v>854</v>
      </c>
      <c r="K590" s="10" t="s">
        <v>1387</v>
      </c>
      <c r="L590" s="2"/>
      <c r="M590" s="2"/>
      <c r="N590" s="2"/>
    </row>
    <row r="591" customFormat="false" ht="14.25" hidden="false" customHeight="false" outlineLevel="0" collapsed="false">
      <c r="A591" s="4" t="s">
        <v>601</v>
      </c>
      <c r="B591" s="4" t="s">
        <v>853</v>
      </c>
      <c r="C591" s="4" t="s">
        <v>829</v>
      </c>
      <c r="D591" s="8" t="b">
        <f aca="false">FALSE()</f>
        <v>0</v>
      </c>
      <c r="E591" s="5" t="n">
        <v>1094</v>
      </c>
      <c r="F591" s="7" t="n">
        <f aca="false">E591/SUMIFS($E$2:$E$783,$A$2:$A$783,A591)</f>
        <v>0.0734671949499698</v>
      </c>
      <c r="G591" s="5" t="n">
        <v>0</v>
      </c>
      <c r="H591" s="17" t="n">
        <v>44928</v>
      </c>
      <c r="I591" s="17" t="n">
        <v>45055</v>
      </c>
      <c r="J591" s="4" t="s">
        <v>856</v>
      </c>
      <c r="K591" s="4" t="s">
        <v>1388</v>
      </c>
      <c r="L591" s="2"/>
      <c r="M591" s="2"/>
      <c r="N591" s="2"/>
    </row>
    <row r="592" customFormat="false" ht="14.25" hidden="false" customHeight="false" outlineLevel="0" collapsed="false">
      <c r="A592" s="10" t="s">
        <v>602</v>
      </c>
      <c r="B592" s="10" t="s">
        <v>853</v>
      </c>
      <c r="C592" s="10" t="s">
        <v>600</v>
      </c>
      <c r="D592" s="14" t="b">
        <f aca="false">TRUE()</f>
        <v>1</v>
      </c>
      <c r="E592" s="11" t="n">
        <v>10306</v>
      </c>
      <c r="F592" s="13" t="n">
        <f aca="false">E592/SUMIFS($E$2:$E$783,$A$2:$A$783,A592)</f>
        <v>0.790398036659253</v>
      </c>
      <c r="G592" s="11" t="n">
        <v>2387</v>
      </c>
      <c r="H592" s="18" t="n">
        <v>44987</v>
      </c>
      <c r="I592" s="18" t="n">
        <v>46296</v>
      </c>
      <c r="J592" s="10" t="s">
        <v>854</v>
      </c>
      <c r="K592" s="10" t="s">
        <v>1389</v>
      </c>
      <c r="L592" s="2"/>
      <c r="M592" s="2"/>
      <c r="N592" s="2"/>
    </row>
    <row r="593" customFormat="false" ht="14.25" hidden="false" customHeight="false" outlineLevel="0" collapsed="false">
      <c r="A593" s="4" t="s">
        <v>602</v>
      </c>
      <c r="B593" s="4" t="s">
        <v>853</v>
      </c>
      <c r="C593" s="4" t="s">
        <v>829</v>
      </c>
      <c r="D593" s="8" t="b">
        <f aca="false">FALSE()</f>
        <v>0</v>
      </c>
      <c r="E593" s="5" t="n">
        <v>2733</v>
      </c>
      <c r="F593" s="7" t="n">
        <f aca="false">E593/SUMIFS($E$2:$E$783,$A$2:$A$783,A593)</f>
        <v>0.209601963340747</v>
      </c>
      <c r="G593" s="5" t="n">
        <v>0</v>
      </c>
      <c r="H593" s="17" t="n">
        <v>44928</v>
      </c>
      <c r="I593" s="17" t="n">
        <v>45055</v>
      </c>
      <c r="J593" s="4" t="s">
        <v>856</v>
      </c>
      <c r="K593" s="4" t="s">
        <v>1390</v>
      </c>
      <c r="L593" s="2"/>
      <c r="M593" s="2"/>
      <c r="N593" s="2"/>
    </row>
    <row r="594" customFormat="false" ht="14.25" hidden="false" customHeight="false" outlineLevel="0" collapsed="false">
      <c r="A594" s="10" t="s">
        <v>603</v>
      </c>
      <c r="B594" s="10" t="s">
        <v>853</v>
      </c>
      <c r="C594" s="10" t="s">
        <v>600</v>
      </c>
      <c r="D594" s="14" t="b">
        <f aca="false">TRUE()</f>
        <v>1</v>
      </c>
      <c r="E594" s="11" t="n">
        <v>9507</v>
      </c>
      <c r="F594" s="13" t="n">
        <f aca="false">E594/SUMIFS($E$2:$E$783,$A$2:$A$783,A594)</f>
        <v>0.982940446650124</v>
      </c>
      <c r="G594" s="11" t="n">
        <v>2103</v>
      </c>
      <c r="H594" s="18" t="n">
        <v>44928</v>
      </c>
      <c r="I594" s="18" t="n">
        <v>46296</v>
      </c>
      <c r="J594" s="10" t="s">
        <v>854</v>
      </c>
      <c r="K594" s="10" t="s">
        <v>936</v>
      </c>
      <c r="L594" s="2"/>
      <c r="M594" s="2"/>
      <c r="N594" s="2"/>
    </row>
    <row r="595" customFormat="false" ht="14.25" hidden="false" customHeight="false" outlineLevel="0" collapsed="false">
      <c r="A595" s="4" t="s">
        <v>603</v>
      </c>
      <c r="B595" s="4" t="s">
        <v>853</v>
      </c>
      <c r="C595" s="4" t="s">
        <v>829</v>
      </c>
      <c r="D595" s="8" t="b">
        <f aca="false">FALSE()</f>
        <v>0</v>
      </c>
      <c r="E595" s="5" t="n">
        <v>165</v>
      </c>
      <c r="F595" s="7" t="n">
        <f aca="false">E595/SUMIFS($E$2:$E$783,$A$2:$A$783,A595)</f>
        <v>0.0170595533498759</v>
      </c>
      <c r="G595" s="5" t="n">
        <v>0</v>
      </c>
      <c r="H595" s="17" t="n">
        <v>44929</v>
      </c>
      <c r="I595" s="17" t="n">
        <v>45053</v>
      </c>
      <c r="J595" s="4" t="s">
        <v>856</v>
      </c>
      <c r="K595" s="4" t="s">
        <v>1358</v>
      </c>
      <c r="L595" s="2"/>
      <c r="M595" s="2"/>
      <c r="N595" s="2"/>
    </row>
    <row r="596" customFormat="false" ht="14.25" hidden="false" customHeight="false" outlineLevel="0" collapsed="false">
      <c r="A596" s="10" t="s">
        <v>604</v>
      </c>
      <c r="B596" s="10" t="s">
        <v>853</v>
      </c>
      <c r="C596" s="10" t="s">
        <v>600</v>
      </c>
      <c r="D596" s="14" t="b">
        <f aca="false">TRUE()</f>
        <v>1</v>
      </c>
      <c r="E596" s="11" t="n">
        <v>8316</v>
      </c>
      <c r="F596" s="13" t="n">
        <f aca="false">E596/SUMIFS($E$2:$E$783,$A$2:$A$783,A596)</f>
        <v>0.932809871003926</v>
      </c>
      <c r="G596" s="11" t="n">
        <v>2342</v>
      </c>
      <c r="H596" s="18" t="n">
        <v>44929</v>
      </c>
      <c r="I596" s="18" t="n">
        <v>46296</v>
      </c>
      <c r="J596" s="10" t="s">
        <v>854</v>
      </c>
      <c r="K596" s="10" t="s">
        <v>930</v>
      </c>
      <c r="L596" s="2"/>
      <c r="M596" s="2"/>
      <c r="N596" s="2"/>
    </row>
    <row r="597" customFormat="false" ht="14.25" hidden="false" customHeight="false" outlineLevel="0" collapsed="false">
      <c r="A597" s="4" t="s">
        <v>604</v>
      </c>
      <c r="B597" s="4" t="s">
        <v>853</v>
      </c>
      <c r="C597" s="4" t="s">
        <v>829</v>
      </c>
      <c r="D597" s="8" t="b">
        <f aca="false">FALSE()</f>
        <v>0</v>
      </c>
      <c r="E597" s="5" t="n">
        <v>599</v>
      </c>
      <c r="F597" s="7" t="n">
        <f aca="false">E597/SUMIFS($E$2:$E$783,$A$2:$A$783,A597)</f>
        <v>0.067190128996074</v>
      </c>
      <c r="G597" s="5" t="n">
        <v>0</v>
      </c>
      <c r="H597" s="17" t="n">
        <v>44928</v>
      </c>
      <c r="I597" s="17" t="n">
        <v>45055</v>
      </c>
      <c r="J597" s="4" t="s">
        <v>856</v>
      </c>
      <c r="K597" s="4" t="s">
        <v>931</v>
      </c>
      <c r="L597" s="2"/>
      <c r="M597" s="2"/>
      <c r="N597" s="2"/>
    </row>
    <row r="598" customFormat="false" ht="14.25" hidden="false" customHeight="false" outlineLevel="0" collapsed="false">
      <c r="A598" s="10" t="s">
        <v>605</v>
      </c>
      <c r="B598" s="10" t="s">
        <v>853</v>
      </c>
      <c r="C598" s="10" t="s">
        <v>600</v>
      </c>
      <c r="D598" s="14" t="b">
        <f aca="false">TRUE()</f>
        <v>1</v>
      </c>
      <c r="E598" s="11" t="n">
        <v>7910</v>
      </c>
      <c r="F598" s="13" t="n">
        <f aca="false">E598/SUMIFS($E$2:$E$783,$A$2:$A$783,A598)</f>
        <v>0.933884297520661</v>
      </c>
      <c r="G598" s="11" t="n">
        <v>1675</v>
      </c>
      <c r="H598" s="18" t="n">
        <v>44928</v>
      </c>
      <c r="I598" s="18" t="n">
        <v>46296</v>
      </c>
      <c r="J598" s="10" t="s">
        <v>854</v>
      </c>
      <c r="K598" s="10" t="s">
        <v>936</v>
      </c>
      <c r="L598" s="2"/>
      <c r="M598" s="2"/>
      <c r="N598" s="2"/>
    </row>
    <row r="599" customFormat="false" ht="14.25" hidden="false" customHeight="false" outlineLevel="0" collapsed="false">
      <c r="A599" s="4" t="s">
        <v>605</v>
      </c>
      <c r="B599" s="4" t="s">
        <v>853</v>
      </c>
      <c r="C599" s="4" t="s">
        <v>829</v>
      </c>
      <c r="D599" s="8" t="b">
        <f aca="false">FALSE()</f>
        <v>0</v>
      </c>
      <c r="E599" s="5" t="n">
        <v>560</v>
      </c>
      <c r="F599" s="7" t="n">
        <f aca="false">E599/SUMIFS($E$2:$E$783,$A$2:$A$783,A599)</f>
        <v>0.0661157024793388</v>
      </c>
      <c r="G599" s="5" t="n">
        <v>0</v>
      </c>
      <c r="H599" s="17" t="n">
        <v>44928</v>
      </c>
      <c r="I599" s="17" t="n">
        <v>45055</v>
      </c>
      <c r="J599" s="4" t="s">
        <v>856</v>
      </c>
      <c r="K599" s="4" t="s">
        <v>937</v>
      </c>
      <c r="L599" s="2"/>
      <c r="M599" s="2"/>
      <c r="N599" s="2"/>
    </row>
    <row r="600" customFormat="false" ht="14.25" hidden="false" customHeight="false" outlineLevel="0" collapsed="false">
      <c r="A600" s="10" t="s">
        <v>606</v>
      </c>
      <c r="B600" s="10" t="s">
        <v>853</v>
      </c>
      <c r="C600" s="10" t="s">
        <v>600</v>
      </c>
      <c r="D600" s="14" t="b">
        <f aca="false">TRUE()</f>
        <v>1</v>
      </c>
      <c r="E600" s="11" t="n">
        <v>5108</v>
      </c>
      <c r="F600" s="13" t="n">
        <f aca="false">E600/SUMIFS($E$2:$E$783,$A$2:$A$783,A600)</f>
        <v>0.913447782546495</v>
      </c>
      <c r="G600" s="11" t="n">
        <v>1043</v>
      </c>
      <c r="H600" s="18" t="n">
        <v>44930</v>
      </c>
      <c r="I600" s="18" t="n">
        <v>46296</v>
      </c>
      <c r="J600" s="10" t="s">
        <v>854</v>
      </c>
      <c r="K600" s="10" t="s">
        <v>1208</v>
      </c>
      <c r="L600" s="2"/>
      <c r="M600" s="2"/>
      <c r="N600" s="2"/>
    </row>
    <row r="601" customFormat="false" ht="14.25" hidden="false" customHeight="false" outlineLevel="0" collapsed="false">
      <c r="A601" s="4" t="s">
        <v>606</v>
      </c>
      <c r="B601" s="4" t="s">
        <v>853</v>
      </c>
      <c r="C601" s="4" t="s">
        <v>829</v>
      </c>
      <c r="D601" s="8" t="b">
        <f aca="false">FALSE()</f>
        <v>0</v>
      </c>
      <c r="E601" s="5" t="n">
        <v>484</v>
      </c>
      <c r="F601" s="7" t="n">
        <f aca="false">E601/SUMIFS($E$2:$E$783,$A$2:$A$783,A601)</f>
        <v>0.086552217453505</v>
      </c>
      <c r="G601" s="5" t="n">
        <v>0</v>
      </c>
      <c r="H601" s="17" t="n">
        <v>44928</v>
      </c>
      <c r="I601" s="17" t="n">
        <v>45051</v>
      </c>
      <c r="J601" s="4" t="s">
        <v>856</v>
      </c>
      <c r="K601" s="4" t="s">
        <v>1391</v>
      </c>
      <c r="L601" s="2"/>
      <c r="M601" s="2"/>
      <c r="N601" s="2"/>
    </row>
    <row r="602" customFormat="false" ht="14.25" hidden="false" customHeight="false" outlineLevel="0" collapsed="false">
      <c r="A602" s="10" t="s">
        <v>607</v>
      </c>
      <c r="B602" s="10" t="s">
        <v>853</v>
      </c>
      <c r="C602" s="10" t="s">
        <v>600</v>
      </c>
      <c r="D602" s="14" t="b">
        <f aca="false">TRUE()</f>
        <v>1</v>
      </c>
      <c r="E602" s="11" t="n">
        <v>3909</v>
      </c>
      <c r="F602" s="13" t="n">
        <f aca="false">E602/SUMIFS($E$2:$E$783,$A$2:$A$783,A602)</f>
        <v>0.951789627465303</v>
      </c>
      <c r="G602" s="11" t="n">
        <v>937</v>
      </c>
      <c r="H602" s="18" t="n">
        <v>44933</v>
      </c>
      <c r="I602" s="18" t="n">
        <v>46296</v>
      </c>
      <c r="J602" s="10" t="s">
        <v>854</v>
      </c>
      <c r="K602" s="10" t="s">
        <v>1221</v>
      </c>
      <c r="L602" s="2"/>
      <c r="M602" s="2"/>
      <c r="N602" s="2"/>
    </row>
    <row r="603" customFormat="false" ht="14.25" hidden="false" customHeight="false" outlineLevel="0" collapsed="false">
      <c r="A603" s="4" t="s">
        <v>607</v>
      </c>
      <c r="B603" s="4" t="s">
        <v>853</v>
      </c>
      <c r="C603" s="4" t="s">
        <v>829</v>
      </c>
      <c r="D603" s="8" t="b">
        <f aca="false">FALSE()</f>
        <v>0</v>
      </c>
      <c r="E603" s="5" t="n">
        <v>198</v>
      </c>
      <c r="F603" s="7" t="n">
        <f aca="false">E603/SUMIFS($E$2:$E$783,$A$2:$A$783,A603)</f>
        <v>0.0482103725346969</v>
      </c>
      <c r="G603" s="5" t="n">
        <v>0</v>
      </c>
      <c r="H603" s="17" t="n">
        <v>44928</v>
      </c>
      <c r="I603" s="17" t="n">
        <v>45055</v>
      </c>
      <c r="J603" s="4" t="s">
        <v>856</v>
      </c>
      <c r="K603" s="4" t="s">
        <v>1392</v>
      </c>
      <c r="L603" s="2"/>
      <c r="M603" s="2"/>
      <c r="N603" s="2"/>
    </row>
    <row r="604" customFormat="false" ht="14.25" hidden="false" customHeight="false" outlineLevel="0" collapsed="false">
      <c r="A604" s="10" t="s">
        <v>608</v>
      </c>
      <c r="B604" s="10" t="s">
        <v>853</v>
      </c>
      <c r="C604" s="10" t="s">
        <v>600</v>
      </c>
      <c r="D604" s="14" t="b">
        <f aca="false">TRUE()</f>
        <v>1</v>
      </c>
      <c r="E604" s="11" t="n">
        <v>3638</v>
      </c>
      <c r="F604" s="13" t="n">
        <f aca="false">E604/SUMIFS($E$2:$E$783,$A$2:$A$783,A604)</f>
        <v>0.940051679586563</v>
      </c>
      <c r="G604" s="11" t="n">
        <v>900</v>
      </c>
      <c r="H604" s="18" t="n">
        <v>44949</v>
      </c>
      <c r="I604" s="18" t="n">
        <v>46296</v>
      </c>
      <c r="J604" s="10" t="s">
        <v>854</v>
      </c>
      <c r="K604" s="10" t="s">
        <v>1190</v>
      </c>
      <c r="L604" s="2"/>
      <c r="M604" s="2"/>
      <c r="N604" s="2"/>
    </row>
    <row r="605" customFormat="false" ht="14.25" hidden="false" customHeight="false" outlineLevel="0" collapsed="false">
      <c r="A605" s="4" t="s">
        <v>608</v>
      </c>
      <c r="B605" s="4" t="s">
        <v>853</v>
      </c>
      <c r="C605" s="4" t="s">
        <v>829</v>
      </c>
      <c r="D605" s="8" t="b">
        <f aca="false">FALSE()</f>
        <v>0</v>
      </c>
      <c r="E605" s="5" t="n">
        <v>232</v>
      </c>
      <c r="F605" s="7" t="n">
        <f aca="false">E605/SUMIFS($E$2:$E$783,$A$2:$A$783,A605)</f>
        <v>0.0599483204134367</v>
      </c>
      <c r="G605" s="5" t="n">
        <v>0</v>
      </c>
      <c r="H605" s="17" t="n">
        <v>44929</v>
      </c>
      <c r="I605" s="17" t="n">
        <v>45054</v>
      </c>
      <c r="J605" s="4" t="s">
        <v>856</v>
      </c>
      <c r="K605" s="4" t="s">
        <v>1393</v>
      </c>
      <c r="L605" s="2"/>
      <c r="M605" s="2"/>
      <c r="N605" s="2"/>
    </row>
    <row r="606" customFormat="false" ht="14.25" hidden="false" customHeight="false" outlineLevel="0" collapsed="false">
      <c r="A606" s="10" t="s">
        <v>609</v>
      </c>
      <c r="B606" s="10" t="s">
        <v>853</v>
      </c>
      <c r="C606" s="10" t="s">
        <v>600</v>
      </c>
      <c r="D606" s="14" t="b">
        <f aca="false">TRUE()</f>
        <v>1</v>
      </c>
      <c r="E606" s="11" t="n">
        <v>3545</v>
      </c>
      <c r="F606" s="13" t="n">
        <f aca="false">E606/SUMIFS($E$2:$E$783,$A$2:$A$783,A606)</f>
        <v>0.952956989247312</v>
      </c>
      <c r="G606" s="11" t="n">
        <v>908</v>
      </c>
      <c r="H606" s="18" t="n">
        <v>44942</v>
      </c>
      <c r="I606" s="18" t="n">
        <v>46295</v>
      </c>
      <c r="J606" s="10" t="s">
        <v>854</v>
      </c>
      <c r="K606" s="10" t="s">
        <v>1394</v>
      </c>
      <c r="L606" s="2"/>
      <c r="M606" s="2"/>
      <c r="N606" s="2"/>
    </row>
    <row r="607" customFormat="false" ht="14.25" hidden="false" customHeight="false" outlineLevel="0" collapsed="false">
      <c r="A607" s="4" t="s">
        <v>609</v>
      </c>
      <c r="B607" s="4" t="s">
        <v>853</v>
      </c>
      <c r="C607" s="4" t="s">
        <v>829</v>
      </c>
      <c r="D607" s="8" t="b">
        <f aca="false">FALSE()</f>
        <v>0</v>
      </c>
      <c r="E607" s="5" t="n">
        <v>175</v>
      </c>
      <c r="F607" s="7" t="n">
        <f aca="false">E607/SUMIFS($E$2:$E$783,$A$2:$A$783,A607)</f>
        <v>0.0470430107526882</v>
      </c>
      <c r="G607" s="5" t="n">
        <v>0</v>
      </c>
      <c r="H607" s="17" t="n">
        <v>44928</v>
      </c>
      <c r="I607" s="17" t="n">
        <v>45055</v>
      </c>
      <c r="J607" s="4" t="s">
        <v>856</v>
      </c>
      <c r="K607" s="4" t="s">
        <v>879</v>
      </c>
      <c r="L607" s="2"/>
      <c r="M607" s="2"/>
      <c r="N607" s="2"/>
    </row>
    <row r="608" customFormat="false" ht="14.25" hidden="false" customHeight="false" outlineLevel="0" collapsed="false">
      <c r="A608" s="10" t="s">
        <v>610</v>
      </c>
      <c r="B608" s="10" t="s">
        <v>853</v>
      </c>
      <c r="C608" s="10" t="s">
        <v>600</v>
      </c>
      <c r="D608" s="14" t="b">
        <f aca="false">TRUE()</f>
        <v>1</v>
      </c>
      <c r="E608" s="11" t="n">
        <v>3083</v>
      </c>
      <c r="F608" s="13" t="n">
        <f aca="false">E608/SUMIFS($E$2:$E$783,$A$2:$A$783,A608)</f>
        <v>0.851187189398123</v>
      </c>
      <c r="G608" s="11" t="n">
        <v>0</v>
      </c>
      <c r="H608" s="18" t="n">
        <v>44930</v>
      </c>
      <c r="I608" s="18" t="n">
        <v>45782</v>
      </c>
      <c r="J608" s="10" t="s">
        <v>854</v>
      </c>
      <c r="K608" s="10" t="s">
        <v>1395</v>
      </c>
      <c r="L608" s="2"/>
      <c r="M608" s="2"/>
      <c r="N608" s="2"/>
    </row>
    <row r="609" customFormat="false" ht="14.25" hidden="false" customHeight="false" outlineLevel="0" collapsed="false">
      <c r="A609" s="4" t="s">
        <v>610</v>
      </c>
      <c r="B609" s="4" t="s">
        <v>853</v>
      </c>
      <c r="C609" s="4" t="s">
        <v>829</v>
      </c>
      <c r="D609" s="8" t="b">
        <f aca="false">FALSE()</f>
        <v>0</v>
      </c>
      <c r="E609" s="5" t="n">
        <v>539</v>
      </c>
      <c r="F609" s="7" t="n">
        <f aca="false">E609/SUMIFS($E$2:$E$783,$A$2:$A$783,A609)</f>
        <v>0.148812810601877</v>
      </c>
      <c r="G609" s="5" t="n">
        <v>0</v>
      </c>
      <c r="H609" s="17" t="n">
        <v>44928</v>
      </c>
      <c r="I609" s="17" t="n">
        <v>45054</v>
      </c>
      <c r="J609" s="4" t="s">
        <v>856</v>
      </c>
      <c r="K609" s="4" t="s">
        <v>1232</v>
      </c>
      <c r="L609" s="2"/>
      <c r="M609" s="2"/>
      <c r="N609" s="2"/>
    </row>
    <row r="610" customFormat="false" ht="14.25" hidden="false" customHeight="false" outlineLevel="0" collapsed="false">
      <c r="A610" s="10" t="s">
        <v>611</v>
      </c>
      <c r="B610" s="10" t="s">
        <v>853</v>
      </c>
      <c r="C610" s="10" t="s">
        <v>600</v>
      </c>
      <c r="D610" s="14" t="b">
        <f aca="false">TRUE()</f>
        <v>1</v>
      </c>
      <c r="E610" s="11" t="n">
        <v>3168</v>
      </c>
      <c r="F610" s="13" t="n">
        <f aca="false">E610/SUMIFS($E$2:$E$783,$A$2:$A$783,A610)</f>
        <v>0.875621890547264</v>
      </c>
      <c r="G610" s="11" t="n">
        <v>759</v>
      </c>
      <c r="H610" s="18" t="n">
        <v>44938</v>
      </c>
      <c r="I610" s="18" t="n">
        <v>46296</v>
      </c>
      <c r="J610" s="10" t="s">
        <v>854</v>
      </c>
      <c r="K610" s="10" t="s">
        <v>934</v>
      </c>
      <c r="L610" s="2"/>
      <c r="M610" s="2"/>
      <c r="N610" s="2"/>
    </row>
    <row r="611" customFormat="false" ht="14.25" hidden="false" customHeight="false" outlineLevel="0" collapsed="false">
      <c r="A611" s="4" t="s">
        <v>611</v>
      </c>
      <c r="B611" s="4" t="s">
        <v>853</v>
      </c>
      <c r="C611" s="4" t="s">
        <v>829</v>
      </c>
      <c r="D611" s="8" t="b">
        <f aca="false">FALSE()</f>
        <v>0</v>
      </c>
      <c r="E611" s="5" t="n">
        <v>450</v>
      </c>
      <c r="F611" s="7" t="n">
        <f aca="false">E611/SUMIFS($E$2:$E$783,$A$2:$A$783,A611)</f>
        <v>0.124378109452736</v>
      </c>
      <c r="G611" s="5" t="n">
        <v>0</v>
      </c>
      <c r="H611" s="17" t="n">
        <v>44928</v>
      </c>
      <c r="I611" s="17" t="n">
        <v>45055</v>
      </c>
      <c r="J611" s="4" t="s">
        <v>856</v>
      </c>
      <c r="K611" s="4" t="s">
        <v>935</v>
      </c>
      <c r="L611" s="2"/>
      <c r="M611" s="2"/>
      <c r="N611" s="2"/>
    </row>
    <row r="612" customFormat="false" ht="14.25" hidden="false" customHeight="false" outlineLevel="0" collapsed="false">
      <c r="A612" s="10" t="s">
        <v>612</v>
      </c>
      <c r="B612" s="10" t="s">
        <v>853</v>
      </c>
      <c r="C612" s="10" t="s">
        <v>600</v>
      </c>
      <c r="D612" s="14" t="b">
        <f aca="false">TRUE()</f>
        <v>1</v>
      </c>
      <c r="E612" s="11" t="n">
        <v>3377</v>
      </c>
      <c r="F612" s="13" t="n">
        <f aca="false">E612/SUMIFS($E$2:$E$783,$A$2:$A$783,A612)</f>
        <v>0.952878103837472</v>
      </c>
      <c r="G612" s="11" t="n">
        <v>693</v>
      </c>
      <c r="H612" s="18" t="n">
        <v>44935</v>
      </c>
      <c r="I612" s="18" t="n">
        <v>46296</v>
      </c>
      <c r="J612" s="10" t="s">
        <v>854</v>
      </c>
      <c r="K612" s="10" t="s">
        <v>939</v>
      </c>
      <c r="L612" s="2"/>
      <c r="M612" s="2"/>
      <c r="N612" s="2"/>
    </row>
    <row r="613" customFormat="false" ht="14.25" hidden="false" customHeight="false" outlineLevel="0" collapsed="false">
      <c r="A613" s="4" t="s">
        <v>612</v>
      </c>
      <c r="B613" s="4" t="s">
        <v>853</v>
      </c>
      <c r="C613" s="4" t="s">
        <v>829</v>
      </c>
      <c r="D613" s="8" t="b">
        <f aca="false">FALSE()</f>
        <v>0</v>
      </c>
      <c r="E613" s="5" t="n">
        <v>167</v>
      </c>
      <c r="F613" s="7" t="n">
        <f aca="false">E613/SUMIFS($E$2:$E$783,$A$2:$A$783,A613)</f>
        <v>0.0471218961625282</v>
      </c>
      <c r="G613" s="5" t="n">
        <v>0</v>
      </c>
      <c r="H613" s="17" t="n">
        <v>44928</v>
      </c>
      <c r="I613" s="17" t="n">
        <v>45050</v>
      </c>
      <c r="J613" s="4" t="s">
        <v>856</v>
      </c>
      <c r="K613" s="4" t="s">
        <v>1396</v>
      </c>
      <c r="L613" s="2"/>
      <c r="M613" s="2"/>
      <c r="N613" s="2"/>
    </row>
    <row r="614" customFormat="false" ht="14.25" hidden="false" customHeight="false" outlineLevel="0" collapsed="false">
      <c r="A614" s="10" t="s">
        <v>613</v>
      </c>
      <c r="B614" s="10" t="s">
        <v>853</v>
      </c>
      <c r="C614" s="10" t="s">
        <v>600</v>
      </c>
      <c r="D614" s="14" t="b">
        <f aca="false">TRUE()</f>
        <v>1</v>
      </c>
      <c r="E614" s="11" t="n">
        <v>2925</v>
      </c>
      <c r="F614" s="13" t="n">
        <f aca="false">E614/SUMIFS($E$2:$E$783,$A$2:$A$783,A614)</f>
        <v>0.890139987827145</v>
      </c>
      <c r="G614" s="11" t="n">
        <v>652</v>
      </c>
      <c r="H614" s="18" t="n">
        <v>44938</v>
      </c>
      <c r="I614" s="18" t="n">
        <v>46296</v>
      </c>
      <c r="J614" s="10" t="s">
        <v>854</v>
      </c>
      <c r="K614" s="10" t="s">
        <v>934</v>
      </c>
      <c r="L614" s="2"/>
      <c r="M614" s="2"/>
      <c r="N614" s="2"/>
    </row>
    <row r="615" customFormat="false" ht="14.25" hidden="false" customHeight="false" outlineLevel="0" collapsed="false">
      <c r="A615" s="4" t="s">
        <v>613</v>
      </c>
      <c r="B615" s="4" t="s">
        <v>853</v>
      </c>
      <c r="C615" s="4" t="s">
        <v>829</v>
      </c>
      <c r="D615" s="8" t="b">
        <f aca="false">FALSE()</f>
        <v>0</v>
      </c>
      <c r="E615" s="5" t="n">
        <v>361</v>
      </c>
      <c r="F615" s="7" t="n">
        <f aca="false">E615/SUMIFS($E$2:$E$783,$A$2:$A$783,A615)</f>
        <v>0.109860012172855</v>
      </c>
      <c r="G615" s="5" t="n">
        <v>0</v>
      </c>
      <c r="H615" s="17" t="n">
        <v>44928</v>
      </c>
      <c r="I615" s="17" t="n">
        <v>45053</v>
      </c>
      <c r="J615" s="4" t="s">
        <v>856</v>
      </c>
      <c r="K615" s="4" t="s">
        <v>1397</v>
      </c>
      <c r="L615" s="2"/>
      <c r="M615" s="2"/>
      <c r="N615" s="2"/>
    </row>
    <row r="616" customFormat="false" ht="14.25" hidden="false" customHeight="false" outlineLevel="0" collapsed="false">
      <c r="A616" s="10" t="s">
        <v>614</v>
      </c>
      <c r="B616" s="10" t="s">
        <v>853</v>
      </c>
      <c r="C616" s="10" t="s">
        <v>600</v>
      </c>
      <c r="D616" s="14" t="b">
        <f aca="false">TRUE()</f>
        <v>1</v>
      </c>
      <c r="E616" s="11" t="n">
        <v>3076</v>
      </c>
      <c r="F616" s="13" t="n">
        <f aca="false">E616/SUMIFS($E$2:$E$783,$A$2:$A$783,A616)</f>
        <v>0.995147201552896</v>
      </c>
      <c r="G616" s="11" t="n">
        <v>791</v>
      </c>
      <c r="H616" s="18" t="n">
        <v>44928</v>
      </c>
      <c r="I616" s="18" t="n">
        <v>46296</v>
      </c>
      <c r="J616" s="10" t="s">
        <v>854</v>
      </c>
      <c r="K616" s="10" t="s">
        <v>936</v>
      </c>
      <c r="L616" s="2"/>
      <c r="M616" s="2"/>
      <c r="N616" s="2"/>
    </row>
    <row r="617" customFormat="false" ht="14.25" hidden="false" customHeight="false" outlineLevel="0" collapsed="false">
      <c r="A617" s="4" t="s">
        <v>614</v>
      </c>
      <c r="B617" s="4" t="s">
        <v>853</v>
      </c>
      <c r="C617" s="4" t="s">
        <v>829</v>
      </c>
      <c r="D617" s="8" t="b">
        <f aca="false">FALSE()</f>
        <v>0</v>
      </c>
      <c r="E617" s="5" t="n">
        <v>15</v>
      </c>
      <c r="F617" s="7" t="n">
        <f aca="false">E617/SUMIFS($E$2:$E$783,$A$2:$A$783,A617)</f>
        <v>0.0048527984471045</v>
      </c>
      <c r="G617" s="5" t="n">
        <v>0</v>
      </c>
      <c r="H617" s="17" t="n">
        <v>44958</v>
      </c>
      <c r="I617" s="17" t="n">
        <v>45055</v>
      </c>
      <c r="J617" s="4" t="s">
        <v>856</v>
      </c>
      <c r="K617" s="4" t="s">
        <v>1398</v>
      </c>
      <c r="L617" s="2"/>
      <c r="M617" s="2"/>
      <c r="N617" s="2"/>
    </row>
    <row r="618" customFormat="false" ht="14.25" hidden="false" customHeight="false" outlineLevel="0" collapsed="false">
      <c r="A618" s="10" t="s">
        <v>615</v>
      </c>
      <c r="B618" s="10" t="s">
        <v>853</v>
      </c>
      <c r="C618" s="10" t="s">
        <v>600</v>
      </c>
      <c r="D618" s="14" t="b">
        <f aca="false">TRUE()</f>
        <v>1</v>
      </c>
      <c r="E618" s="11" t="n">
        <v>2660</v>
      </c>
      <c r="F618" s="13" t="n">
        <f aca="false">E618/SUMIFS($E$2:$E$783,$A$2:$A$783,A618)</f>
        <v>0.868146214099217</v>
      </c>
      <c r="G618" s="11" t="n">
        <v>631</v>
      </c>
      <c r="H618" s="18" t="n">
        <v>45030</v>
      </c>
      <c r="I618" s="18" t="n">
        <v>46296</v>
      </c>
      <c r="J618" s="10" t="s">
        <v>854</v>
      </c>
      <c r="K618" s="10" t="s">
        <v>1399</v>
      </c>
      <c r="L618" s="2"/>
      <c r="M618" s="2"/>
      <c r="N618" s="2"/>
    </row>
    <row r="619" customFormat="false" ht="14.25" hidden="false" customHeight="false" outlineLevel="0" collapsed="false">
      <c r="A619" s="4" t="s">
        <v>615</v>
      </c>
      <c r="B619" s="4" t="s">
        <v>853</v>
      </c>
      <c r="C619" s="4" t="s">
        <v>829</v>
      </c>
      <c r="D619" s="8" t="b">
        <f aca="false">FALSE()</f>
        <v>0</v>
      </c>
      <c r="E619" s="5" t="n">
        <v>404</v>
      </c>
      <c r="F619" s="7" t="n">
        <f aca="false">E619/SUMIFS($E$2:$E$783,$A$2:$A$783,A619)</f>
        <v>0.131853785900783</v>
      </c>
      <c r="G619" s="5" t="n">
        <v>0</v>
      </c>
      <c r="H619" s="17" t="n">
        <v>44929</v>
      </c>
      <c r="I619" s="17" t="n">
        <v>45054</v>
      </c>
      <c r="J619" s="4" t="s">
        <v>856</v>
      </c>
      <c r="K619" s="4" t="s">
        <v>1400</v>
      </c>
      <c r="L619" s="2"/>
      <c r="M619" s="2"/>
      <c r="N619" s="2"/>
    </row>
    <row r="620" customFormat="false" ht="14.25" hidden="false" customHeight="false" outlineLevel="0" collapsed="false">
      <c r="A620" s="10" t="s">
        <v>616</v>
      </c>
      <c r="B620" s="10" t="s">
        <v>853</v>
      </c>
      <c r="C620" s="10" t="s">
        <v>600</v>
      </c>
      <c r="D620" s="14" t="b">
        <f aca="false">TRUE()</f>
        <v>1</v>
      </c>
      <c r="E620" s="11" t="n">
        <v>2758</v>
      </c>
      <c r="F620" s="13" t="n">
        <f aca="false">E620/SUMIFS($E$2:$E$783,$A$2:$A$783,A620)</f>
        <v>0.93841442667574</v>
      </c>
      <c r="G620" s="11" t="n">
        <v>660</v>
      </c>
      <c r="H620" s="18" t="n">
        <v>44935</v>
      </c>
      <c r="I620" s="18" t="n">
        <v>46296</v>
      </c>
      <c r="J620" s="10" t="s">
        <v>854</v>
      </c>
      <c r="K620" s="10" t="s">
        <v>939</v>
      </c>
      <c r="L620" s="2"/>
      <c r="M620" s="2"/>
      <c r="N620" s="2"/>
    </row>
    <row r="621" customFormat="false" ht="14.25" hidden="false" customHeight="false" outlineLevel="0" collapsed="false">
      <c r="A621" s="4" t="s">
        <v>616</v>
      </c>
      <c r="B621" s="4" t="s">
        <v>853</v>
      </c>
      <c r="C621" s="4" t="s">
        <v>829</v>
      </c>
      <c r="D621" s="8" t="b">
        <f aca="false">FALSE()</f>
        <v>0</v>
      </c>
      <c r="E621" s="5" t="n">
        <v>181</v>
      </c>
      <c r="F621" s="7" t="n">
        <f aca="false">E621/SUMIFS($E$2:$E$783,$A$2:$A$783,A621)</f>
        <v>0.06158557332426</v>
      </c>
      <c r="G621" s="5" t="n">
        <v>0</v>
      </c>
      <c r="H621" s="17" t="n">
        <v>44928</v>
      </c>
      <c r="I621" s="17" t="n">
        <v>45055</v>
      </c>
      <c r="J621" s="4" t="s">
        <v>856</v>
      </c>
      <c r="K621" s="4" t="s">
        <v>940</v>
      </c>
      <c r="L621" s="2"/>
      <c r="M621" s="2"/>
      <c r="N621" s="2"/>
    </row>
    <row r="622" customFormat="false" ht="14.25" hidden="false" customHeight="false" outlineLevel="0" collapsed="false">
      <c r="A622" s="10" t="s">
        <v>617</v>
      </c>
      <c r="B622" s="10" t="s">
        <v>853</v>
      </c>
      <c r="C622" s="10" t="s">
        <v>600</v>
      </c>
      <c r="D622" s="14" t="b">
        <f aca="false">TRUE()</f>
        <v>1</v>
      </c>
      <c r="E622" s="11" t="n">
        <v>2526</v>
      </c>
      <c r="F622" s="13" t="n">
        <f aca="false">E622/SUMIFS($E$2:$E$783,$A$2:$A$783,A622)</f>
        <v>0.864180636332535</v>
      </c>
      <c r="G622" s="11" t="n">
        <v>675</v>
      </c>
      <c r="H622" s="18" t="n">
        <v>45029</v>
      </c>
      <c r="I622" s="18" t="n">
        <v>46296</v>
      </c>
      <c r="J622" s="10" t="s">
        <v>854</v>
      </c>
      <c r="K622" s="10" t="s">
        <v>1401</v>
      </c>
      <c r="L622" s="2"/>
      <c r="M622" s="2"/>
      <c r="N622" s="2"/>
    </row>
    <row r="623" customFormat="false" ht="14.25" hidden="false" customHeight="false" outlineLevel="0" collapsed="false">
      <c r="A623" s="4" t="s">
        <v>617</v>
      </c>
      <c r="B623" s="4" t="s">
        <v>853</v>
      </c>
      <c r="C623" s="4" t="s">
        <v>829</v>
      </c>
      <c r="D623" s="8" t="b">
        <f aca="false">FALSE()</f>
        <v>0</v>
      </c>
      <c r="E623" s="5" t="n">
        <v>397</v>
      </c>
      <c r="F623" s="7" t="n">
        <f aca="false">E623/SUMIFS($E$2:$E$783,$A$2:$A$783,A623)</f>
        <v>0.135819363667465</v>
      </c>
      <c r="G623" s="5" t="n">
        <v>0</v>
      </c>
      <c r="H623" s="17" t="n">
        <v>44928</v>
      </c>
      <c r="I623" s="17" t="n">
        <v>45055</v>
      </c>
      <c r="J623" s="4" t="s">
        <v>856</v>
      </c>
      <c r="K623" s="4" t="s">
        <v>1402</v>
      </c>
      <c r="L623" s="2"/>
      <c r="M623" s="2"/>
      <c r="N623" s="2"/>
    </row>
    <row r="624" customFormat="false" ht="14.25" hidden="false" customHeight="false" outlineLevel="0" collapsed="false">
      <c r="A624" s="10" t="s">
        <v>618</v>
      </c>
      <c r="B624" s="10" t="s">
        <v>853</v>
      </c>
      <c r="C624" s="10" t="s">
        <v>600</v>
      </c>
      <c r="D624" s="14" t="b">
        <f aca="false">TRUE()</f>
        <v>1</v>
      </c>
      <c r="E624" s="11" t="n">
        <v>2635</v>
      </c>
      <c r="F624" s="13" t="n">
        <f aca="false">E624/SUMIFS($E$2:$E$783,$A$2:$A$783,A624)</f>
        <v>0.929125528913963</v>
      </c>
      <c r="G624" s="11" t="n">
        <v>721</v>
      </c>
      <c r="H624" s="18" t="n">
        <v>44986</v>
      </c>
      <c r="I624" s="18" t="n">
        <v>46296</v>
      </c>
      <c r="J624" s="10" t="s">
        <v>854</v>
      </c>
      <c r="K624" s="10" t="s">
        <v>1403</v>
      </c>
      <c r="L624" s="2"/>
      <c r="M624" s="2"/>
      <c r="N624" s="2"/>
    </row>
    <row r="625" customFormat="false" ht="14.25" hidden="false" customHeight="false" outlineLevel="0" collapsed="false">
      <c r="A625" s="4" t="s">
        <v>618</v>
      </c>
      <c r="B625" s="4" t="s">
        <v>853</v>
      </c>
      <c r="C625" s="4" t="s">
        <v>829</v>
      </c>
      <c r="D625" s="8" t="b">
        <f aca="false">FALSE()</f>
        <v>0</v>
      </c>
      <c r="E625" s="5" t="n">
        <v>201</v>
      </c>
      <c r="F625" s="7" t="n">
        <f aca="false">E625/SUMIFS($E$2:$E$783,$A$2:$A$783,A625)</f>
        <v>0.0708744710860367</v>
      </c>
      <c r="G625" s="5" t="n">
        <v>0</v>
      </c>
      <c r="H625" s="17" t="n">
        <v>44929</v>
      </c>
      <c r="I625" s="17" t="n">
        <v>45054</v>
      </c>
      <c r="J625" s="4" t="s">
        <v>856</v>
      </c>
      <c r="K625" s="4" t="s">
        <v>1404</v>
      </c>
      <c r="L625" s="2"/>
      <c r="M625" s="2"/>
      <c r="N625" s="2"/>
    </row>
    <row r="626" customFormat="false" ht="14.25" hidden="false" customHeight="false" outlineLevel="0" collapsed="false">
      <c r="A626" s="10" t="s">
        <v>620</v>
      </c>
      <c r="B626" s="10" t="s">
        <v>853</v>
      </c>
      <c r="C626" s="10" t="s">
        <v>600</v>
      </c>
      <c r="D626" s="14" t="b">
        <f aca="false">TRUE()</f>
        <v>1</v>
      </c>
      <c r="E626" s="11" t="n">
        <v>2119</v>
      </c>
      <c r="F626" s="13" t="n">
        <f aca="false">E626/SUMIFS($E$2:$E$783,$A$2:$A$783,A626)</f>
        <v>0.863136456211813</v>
      </c>
      <c r="G626" s="11" t="n">
        <v>553</v>
      </c>
      <c r="H626" s="18" t="n">
        <v>44971</v>
      </c>
      <c r="I626" s="18" t="n">
        <v>46296</v>
      </c>
      <c r="J626" s="10" t="s">
        <v>854</v>
      </c>
      <c r="K626" s="10" t="s">
        <v>1405</v>
      </c>
      <c r="L626" s="2"/>
      <c r="M626" s="2"/>
      <c r="N626" s="2"/>
    </row>
    <row r="627" customFormat="false" ht="14.25" hidden="false" customHeight="false" outlineLevel="0" collapsed="false">
      <c r="A627" s="4" t="s">
        <v>620</v>
      </c>
      <c r="B627" s="4" t="s">
        <v>853</v>
      </c>
      <c r="C627" s="4" t="s">
        <v>829</v>
      </c>
      <c r="D627" s="8" t="b">
        <f aca="false">FALSE()</f>
        <v>0</v>
      </c>
      <c r="E627" s="5" t="n">
        <v>336</v>
      </c>
      <c r="F627" s="7" t="n">
        <f aca="false">E627/SUMIFS($E$2:$E$783,$A$2:$A$783,A627)</f>
        <v>0.136863543788187</v>
      </c>
      <c r="G627" s="5" t="n">
        <v>0</v>
      </c>
      <c r="H627" s="17" t="n">
        <v>44929</v>
      </c>
      <c r="I627" s="17" t="n">
        <v>45054</v>
      </c>
      <c r="J627" s="4" t="s">
        <v>856</v>
      </c>
      <c r="K627" s="4" t="s">
        <v>1406</v>
      </c>
      <c r="L627" s="2"/>
      <c r="M627" s="2"/>
      <c r="N627" s="2"/>
    </row>
    <row r="628" customFormat="false" ht="14.25" hidden="false" customHeight="false" outlineLevel="0" collapsed="false">
      <c r="A628" s="10" t="s">
        <v>622</v>
      </c>
      <c r="B628" s="10" t="s">
        <v>853</v>
      </c>
      <c r="C628" s="10" t="s">
        <v>600</v>
      </c>
      <c r="D628" s="14" t="b">
        <f aca="false">TRUE()</f>
        <v>1</v>
      </c>
      <c r="E628" s="11" t="n">
        <v>1642</v>
      </c>
      <c r="F628" s="13" t="n">
        <f aca="false">E628/SUMIFS($E$2:$E$783,$A$2:$A$783,A628)</f>
        <v>0.952988972721997</v>
      </c>
      <c r="G628" s="11" t="n">
        <v>286</v>
      </c>
      <c r="H628" s="18" t="n">
        <v>44956</v>
      </c>
      <c r="I628" s="18" t="n">
        <v>46226</v>
      </c>
      <c r="J628" s="10" t="s">
        <v>854</v>
      </c>
      <c r="K628" s="10" t="s">
        <v>1407</v>
      </c>
      <c r="L628" s="2"/>
      <c r="M628" s="2"/>
      <c r="N628" s="2"/>
    </row>
    <row r="629" customFormat="false" ht="14.25" hidden="false" customHeight="false" outlineLevel="0" collapsed="false">
      <c r="A629" s="4" t="s">
        <v>622</v>
      </c>
      <c r="B629" s="4" t="s">
        <v>853</v>
      </c>
      <c r="C629" s="4" t="s">
        <v>829</v>
      </c>
      <c r="D629" s="8" t="b">
        <f aca="false">FALSE()</f>
        <v>0</v>
      </c>
      <c r="E629" s="5" t="n">
        <v>81</v>
      </c>
      <c r="F629" s="7" t="n">
        <f aca="false">E629/SUMIFS($E$2:$E$783,$A$2:$A$783,A629)</f>
        <v>0.0470110272780035</v>
      </c>
      <c r="G629" s="5" t="n">
        <v>0</v>
      </c>
      <c r="H629" s="17" t="n">
        <v>44930</v>
      </c>
      <c r="I629" s="17" t="n">
        <v>45049</v>
      </c>
      <c r="J629" s="4" t="s">
        <v>856</v>
      </c>
      <c r="K629" s="4" t="s">
        <v>1408</v>
      </c>
      <c r="L629" s="2"/>
      <c r="M629" s="2"/>
      <c r="N629" s="2"/>
    </row>
    <row r="630" customFormat="false" ht="14.25" hidden="false" customHeight="false" outlineLevel="0" collapsed="false">
      <c r="A630" s="10" t="s">
        <v>623</v>
      </c>
      <c r="B630" s="10" t="s">
        <v>853</v>
      </c>
      <c r="C630" s="10" t="s">
        <v>600</v>
      </c>
      <c r="D630" s="14" t="b">
        <f aca="false">TRUE()</f>
        <v>1</v>
      </c>
      <c r="E630" s="11" t="n">
        <v>1534</v>
      </c>
      <c r="F630" s="13" t="n">
        <f aca="false">E630/SUMIFS($E$2:$E$783,$A$2:$A$783,A630)</f>
        <v>0.949257425742574</v>
      </c>
      <c r="G630" s="11" t="n">
        <v>352</v>
      </c>
      <c r="H630" s="18" t="n">
        <v>44928</v>
      </c>
      <c r="I630" s="18" t="n">
        <v>46296</v>
      </c>
      <c r="J630" s="10" t="s">
        <v>854</v>
      </c>
      <c r="K630" s="10" t="s">
        <v>936</v>
      </c>
      <c r="L630" s="2"/>
      <c r="M630" s="2"/>
      <c r="N630" s="2"/>
    </row>
    <row r="631" customFormat="false" ht="14.25" hidden="false" customHeight="false" outlineLevel="0" collapsed="false">
      <c r="A631" s="4" t="s">
        <v>623</v>
      </c>
      <c r="B631" s="4" t="s">
        <v>853</v>
      </c>
      <c r="C631" s="4" t="s">
        <v>829</v>
      </c>
      <c r="D631" s="8" t="b">
        <f aca="false">FALSE()</f>
        <v>0</v>
      </c>
      <c r="E631" s="5" t="n">
        <v>82</v>
      </c>
      <c r="F631" s="7" t="n">
        <f aca="false">E631/SUMIFS($E$2:$E$783,$A$2:$A$783,A631)</f>
        <v>0.0507425742574257</v>
      </c>
      <c r="G631" s="5" t="n">
        <v>0</v>
      </c>
      <c r="H631" s="17" t="n">
        <v>44930</v>
      </c>
      <c r="I631" s="17" t="n">
        <v>45054</v>
      </c>
      <c r="J631" s="4" t="s">
        <v>856</v>
      </c>
      <c r="K631" s="4" t="s">
        <v>1355</v>
      </c>
      <c r="L631" s="2"/>
      <c r="M631" s="2"/>
      <c r="N631" s="2"/>
    </row>
    <row r="632" customFormat="false" ht="14.25" hidden="false" customHeight="false" outlineLevel="0" collapsed="false">
      <c r="A632" s="10" t="s">
        <v>625</v>
      </c>
      <c r="B632" s="10" t="s">
        <v>853</v>
      </c>
      <c r="C632" s="10" t="s">
        <v>600</v>
      </c>
      <c r="D632" s="14" t="b">
        <f aca="false">TRUE()</f>
        <v>1</v>
      </c>
      <c r="E632" s="11" t="n">
        <v>1279</v>
      </c>
      <c r="F632" s="13" t="n">
        <f aca="false">E632/SUMIFS($E$2:$E$783,$A$2:$A$783,A632)</f>
        <v>0.915533285612026</v>
      </c>
      <c r="G632" s="11" t="n">
        <v>234</v>
      </c>
      <c r="H632" s="18" t="n">
        <v>44930</v>
      </c>
      <c r="I632" s="18" t="n">
        <v>46294</v>
      </c>
      <c r="J632" s="10" t="s">
        <v>854</v>
      </c>
      <c r="K632" s="10" t="s">
        <v>1409</v>
      </c>
      <c r="L632" s="2"/>
      <c r="M632" s="2"/>
      <c r="N632" s="2"/>
    </row>
    <row r="633" customFormat="false" ht="14.25" hidden="false" customHeight="false" outlineLevel="0" collapsed="false">
      <c r="A633" s="4" t="s">
        <v>625</v>
      </c>
      <c r="B633" s="4" t="s">
        <v>853</v>
      </c>
      <c r="C633" s="4" t="s">
        <v>829</v>
      </c>
      <c r="D633" s="8" t="b">
        <f aca="false">FALSE()</f>
        <v>0</v>
      </c>
      <c r="E633" s="5" t="n">
        <v>118</v>
      </c>
      <c r="F633" s="7" t="n">
        <f aca="false">E633/SUMIFS($E$2:$E$783,$A$2:$A$783,A633)</f>
        <v>0.0844667143879742</v>
      </c>
      <c r="G633" s="5" t="n">
        <v>0</v>
      </c>
      <c r="H633" s="17" t="n">
        <v>44928</v>
      </c>
      <c r="I633" s="17" t="n">
        <v>45055</v>
      </c>
      <c r="J633" s="4" t="s">
        <v>856</v>
      </c>
      <c r="K633" s="4" t="s">
        <v>889</v>
      </c>
      <c r="L633" s="2"/>
      <c r="M633" s="2"/>
      <c r="N633" s="2"/>
    </row>
    <row r="634" customFormat="false" ht="14.25" hidden="false" customHeight="false" outlineLevel="0" collapsed="false">
      <c r="A634" s="10" t="s">
        <v>626</v>
      </c>
      <c r="B634" s="10" t="s">
        <v>853</v>
      </c>
      <c r="C634" s="10" t="s">
        <v>600</v>
      </c>
      <c r="D634" s="14" t="b">
        <f aca="false">TRUE()</f>
        <v>1</v>
      </c>
      <c r="E634" s="11" t="n">
        <v>1323</v>
      </c>
      <c r="F634" s="13" t="n">
        <f aca="false">E634/SUMIFS($E$2:$E$783,$A$2:$A$783,A634)</f>
        <v>0.98</v>
      </c>
      <c r="G634" s="11" t="n">
        <v>399</v>
      </c>
      <c r="H634" s="18" t="n">
        <v>44965</v>
      </c>
      <c r="I634" s="18" t="n">
        <v>46294</v>
      </c>
      <c r="J634" s="10" t="s">
        <v>854</v>
      </c>
      <c r="K634" s="10" t="s">
        <v>1410</v>
      </c>
      <c r="L634" s="2"/>
      <c r="M634" s="2"/>
      <c r="N634" s="2"/>
    </row>
    <row r="635" customFormat="false" ht="14.25" hidden="false" customHeight="false" outlineLevel="0" collapsed="false">
      <c r="A635" s="4" t="s">
        <v>626</v>
      </c>
      <c r="B635" s="4" t="s">
        <v>853</v>
      </c>
      <c r="C635" s="4" t="s">
        <v>829</v>
      </c>
      <c r="D635" s="8" t="b">
        <f aca="false">FALSE()</f>
        <v>0</v>
      </c>
      <c r="E635" s="5" t="n">
        <v>27</v>
      </c>
      <c r="F635" s="7" t="n">
        <f aca="false">E635/SUMIFS($E$2:$E$783,$A$2:$A$783,A635)</f>
        <v>0.02</v>
      </c>
      <c r="G635" s="5" t="n">
        <v>0</v>
      </c>
      <c r="H635" s="17" t="n">
        <v>44936</v>
      </c>
      <c r="I635" s="17" t="n">
        <v>45050</v>
      </c>
      <c r="J635" s="4" t="s">
        <v>856</v>
      </c>
      <c r="K635" s="4" t="s">
        <v>1411</v>
      </c>
      <c r="L635" s="2"/>
      <c r="M635" s="2"/>
      <c r="N635" s="2"/>
    </row>
    <row r="636" customFormat="false" ht="14.25" hidden="false" customHeight="false" outlineLevel="0" collapsed="false">
      <c r="A636" s="10" t="s">
        <v>627</v>
      </c>
      <c r="B636" s="10" t="s">
        <v>853</v>
      </c>
      <c r="C636" s="10" t="s">
        <v>600</v>
      </c>
      <c r="D636" s="14" t="b">
        <f aca="false">TRUE()</f>
        <v>1</v>
      </c>
      <c r="E636" s="11" t="n">
        <v>1007</v>
      </c>
      <c r="F636" s="13" t="n">
        <f aca="false">E636/SUMIFS($E$2:$E$783,$A$2:$A$783,A636)</f>
        <v>0.988223748773307</v>
      </c>
      <c r="G636" s="11" t="n">
        <v>189</v>
      </c>
      <c r="H636" s="18" t="n">
        <v>44932</v>
      </c>
      <c r="I636" s="18" t="n">
        <v>46294</v>
      </c>
      <c r="J636" s="10" t="s">
        <v>854</v>
      </c>
      <c r="K636" s="10" t="s">
        <v>1412</v>
      </c>
      <c r="L636" s="2"/>
      <c r="M636" s="2"/>
      <c r="N636" s="2"/>
    </row>
    <row r="637" customFormat="false" ht="14.25" hidden="false" customHeight="false" outlineLevel="0" collapsed="false">
      <c r="A637" s="4" t="s">
        <v>627</v>
      </c>
      <c r="B637" s="4" t="s">
        <v>853</v>
      </c>
      <c r="C637" s="4" t="s">
        <v>829</v>
      </c>
      <c r="D637" s="8" t="b">
        <f aca="false">FALSE()</f>
        <v>0</v>
      </c>
      <c r="E637" s="5" t="n">
        <v>12</v>
      </c>
      <c r="F637" s="7" t="n">
        <f aca="false">E637/SUMIFS($E$2:$E$783,$A$2:$A$783,A637)</f>
        <v>0.0117762512266928</v>
      </c>
      <c r="G637" s="5" t="n">
        <v>0</v>
      </c>
      <c r="H637" s="17" t="n">
        <v>44935</v>
      </c>
      <c r="I637" s="17" t="n">
        <v>45033</v>
      </c>
      <c r="J637" s="4" t="s">
        <v>856</v>
      </c>
      <c r="K637" s="4" t="s">
        <v>1413</v>
      </c>
      <c r="L637" s="2"/>
      <c r="M637" s="2"/>
      <c r="N637" s="2"/>
    </row>
    <row r="638" customFormat="false" ht="14.25" hidden="false" customHeight="false" outlineLevel="0" collapsed="false">
      <c r="A638" s="10" t="s">
        <v>628</v>
      </c>
      <c r="B638" s="10" t="s">
        <v>853</v>
      </c>
      <c r="C638" s="10" t="s">
        <v>600</v>
      </c>
      <c r="D638" s="14" t="b">
        <f aca="false">TRUE()</f>
        <v>1</v>
      </c>
      <c r="E638" s="11" t="n">
        <v>900</v>
      </c>
      <c r="F638" s="13" t="n">
        <f aca="false">E638/SUMIFS($E$2:$E$783,$A$2:$A$783,A638)</f>
        <v>0.885826771653543</v>
      </c>
      <c r="G638" s="11" t="n">
        <v>197</v>
      </c>
      <c r="H638" s="18" t="n">
        <v>44952</v>
      </c>
      <c r="I638" s="18" t="n">
        <v>46296</v>
      </c>
      <c r="J638" s="10" t="s">
        <v>854</v>
      </c>
      <c r="K638" s="10" t="s">
        <v>1149</v>
      </c>
      <c r="L638" s="2"/>
      <c r="M638" s="2"/>
      <c r="N638" s="2"/>
    </row>
    <row r="639" customFormat="false" ht="14.25" hidden="false" customHeight="false" outlineLevel="0" collapsed="false">
      <c r="A639" s="4" t="s">
        <v>628</v>
      </c>
      <c r="B639" s="4" t="s">
        <v>853</v>
      </c>
      <c r="C639" s="4" t="s">
        <v>829</v>
      </c>
      <c r="D639" s="8" t="b">
        <f aca="false">FALSE()</f>
        <v>0</v>
      </c>
      <c r="E639" s="5" t="n">
        <v>116</v>
      </c>
      <c r="F639" s="7" t="n">
        <f aca="false">E639/SUMIFS($E$2:$E$783,$A$2:$A$783,A639)</f>
        <v>0.114173228346457</v>
      </c>
      <c r="G639" s="5" t="n">
        <v>0</v>
      </c>
      <c r="H639" s="17" t="n">
        <v>44928</v>
      </c>
      <c r="I639" s="17" t="n">
        <v>45052</v>
      </c>
      <c r="J639" s="4" t="s">
        <v>856</v>
      </c>
      <c r="K639" s="4" t="s">
        <v>1414</v>
      </c>
      <c r="L639" s="2"/>
      <c r="M639" s="2"/>
      <c r="N639" s="2"/>
    </row>
    <row r="640" customFormat="false" ht="14.25" hidden="false" customHeight="false" outlineLevel="0" collapsed="false">
      <c r="A640" s="10" t="s">
        <v>629</v>
      </c>
      <c r="B640" s="10" t="s">
        <v>853</v>
      </c>
      <c r="C640" s="10" t="s">
        <v>600</v>
      </c>
      <c r="D640" s="14" t="b">
        <f aca="false">TRUE()</f>
        <v>1</v>
      </c>
      <c r="E640" s="11" t="n">
        <v>651</v>
      </c>
      <c r="F640" s="13" t="n">
        <f aca="false">E640/SUMIFS($E$2:$E$783,$A$2:$A$783,A640)</f>
        <v>0.662932790224033</v>
      </c>
      <c r="G640" s="11" t="n">
        <v>0</v>
      </c>
      <c r="H640" s="18" t="n">
        <v>45055</v>
      </c>
      <c r="I640" s="18" t="n">
        <v>45392</v>
      </c>
      <c r="J640" s="10" t="s">
        <v>854</v>
      </c>
      <c r="K640" s="10" t="s">
        <v>1415</v>
      </c>
      <c r="L640" s="2"/>
      <c r="M640" s="2"/>
      <c r="N640" s="2"/>
    </row>
    <row r="641" customFormat="false" ht="14.25" hidden="false" customHeight="false" outlineLevel="0" collapsed="false">
      <c r="A641" s="4" t="s">
        <v>629</v>
      </c>
      <c r="B641" s="4" t="s">
        <v>853</v>
      </c>
      <c r="C641" s="4" t="s">
        <v>829</v>
      </c>
      <c r="D641" s="8" t="b">
        <f aca="false">FALSE()</f>
        <v>0</v>
      </c>
      <c r="E641" s="5" t="n">
        <v>331</v>
      </c>
      <c r="F641" s="7" t="n">
        <f aca="false">E641/SUMIFS($E$2:$E$783,$A$2:$A$783,A641)</f>
        <v>0.337067209775967</v>
      </c>
      <c r="G641" s="5" t="n">
        <v>0</v>
      </c>
      <c r="H641" s="17" t="n">
        <v>44931</v>
      </c>
      <c r="I641" s="17" t="n">
        <v>45055</v>
      </c>
      <c r="J641" s="4" t="s">
        <v>856</v>
      </c>
      <c r="K641" s="4" t="s">
        <v>1416</v>
      </c>
      <c r="L641" s="2"/>
      <c r="M641" s="2"/>
      <c r="N641" s="2"/>
    </row>
    <row r="642" customFormat="false" ht="14.25" hidden="false" customHeight="false" outlineLevel="0" collapsed="false">
      <c r="A642" s="10" t="s">
        <v>630</v>
      </c>
      <c r="B642" s="10" t="s">
        <v>853</v>
      </c>
      <c r="C642" s="10" t="s">
        <v>600</v>
      </c>
      <c r="D642" s="14" t="b">
        <f aca="false">TRUE()</f>
        <v>1</v>
      </c>
      <c r="E642" s="11" t="n">
        <v>880</v>
      </c>
      <c r="F642" s="13" t="n">
        <f aca="false">E642/SUMIFS($E$2:$E$783,$A$2:$A$783,A642)</f>
        <v>0.941176470588235</v>
      </c>
      <c r="G642" s="11" t="n">
        <v>149</v>
      </c>
      <c r="H642" s="18" t="n">
        <v>45015</v>
      </c>
      <c r="I642" s="18" t="n">
        <v>46296</v>
      </c>
      <c r="J642" s="10" t="s">
        <v>854</v>
      </c>
      <c r="K642" s="10" t="s">
        <v>1417</v>
      </c>
      <c r="L642" s="2"/>
      <c r="M642" s="2"/>
      <c r="N642" s="2"/>
    </row>
    <row r="643" customFormat="false" ht="14.25" hidden="false" customHeight="false" outlineLevel="0" collapsed="false">
      <c r="A643" s="4" t="s">
        <v>630</v>
      </c>
      <c r="B643" s="4" t="s">
        <v>853</v>
      </c>
      <c r="C643" s="4" t="s">
        <v>829</v>
      </c>
      <c r="D643" s="8" t="b">
        <f aca="false">FALSE()</f>
        <v>0</v>
      </c>
      <c r="E643" s="5" t="n">
        <v>55</v>
      </c>
      <c r="F643" s="7" t="n">
        <f aca="false">E643/SUMIFS($E$2:$E$783,$A$2:$A$783,A643)</f>
        <v>0.0588235294117647</v>
      </c>
      <c r="G643" s="5" t="n">
        <v>0</v>
      </c>
      <c r="H643" s="17" t="n">
        <v>44931</v>
      </c>
      <c r="I643" s="17" t="n">
        <v>45043</v>
      </c>
      <c r="J643" s="4" t="s">
        <v>856</v>
      </c>
      <c r="K643" s="4" t="s">
        <v>1418</v>
      </c>
      <c r="L643" s="2"/>
      <c r="M643" s="2"/>
      <c r="N643" s="2"/>
    </row>
    <row r="644" customFormat="false" ht="14.25" hidden="false" customHeight="false" outlineLevel="0" collapsed="false">
      <c r="A644" s="10" t="s">
        <v>631</v>
      </c>
      <c r="B644" s="10" t="s">
        <v>853</v>
      </c>
      <c r="C644" s="10" t="s">
        <v>600</v>
      </c>
      <c r="D644" s="14" t="b">
        <f aca="false">TRUE()</f>
        <v>1</v>
      </c>
      <c r="E644" s="11" t="n">
        <v>765</v>
      </c>
      <c r="F644" s="13" t="n">
        <f aca="false">E644/SUMIFS($E$2:$E$783,$A$2:$A$783,A644)</f>
        <v>0.931790499390987</v>
      </c>
      <c r="G644" s="11" t="n">
        <v>189</v>
      </c>
      <c r="H644" s="18" t="n">
        <v>44953</v>
      </c>
      <c r="I644" s="18" t="n">
        <v>46296</v>
      </c>
      <c r="J644" s="10" t="s">
        <v>854</v>
      </c>
      <c r="K644" s="10" t="s">
        <v>1419</v>
      </c>
      <c r="L644" s="2"/>
      <c r="M644" s="2"/>
      <c r="N644" s="2"/>
    </row>
    <row r="645" customFormat="false" ht="14.25" hidden="false" customHeight="false" outlineLevel="0" collapsed="false">
      <c r="A645" s="4" t="s">
        <v>631</v>
      </c>
      <c r="B645" s="4" t="s">
        <v>853</v>
      </c>
      <c r="C645" s="4" t="s">
        <v>829</v>
      </c>
      <c r="D645" s="8" t="b">
        <f aca="false">FALSE()</f>
        <v>0</v>
      </c>
      <c r="E645" s="5" t="n">
        <v>56</v>
      </c>
      <c r="F645" s="7" t="n">
        <f aca="false">E645/SUMIFS($E$2:$E$783,$A$2:$A$783,A645)</f>
        <v>0.0682095006090134</v>
      </c>
      <c r="G645" s="5" t="n">
        <v>0</v>
      </c>
      <c r="H645" s="17" t="n">
        <v>44928</v>
      </c>
      <c r="I645" s="17" t="n">
        <v>45043</v>
      </c>
      <c r="J645" s="4" t="s">
        <v>856</v>
      </c>
      <c r="K645" s="4" t="s">
        <v>1420</v>
      </c>
      <c r="L645" s="2"/>
      <c r="M645" s="2"/>
      <c r="N645" s="2"/>
    </row>
    <row r="646" customFormat="false" ht="14.25" hidden="false" customHeight="false" outlineLevel="0" collapsed="false">
      <c r="A646" s="10" t="s">
        <v>633</v>
      </c>
      <c r="B646" s="10" t="s">
        <v>853</v>
      </c>
      <c r="C646" s="10" t="s">
        <v>600</v>
      </c>
      <c r="D646" s="14" t="b">
        <f aca="false">TRUE()</f>
        <v>1</v>
      </c>
      <c r="E646" s="11" t="n">
        <v>562</v>
      </c>
      <c r="F646" s="13" t="n">
        <f aca="false">E646/SUMIFS($E$2:$E$783,$A$2:$A$783,A646)</f>
        <v>0.952542372881356</v>
      </c>
      <c r="G646" s="11" t="n">
        <v>0</v>
      </c>
      <c r="H646" s="18" t="n">
        <v>45016</v>
      </c>
      <c r="I646" s="18" t="n">
        <v>45912</v>
      </c>
      <c r="J646" s="10" t="s">
        <v>854</v>
      </c>
      <c r="K646" s="10" t="s">
        <v>1421</v>
      </c>
      <c r="L646" s="2"/>
      <c r="M646" s="2"/>
      <c r="N646" s="2"/>
    </row>
    <row r="647" customFormat="false" ht="14.25" hidden="false" customHeight="false" outlineLevel="0" collapsed="false">
      <c r="A647" s="4" t="s">
        <v>633</v>
      </c>
      <c r="B647" s="4" t="s">
        <v>853</v>
      </c>
      <c r="C647" s="4" t="s">
        <v>829</v>
      </c>
      <c r="D647" s="8" t="b">
        <f aca="false">FALSE()</f>
        <v>0</v>
      </c>
      <c r="E647" s="5" t="n">
        <v>28</v>
      </c>
      <c r="F647" s="7" t="n">
        <f aca="false">E647/SUMIFS($E$2:$E$783,$A$2:$A$783,A647)</f>
        <v>0.0474576271186441</v>
      </c>
      <c r="G647" s="5" t="n">
        <v>0</v>
      </c>
      <c r="H647" s="17" t="n">
        <v>44929</v>
      </c>
      <c r="I647" s="17" t="n">
        <v>45045</v>
      </c>
      <c r="J647" s="4" t="s">
        <v>856</v>
      </c>
      <c r="K647" s="4" t="s">
        <v>1422</v>
      </c>
      <c r="L647" s="2"/>
      <c r="M647" s="2"/>
      <c r="N647" s="2"/>
    </row>
    <row r="648" customFormat="false" ht="14.25" hidden="false" customHeight="false" outlineLevel="0" collapsed="false">
      <c r="A648" s="10" t="s">
        <v>635</v>
      </c>
      <c r="B648" s="10" t="s">
        <v>853</v>
      </c>
      <c r="C648" s="10" t="s">
        <v>600</v>
      </c>
      <c r="D648" s="14" t="b">
        <f aca="false">TRUE()</f>
        <v>1</v>
      </c>
      <c r="E648" s="11" t="n">
        <v>483</v>
      </c>
      <c r="F648" s="13" t="n">
        <f aca="false">E648/SUMIFS($E$2:$E$783,$A$2:$A$783,A648)</f>
        <v>0.947058823529412</v>
      </c>
      <c r="G648" s="11" t="n">
        <v>111</v>
      </c>
      <c r="H648" s="18" t="n">
        <v>45021</v>
      </c>
      <c r="I648" s="18" t="n">
        <v>46294</v>
      </c>
      <c r="J648" s="10" t="s">
        <v>854</v>
      </c>
      <c r="K648" s="10" t="s">
        <v>1423</v>
      </c>
      <c r="L648" s="2"/>
      <c r="M648" s="2"/>
      <c r="N648" s="2"/>
    </row>
    <row r="649" customFormat="false" ht="14.25" hidden="false" customHeight="false" outlineLevel="0" collapsed="false">
      <c r="A649" s="4" t="s">
        <v>635</v>
      </c>
      <c r="B649" s="4" t="s">
        <v>853</v>
      </c>
      <c r="C649" s="4" t="s">
        <v>829</v>
      </c>
      <c r="D649" s="8" t="b">
        <f aca="false">FALSE()</f>
        <v>0</v>
      </c>
      <c r="E649" s="5" t="n">
        <v>27</v>
      </c>
      <c r="F649" s="7" t="n">
        <f aca="false">E649/SUMIFS($E$2:$E$783,$A$2:$A$783,A649)</f>
        <v>0.0529411764705882</v>
      </c>
      <c r="G649" s="5" t="n">
        <v>0</v>
      </c>
      <c r="H649" s="17" t="n">
        <v>44937</v>
      </c>
      <c r="I649" s="17" t="n">
        <v>45050</v>
      </c>
      <c r="J649" s="4" t="s">
        <v>856</v>
      </c>
      <c r="K649" s="4" t="s">
        <v>1424</v>
      </c>
      <c r="L649" s="2"/>
      <c r="M649" s="2"/>
      <c r="N649" s="2"/>
    </row>
    <row r="650" customFormat="false" ht="14.25" hidden="false" customHeight="false" outlineLevel="0" collapsed="false">
      <c r="A650" s="10" t="s">
        <v>639</v>
      </c>
      <c r="B650" s="10" t="s">
        <v>853</v>
      </c>
      <c r="C650" s="10" t="s">
        <v>600</v>
      </c>
      <c r="D650" s="14" t="b">
        <f aca="false">TRUE()</f>
        <v>1</v>
      </c>
      <c r="E650" s="11" t="n">
        <v>332</v>
      </c>
      <c r="F650" s="13" t="n">
        <f aca="false">E650/SUMIFS($E$2:$E$783,$A$2:$A$783,A650)</f>
        <v>0.90958904109589</v>
      </c>
      <c r="G650" s="11" t="n">
        <v>62</v>
      </c>
      <c r="H650" s="18" t="n">
        <v>44998</v>
      </c>
      <c r="I650" s="18" t="n">
        <v>46273</v>
      </c>
      <c r="J650" s="10" t="s">
        <v>854</v>
      </c>
      <c r="K650" s="10" t="s">
        <v>1425</v>
      </c>
      <c r="L650" s="2"/>
      <c r="M650" s="2"/>
      <c r="N650" s="2"/>
    </row>
    <row r="651" customFormat="false" ht="14.25" hidden="false" customHeight="false" outlineLevel="0" collapsed="false">
      <c r="A651" s="4" t="s">
        <v>639</v>
      </c>
      <c r="B651" s="4" t="s">
        <v>853</v>
      </c>
      <c r="C651" s="4" t="s">
        <v>829</v>
      </c>
      <c r="D651" s="8" t="b">
        <f aca="false">FALSE()</f>
        <v>0</v>
      </c>
      <c r="E651" s="5" t="n">
        <v>33</v>
      </c>
      <c r="F651" s="7" t="n">
        <f aca="false">E651/SUMIFS($E$2:$E$783,$A$2:$A$783,A651)</f>
        <v>0.0904109589041096</v>
      </c>
      <c r="G651" s="5" t="n">
        <v>0</v>
      </c>
      <c r="H651" s="17" t="n">
        <v>44930</v>
      </c>
      <c r="I651" s="17" t="n">
        <v>45051</v>
      </c>
      <c r="J651" s="4" t="s">
        <v>856</v>
      </c>
      <c r="K651" s="4" t="s">
        <v>1426</v>
      </c>
      <c r="L651" s="2"/>
      <c r="M651" s="2"/>
      <c r="N651" s="2"/>
    </row>
    <row r="652" customFormat="false" ht="14.25" hidden="false" customHeight="false" outlineLevel="0" collapsed="false">
      <c r="A652" s="10" t="s">
        <v>640</v>
      </c>
      <c r="B652" s="10" t="s">
        <v>853</v>
      </c>
      <c r="C652" s="10" t="s">
        <v>600</v>
      </c>
      <c r="D652" s="14" t="b">
        <f aca="false">TRUE()</f>
        <v>1</v>
      </c>
      <c r="E652" s="11" t="n">
        <v>344</v>
      </c>
      <c r="F652" s="13" t="n">
        <f aca="false">E652/SUMIFS($E$2:$E$783,$A$2:$A$783,A652)</f>
        <v>0.952908587257618</v>
      </c>
      <c r="G652" s="11" t="n">
        <v>116</v>
      </c>
      <c r="H652" s="18" t="n">
        <v>45062</v>
      </c>
      <c r="I652" s="18" t="n">
        <v>46290</v>
      </c>
      <c r="J652" s="10" t="s">
        <v>854</v>
      </c>
      <c r="K652" s="10" t="s">
        <v>1427</v>
      </c>
      <c r="L652" s="2"/>
      <c r="M652" s="2"/>
      <c r="N652" s="2"/>
    </row>
    <row r="653" customFormat="false" ht="14.25" hidden="false" customHeight="false" outlineLevel="0" collapsed="false">
      <c r="A653" s="4" t="s">
        <v>640</v>
      </c>
      <c r="B653" s="4" t="s">
        <v>853</v>
      </c>
      <c r="C653" s="4" t="s">
        <v>829</v>
      </c>
      <c r="D653" s="8" t="b">
        <f aca="false">FALSE()</f>
        <v>0</v>
      </c>
      <c r="E653" s="5" t="n">
        <v>17</v>
      </c>
      <c r="F653" s="7" t="n">
        <f aca="false">E653/SUMIFS($E$2:$E$783,$A$2:$A$783,A653)</f>
        <v>0.0470914127423823</v>
      </c>
      <c r="G653" s="5" t="n">
        <v>0</v>
      </c>
      <c r="H653" s="17" t="n">
        <v>44939</v>
      </c>
      <c r="I653" s="17" t="n">
        <v>45050</v>
      </c>
      <c r="J653" s="4" t="s">
        <v>856</v>
      </c>
      <c r="K653" s="4" t="s">
        <v>1428</v>
      </c>
      <c r="L653" s="2"/>
      <c r="M653" s="2"/>
      <c r="N653" s="2"/>
    </row>
    <row r="654" customFormat="false" ht="14.25" hidden="false" customHeight="false" outlineLevel="0" collapsed="false">
      <c r="A654" s="10" t="s">
        <v>641</v>
      </c>
      <c r="B654" s="10" t="s">
        <v>853</v>
      </c>
      <c r="C654" s="10" t="s">
        <v>600</v>
      </c>
      <c r="D654" s="14" t="b">
        <f aca="false">TRUE()</f>
        <v>1</v>
      </c>
      <c r="E654" s="11" t="n">
        <v>232</v>
      </c>
      <c r="F654" s="13" t="n">
        <f aca="false">E654/SUMIFS($E$2:$E$783,$A$2:$A$783,A654)</f>
        <v>0.875471698113208</v>
      </c>
      <c r="G654" s="11" t="n">
        <v>45</v>
      </c>
      <c r="H654" s="18" t="n">
        <v>45051</v>
      </c>
      <c r="I654" s="18" t="n">
        <v>46275</v>
      </c>
      <c r="J654" s="10" t="s">
        <v>854</v>
      </c>
      <c r="K654" s="10" t="s">
        <v>1429</v>
      </c>
      <c r="L654" s="2"/>
      <c r="M654" s="2"/>
      <c r="N654" s="2"/>
    </row>
    <row r="655" customFormat="false" ht="14.25" hidden="false" customHeight="false" outlineLevel="0" collapsed="false">
      <c r="A655" s="4" t="s">
        <v>641</v>
      </c>
      <c r="B655" s="4" t="s">
        <v>853</v>
      </c>
      <c r="C655" s="4" t="s">
        <v>829</v>
      </c>
      <c r="D655" s="8" t="b">
        <f aca="false">FALSE()</f>
        <v>0</v>
      </c>
      <c r="E655" s="5" t="n">
        <v>33</v>
      </c>
      <c r="F655" s="7" t="n">
        <f aca="false">E655/SUMIFS($E$2:$E$783,$A$2:$A$783,A655)</f>
        <v>0.124528301886792</v>
      </c>
      <c r="G655" s="5" t="n">
        <v>0</v>
      </c>
      <c r="H655" s="17" t="n">
        <v>44935</v>
      </c>
      <c r="I655" s="17" t="n">
        <v>45052</v>
      </c>
      <c r="J655" s="4" t="s">
        <v>856</v>
      </c>
      <c r="K655" s="4" t="s">
        <v>1430</v>
      </c>
      <c r="L655" s="2"/>
      <c r="M655" s="2"/>
      <c r="N655" s="2"/>
    </row>
    <row r="656" customFormat="false" ht="14.25" hidden="false" customHeight="false" outlineLevel="0" collapsed="false">
      <c r="A656" s="10" t="s">
        <v>644</v>
      </c>
      <c r="B656" s="10" t="s">
        <v>853</v>
      </c>
      <c r="C656" s="10" t="s">
        <v>600</v>
      </c>
      <c r="D656" s="14" t="b">
        <f aca="false">TRUE()</f>
        <v>1</v>
      </c>
      <c r="E656" s="11" t="n">
        <v>205</v>
      </c>
      <c r="F656" s="13" t="n">
        <f aca="false">E656/SUMIFS($E$2:$E$783,$A$2:$A$783,A656)</f>
        <v>0.962441314553991</v>
      </c>
      <c r="G656" s="11" t="n">
        <v>75</v>
      </c>
      <c r="H656" s="18" t="n">
        <v>45046</v>
      </c>
      <c r="I656" s="18" t="n">
        <v>46296</v>
      </c>
      <c r="J656" s="10" t="s">
        <v>854</v>
      </c>
      <c r="K656" s="10" t="s">
        <v>1431</v>
      </c>
      <c r="L656" s="2"/>
      <c r="M656" s="2"/>
      <c r="N656" s="2"/>
    </row>
    <row r="657" customFormat="false" ht="14.25" hidden="false" customHeight="false" outlineLevel="0" collapsed="false">
      <c r="A657" s="4" t="s">
        <v>644</v>
      </c>
      <c r="B657" s="4" t="s">
        <v>853</v>
      </c>
      <c r="C657" s="4" t="s">
        <v>829</v>
      </c>
      <c r="D657" s="8" t="b">
        <f aca="false">FALSE()</f>
        <v>0</v>
      </c>
      <c r="E657" s="5" t="n">
        <v>8</v>
      </c>
      <c r="F657" s="7" t="n">
        <f aca="false">E657/SUMIFS($E$2:$E$783,$A$2:$A$783,A657)</f>
        <v>0.0375586854460094</v>
      </c>
      <c r="G657" s="5" t="n">
        <v>0</v>
      </c>
      <c r="H657" s="17" t="n">
        <v>44944</v>
      </c>
      <c r="I657" s="17" t="n">
        <v>45049</v>
      </c>
      <c r="J657" s="4" t="s">
        <v>856</v>
      </c>
      <c r="K657" s="4" t="s">
        <v>1432</v>
      </c>
      <c r="L657" s="2"/>
      <c r="M657" s="2"/>
      <c r="N657" s="2"/>
    </row>
    <row r="658" customFormat="false" ht="14.25" hidden="false" customHeight="false" outlineLevel="0" collapsed="false">
      <c r="A658" s="10" t="s">
        <v>645</v>
      </c>
      <c r="B658" s="10" t="s">
        <v>853</v>
      </c>
      <c r="C658" s="10" t="s">
        <v>600</v>
      </c>
      <c r="D658" s="14" t="b">
        <f aca="false">TRUE()</f>
        <v>1</v>
      </c>
      <c r="E658" s="11" t="n">
        <v>144</v>
      </c>
      <c r="F658" s="13" t="n">
        <f aca="false">E658/SUMIFS($E$2:$E$783,$A$2:$A$783,A658)</f>
        <v>0.832369942196532</v>
      </c>
      <c r="G658" s="11" t="n">
        <v>0</v>
      </c>
      <c r="H658" s="18" t="n">
        <v>44959</v>
      </c>
      <c r="I658" s="18" t="n">
        <v>45769</v>
      </c>
      <c r="J658" s="10" t="s">
        <v>854</v>
      </c>
      <c r="K658" s="10" t="s">
        <v>1433</v>
      </c>
      <c r="L658" s="2"/>
      <c r="M658" s="2"/>
      <c r="N658" s="2"/>
    </row>
    <row r="659" customFormat="false" ht="14.25" hidden="false" customHeight="false" outlineLevel="0" collapsed="false">
      <c r="A659" s="4" t="s">
        <v>645</v>
      </c>
      <c r="B659" s="4" t="s">
        <v>853</v>
      </c>
      <c r="C659" s="4" t="s">
        <v>829</v>
      </c>
      <c r="D659" s="8" t="b">
        <f aca="false">FALSE()</f>
        <v>0</v>
      </c>
      <c r="E659" s="5" t="n">
        <v>29</v>
      </c>
      <c r="F659" s="7" t="n">
        <f aca="false">E659/SUMIFS($E$2:$E$783,$A$2:$A$783,A659)</f>
        <v>0.167630057803468</v>
      </c>
      <c r="G659" s="5" t="n">
        <v>0</v>
      </c>
      <c r="H659" s="17" t="n">
        <v>44931</v>
      </c>
      <c r="I659" s="17" t="n">
        <v>45034</v>
      </c>
      <c r="J659" s="4" t="s">
        <v>856</v>
      </c>
      <c r="K659" s="4" t="s">
        <v>1434</v>
      </c>
      <c r="L659" s="2"/>
      <c r="M659" s="2"/>
      <c r="N659" s="2"/>
    </row>
    <row r="660" customFormat="false" ht="14.25" hidden="false" customHeight="false" outlineLevel="0" collapsed="false">
      <c r="A660" s="10" t="s">
        <v>646</v>
      </c>
      <c r="B660" s="10" t="s">
        <v>853</v>
      </c>
      <c r="C660" s="10" t="s">
        <v>600</v>
      </c>
      <c r="D660" s="14" t="b">
        <f aca="false">TRUE()</f>
        <v>1</v>
      </c>
      <c r="E660" s="11" t="n">
        <v>161</v>
      </c>
      <c r="F660" s="13" t="n">
        <f aca="false">E660/SUMIFS($E$2:$E$783,$A$2:$A$783,A660)</f>
        <v>0.993827160493827</v>
      </c>
      <c r="G660" s="11" t="n">
        <v>45</v>
      </c>
      <c r="H660" s="18" t="n">
        <v>45014</v>
      </c>
      <c r="I660" s="18" t="n">
        <v>46295</v>
      </c>
      <c r="J660" s="10" t="s">
        <v>854</v>
      </c>
      <c r="K660" s="10" t="s">
        <v>1435</v>
      </c>
      <c r="L660" s="2"/>
      <c r="M660" s="2"/>
      <c r="N660" s="2"/>
    </row>
    <row r="661" customFormat="false" ht="14.25" hidden="false" customHeight="false" outlineLevel="0" collapsed="false">
      <c r="A661" s="4" t="s">
        <v>646</v>
      </c>
      <c r="B661" s="4" t="s">
        <v>853</v>
      </c>
      <c r="C661" s="4" t="s">
        <v>829</v>
      </c>
      <c r="D661" s="8" t="b">
        <f aca="false">FALSE()</f>
        <v>0</v>
      </c>
      <c r="E661" s="5" t="n">
        <v>1</v>
      </c>
      <c r="F661" s="7" t="n">
        <f aca="false">E661/SUMIFS($E$2:$E$783,$A$2:$A$783,A661)</f>
        <v>0.00617283950617284</v>
      </c>
      <c r="G661" s="5" t="n">
        <v>0</v>
      </c>
      <c r="H661" s="17" t="n">
        <v>45048</v>
      </c>
      <c r="I661" s="17" t="n">
        <v>45048</v>
      </c>
      <c r="J661" s="4" t="s">
        <v>856</v>
      </c>
      <c r="K661" s="4" t="s">
        <v>1436</v>
      </c>
      <c r="L661" s="2"/>
      <c r="M661" s="2"/>
      <c r="N661" s="2"/>
    </row>
    <row r="662" customFormat="false" ht="14.25" hidden="false" customHeight="false" outlineLevel="0" collapsed="false">
      <c r="A662" s="10" t="s">
        <v>647</v>
      </c>
      <c r="B662" s="10" t="s">
        <v>853</v>
      </c>
      <c r="C662" s="10" t="s">
        <v>600</v>
      </c>
      <c r="D662" s="14" t="b">
        <f aca="false">TRUE()</f>
        <v>1</v>
      </c>
      <c r="E662" s="11" t="n">
        <v>108</v>
      </c>
      <c r="F662" s="13" t="n">
        <f aca="false">E662/SUMIFS($E$2:$E$783,$A$2:$A$783,A662)</f>
        <v>0.9</v>
      </c>
      <c r="G662" s="11" t="n">
        <v>0</v>
      </c>
      <c r="H662" s="18" t="n">
        <v>45057</v>
      </c>
      <c r="I662" s="18" t="n">
        <v>45773</v>
      </c>
      <c r="J662" s="10" t="s">
        <v>854</v>
      </c>
      <c r="K662" s="10" t="s">
        <v>1437</v>
      </c>
      <c r="L662" s="2"/>
      <c r="M662" s="2"/>
      <c r="N662" s="2"/>
    </row>
    <row r="663" customFormat="false" ht="14.25" hidden="false" customHeight="false" outlineLevel="0" collapsed="false">
      <c r="A663" s="4" t="s">
        <v>647</v>
      </c>
      <c r="B663" s="4" t="s">
        <v>853</v>
      </c>
      <c r="C663" s="4" t="s">
        <v>829</v>
      </c>
      <c r="D663" s="8" t="b">
        <f aca="false">FALSE()</f>
        <v>0</v>
      </c>
      <c r="E663" s="5" t="n">
        <v>12</v>
      </c>
      <c r="F663" s="7" t="n">
        <f aca="false">E663/SUMIFS($E$2:$E$783,$A$2:$A$783,A663)</f>
        <v>0.1</v>
      </c>
      <c r="G663" s="5" t="n">
        <v>0</v>
      </c>
      <c r="H663" s="17" t="n">
        <v>44942</v>
      </c>
      <c r="I663" s="17" t="n">
        <v>45054</v>
      </c>
      <c r="J663" s="4" t="s">
        <v>856</v>
      </c>
      <c r="K663" s="4" t="s">
        <v>1438</v>
      </c>
      <c r="L663" s="2"/>
      <c r="M663" s="2"/>
      <c r="N663" s="2"/>
    </row>
    <row r="664" customFormat="false" ht="14.25" hidden="false" customHeight="false" outlineLevel="0" collapsed="false">
      <c r="A664" s="10" t="s">
        <v>652</v>
      </c>
      <c r="B664" s="10" t="s">
        <v>853</v>
      </c>
      <c r="C664" s="10" t="s">
        <v>653</v>
      </c>
      <c r="D664" s="14" t="b">
        <f aca="false">TRUE()</f>
        <v>1</v>
      </c>
      <c r="E664" s="11" t="n">
        <v>3438</v>
      </c>
      <c r="F664" s="13" t="n">
        <f aca="false">E664/SUMIFS($E$2:$E$783,$A$2:$A$783,A664)</f>
        <v>0.838536585365854</v>
      </c>
      <c r="G664" s="11" t="n">
        <v>939</v>
      </c>
      <c r="H664" s="18" t="n">
        <v>44935</v>
      </c>
      <c r="I664" s="18" t="n">
        <v>46296</v>
      </c>
      <c r="J664" s="10" t="s">
        <v>854</v>
      </c>
      <c r="K664" s="10" t="s">
        <v>939</v>
      </c>
      <c r="L664" s="2"/>
      <c r="M664" s="2"/>
      <c r="N664" s="2"/>
    </row>
    <row r="665" customFormat="false" ht="14.25" hidden="false" customHeight="false" outlineLevel="0" collapsed="false">
      <c r="A665" s="4" t="s">
        <v>652</v>
      </c>
      <c r="B665" s="4" t="s">
        <v>853</v>
      </c>
      <c r="C665" s="4" t="s">
        <v>1439</v>
      </c>
      <c r="D665" s="8" t="b">
        <f aca="false">FALSE()</f>
        <v>0</v>
      </c>
      <c r="E665" s="5" t="n">
        <v>662</v>
      </c>
      <c r="F665" s="7" t="n">
        <f aca="false">E665/SUMIFS($E$2:$E$783,$A$2:$A$783,A665)</f>
        <v>0.161463414634146</v>
      </c>
      <c r="G665" s="5" t="n">
        <v>0</v>
      </c>
      <c r="H665" s="17" t="n">
        <v>44928</v>
      </c>
      <c r="I665" s="17" t="n">
        <v>45244</v>
      </c>
      <c r="J665" s="4" t="s">
        <v>856</v>
      </c>
      <c r="K665" s="4" t="s">
        <v>1440</v>
      </c>
      <c r="L665" s="2"/>
      <c r="M665" s="2"/>
      <c r="N665" s="2"/>
    </row>
    <row r="666" customFormat="false" ht="14.25" hidden="false" customHeight="false" outlineLevel="0" collapsed="false">
      <c r="A666" s="10" t="s">
        <v>654</v>
      </c>
      <c r="B666" s="10" t="s">
        <v>853</v>
      </c>
      <c r="C666" s="10" t="s">
        <v>653</v>
      </c>
      <c r="D666" s="14" t="b">
        <f aca="false">TRUE()</f>
        <v>1</v>
      </c>
      <c r="E666" s="11" t="n">
        <v>1906</v>
      </c>
      <c r="F666" s="13" t="n">
        <f aca="false">E666/SUMIFS($E$2:$E$783,$A$2:$A$783,A666)</f>
        <v>0.86400725294651</v>
      </c>
      <c r="G666" s="11" t="n">
        <v>421</v>
      </c>
      <c r="H666" s="18" t="n">
        <v>44946</v>
      </c>
      <c r="I666" s="18" t="n">
        <v>46296</v>
      </c>
      <c r="J666" s="10" t="s">
        <v>854</v>
      </c>
      <c r="K666" s="10" t="s">
        <v>1441</v>
      </c>
      <c r="L666" s="2"/>
      <c r="M666" s="2"/>
      <c r="N666" s="2"/>
    </row>
    <row r="667" customFormat="false" ht="14.25" hidden="false" customHeight="false" outlineLevel="0" collapsed="false">
      <c r="A667" s="4" t="s">
        <v>654</v>
      </c>
      <c r="B667" s="4" t="s">
        <v>853</v>
      </c>
      <c r="C667" s="4" t="s">
        <v>1439</v>
      </c>
      <c r="D667" s="8" t="b">
        <f aca="false">FALSE()</f>
        <v>0</v>
      </c>
      <c r="E667" s="5" t="n">
        <v>300</v>
      </c>
      <c r="F667" s="7" t="n">
        <f aca="false">E667/SUMIFS($E$2:$E$783,$A$2:$A$783,A667)</f>
        <v>0.135992747053491</v>
      </c>
      <c r="G667" s="5" t="n">
        <v>0</v>
      </c>
      <c r="H667" s="17" t="n">
        <v>44930</v>
      </c>
      <c r="I667" s="17" t="n">
        <v>45240</v>
      </c>
      <c r="J667" s="4" t="s">
        <v>856</v>
      </c>
      <c r="K667" s="4" t="s">
        <v>1442</v>
      </c>
      <c r="L667" s="2"/>
      <c r="M667" s="2"/>
      <c r="N667" s="2"/>
    </row>
    <row r="668" customFormat="false" ht="14.25" hidden="false" customHeight="false" outlineLevel="0" collapsed="false">
      <c r="A668" s="10" t="s">
        <v>655</v>
      </c>
      <c r="B668" s="10" t="s">
        <v>853</v>
      </c>
      <c r="C668" s="10" t="s">
        <v>653</v>
      </c>
      <c r="D668" s="14" t="b">
        <f aca="false">TRUE()</f>
        <v>1</v>
      </c>
      <c r="E668" s="11" t="n">
        <v>1337</v>
      </c>
      <c r="F668" s="13" t="n">
        <f aca="false">E668/SUMIFS($E$2:$E$783,$A$2:$A$783,A668)</f>
        <v>0.834061135371179</v>
      </c>
      <c r="G668" s="11" t="n">
        <v>376</v>
      </c>
      <c r="H668" s="18" t="n">
        <v>45070</v>
      </c>
      <c r="I668" s="18" t="n">
        <v>46294</v>
      </c>
      <c r="J668" s="10" t="s">
        <v>854</v>
      </c>
      <c r="K668" s="10" t="s">
        <v>1443</v>
      </c>
      <c r="L668" s="2"/>
      <c r="M668" s="2"/>
      <c r="N668" s="2"/>
    </row>
    <row r="669" customFormat="false" ht="14.25" hidden="false" customHeight="false" outlineLevel="0" collapsed="false">
      <c r="A669" s="4" t="s">
        <v>655</v>
      </c>
      <c r="B669" s="4" t="s">
        <v>853</v>
      </c>
      <c r="C669" s="4" t="s">
        <v>1439</v>
      </c>
      <c r="D669" s="8" t="b">
        <f aca="false">FALSE()</f>
        <v>0</v>
      </c>
      <c r="E669" s="5" t="n">
        <v>266</v>
      </c>
      <c r="F669" s="7" t="n">
        <f aca="false">E669/SUMIFS($E$2:$E$783,$A$2:$A$783,A669)</f>
        <v>0.165938864628821</v>
      </c>
      <c r="G669" s="5" t="n">
        <v>0</v>
      </c>
      <c r="H669" s="17" t="n">
        <v>44929</v>
      </c>
      <c r="I669" s="17" t="n">
        <v>45244</v>
      </c>
      <c r="J669" s="4" t="s">
        <v>856</v>
      </c>
      <c r="K669" s="4" t="s">
        <v>1444</v>
      </c>
      <c r="L669" s="2"/>
      <c r="M669" s="2"/>
      <c r="N669" s="2"/>
    </row>
    <row r="670" customFormat="false" ht="14.25" hidden="false" customHeight="false" outlineLevel="0" collapsed="false">
      <c r="A670" s="10" t="s">
        <v>661</v>
      </c>
      <c r="B670" s="10" t="s">
        <v>853</v>
      </c>
      <c r="C670" s="10" t="s">
        <v>662</v>
      </c>
      <c r="D670" s="14" t="b">
        <f aca="false">TRUE()</f>
        <v>1</v>
      </c>
      <c r="E670" s="11" t="n">
        <v>12882</v>
      </c>
      <c r="F670" s="13" t="n">
        <f aca="false">E670/SUMIFS($E$2:$E$783,$A$2:$A$783,A670)</f>
        <v>0.848504808325649</v>
      </c>
      <c r="G670" s="11" t="n">
        <v>3546</v>
      </c>
      <c r="H670" s="18" t="n">
        <v>44937</v>
      </c>
      <c r="I670" s="18" t="n">
        <v>46296</v>
      </c>
      <c r="J670" s="10" t="s">
        <v>854</v>
      </c>
      <c r="K670" s="10" t="s">
        <v>1226</v>
      </c>
      <c r="L670" s="2"/>
      <c r="M670" s="2"/>
      <c r="N670" s="2"/>
    </row>
    <row r="671" customFormat="false" ht="14.25" hidden="false" customHeight="false" outlineLevel="0" collapsed="false">
      <c r="A671" s="4" t="s">
        <v>661</v>
      </c>
      <c r="B671" s="4" t="s">
        <v>853</v>
      </c>
      <c r="C671" s="4" t="s">
        <v>1445</v>
      </c>
      <c r="D671" s="8" t="b">
        <f aca="false">FALSE()</f>
        <v>0</v>
      </c>
      <c r="E671" s="5" t="n">
        <v>2300</v>
      </c>
      <c r="F671" s="7" t="n">
        <f aca="false">E671/SUMIFS($E$2:$E$783,$A$2:$A$783,A671)</f>
        <v>0.151495191674351</v>
      </c>
      <c r="G671" s="5" t="n">
        <v>0</v>
      </c>
      <c r="H671" s="17" t="n">
        <v>44928</v>
      </c>
      <c r="I671" s="17" t="n">
        <v>45163</v>
      </c>
      <c r="J671" s="4" t="s">
        <v>856</v>
      </c>
      <c r="K671" s="4" t="s">
        <v>1446</v>
      </c>
      <c r="L671" s="2"/>
      <c r="M671" s="2"/>
      <c r="N671" s="2"/>
    </row>
    <row r="672" customFormat="false" ht="14.25" hidden="false" customHeight="false" outlineLevel="0" collapsed="false">
      <c r="A672" s="10" t="s">
        <v>668</v>
      </c>
      <c r="B672" s="10" t="s">
        <v>853</v>
      </c>
      <c r="C672" s="10" t="s">
        <v>669</v>
      </c>
      <c r="D672" s="14" t="b">
        <f aca="false">TRUE()</f>
        <v>1</v>
      </c>
      <c r="E672" s="11" t="n">
        <v>2153</v>
      </c>
      <c r="F672" s="13" t="n">
        <f aca="false">E672/SUMIFS($E$2:$E$783,$A$2:$A$783,A672)</f>
        <v>0.534508440913605</v>
      </c>
      <c r="G672" s="11" t="n">
        <v>0</v>
      </c>
      <c r="H672" s="18" t="n">
        <v>44928</v>
      </c>
      <c r="I672" s="18" t="n">
        <v>45055</v>
      </c>
      <c r="J672" s="10" t="s">
        <v>854</v>
      </c>
      <c r="K672" s="10" t="s">
        <v>907</v>
      </c>
      <c r="L672" s="2"/>
      <c r="M672" s="2"/>
      <c r="N672" s="2"/>
    </row>
    <row r="673" customFormat="false" ht="14.25" hidden="false" customHeight="false" outlineLevel="0" collapsed="false">
      <c r="A673" s="4" t="s">
        <v>668</v>
      </c>
      <c r="B673" s="4" t="s">
        <v>853</v>
      </c>
      <c r="C673" s="4" t="s">
        <v>708</v>
      </c>
      <c r="D673" s="8" t="b">
        <f aca="false">FALSE()</f>
        <v>0</v>
      </c>
      <c r="E673" s="5" t="n">
        <v>1875</v>
      </c>
      <c r="F673" s="7" t="n">
        <f aca="false">E673/SUMIFS($E$2:$E$783,$A$2:$A$783,A673)</f>
        <v>0.465491559086395</v>
      </c>
      <c r="G673" s="5" t="n">
        <v>0</v>
      </c>
      <c r="H673" s="17" t="n">
        <v>45014</v>
      </c>
      <c r="I673" s="17" t="n">
        <v>45174</v>
      </c>
      <c r="J673" s="4" t="s">
        <v>859</v>
      </c>
      <c r="K673" s="4" t="s">
        <v>1447</v>
      </c>
      <c r="L673" s="2"/>
      <c r="M673" s="2"/>
      <c r="N673" s="2"/>
    </row>
    <row r="674" customFormat="false" ht="14.25" hidden="false" customHeight="false" outlineLevel="0" collapsed="false">
      <c r="A674" s="10" t="s">
        <v>670</v>
      </c>
      <c r="B674" s="10" t="s">
        <v>853</v>
      </c>
      <c r="C674" s="10" t="s">
        <v>669</v>
      </c>
      <c r="D674" s="14" t="b">
        <f aca="false">TRUE()</f>
        <v>1</v>
      </c>
      <c r="E674" s="11" t="n">
        <v>1892</v>
      </c>
      <c r="F674" s="13" t="n">
        <f aca="false">E674/SUMIFS($E$2:$E$783,$A$2:$A$783,A674)</f>
        <v>0.619109947643979</v>
      </c>
      <c r="G674" s="11" t="n">
        <v>0</v>
      </c>
      <c r="H674" s="18" t="n">
        <v>44928</v>
      </c>
      <c r="I674" s="18" t="n">
        <v>45055</v>
      </c>
      <c r="J674" s="10" t="s">
        <v>854</v>
      </c>
      <c r="K674" s="10" t="s">
        <v>907</v>
      </c>
      <c r="L674" s="2"/>
      <c r="M674" s="2"/>
      <c r="N674" s="2"/>
    </row>
    <row r="675" customFormat="false" ht="14.25" hidden="false" customHeight="false" outlineLevel="0" collapsed="false">
      <c r="A675" s="4" t="s">
        <v>670</v>
      </c>
      <c r="B675" s="4" t="s">
        <v>853</v>
      </c>
      <c r="C675" s="4" t="s">
        <v>708</v>
      </c>
      <c r="D675" s="8" t="b">
        <f aca="false">FALSE()</f>
        <v>0</v>
      </c>
      <c r="E675" s="5" t="n">
        <v>1164</v>
      </c>
      <c r="F675" s="7" t="n">
        <f aca="false">E675/SUMIFS($E$2:$E$783,$A$2:$A$783,A675)</f>
        <v>0.380890052356021</v>
      </c>
      <c r="G675" s="5" t="n">
        <v>0</v>
      </c>
      <c r="H675" s="17" t="n">
        <v>45043</v>
      </c>
      <c r="I675" s="17" t="n">
        <v>45174</v>
      </c>
      <c r="J675" s="4" t="s">
        <v>859</v>
      </c>
      <c r="K675" s="4" t="s">
        <v>1448</v>
      </c>
      <c r="L675" s="2"/>
      <c r="M675" s="2"/>
      <c r="N675" s="2"/>
    </row>
    <row r="676" customFormat="false" ht="14.25" hidden="false" customHeight="false" outlineLevel="0" collapsed="false">
      <c r="A676" s="10" t="s">
        <v>671</v>
      </c>
      <c r="B676" s="10" t="s">
        <v>853</v>
      </c>
      <c r="C676" s="10" t="s">
        <v>669</v>
      </c>
      <c r="D676" s="14" t="b">
        <f aca="false">TRUE()</f>
        <v>1</v>
      </c>
      <c r="E676" s="11" t="n">
        <v>833</v>
      </c>
      <c r="F676" s="13" t="n">
        <f aca="false">E676/SUMIFS($E$2:$E$783,$A$2:$A$783,A676)</f>
        <v>0.607585703865791</v>
      </c>
      <c r="G676" s="11" t="n">
        <v>0</v>
      </c>
      <c r="H676" s="18" t="n">
        <v>44929</v>
      </c>
      <c r="I676" s="18" t="n">
        <v>45055</v>
      </c>
      <c r="J676" s="10" t="s">
        <v>854</v>
      </c>
      <c r="K676" s="10" t="s">
        <v>1449</v>
      </c>
      <c r="L676" s="2"/>
      <c r="M676" s="2"/>
      <c r="N676" s="2"/>
    </row>
    <row r="677" customFormat="false" ht="14.25" hidden="false" customHeight="false" outlineLevel="0" collapsed="false">
      <c r="A677" s="4" t="s">
        <v>671</v>
      </c>
      <c r="B677" s="4" t="s">
        <v>853</v>
      </c>
      <c r="C677" s="4" t="s">
        <v>708</v>
      </c>
      <c r="D677" s="8" t="b">
        <f aca="false">FALSE()</f>
        <v>0</v>
      </c>
      <c r="E677" s="5" t="n">
        <v>538</v>
      </c>
      <c r="F677" s="7" t="n">
        <f aca="false">E677/SUMIFS($E$2:$E$783,$A$2:$A$783,A677)</f>
        <v>0.392414296134209</v>
      </c>
      <c r="G677" s="5" t="n">
        <v>0</v>
      </c>
      <c r="H677" s="17" t="n">
        <v>44974</v>
      </c>
      <c r="I677" s="17" t="n">
        <v>45174</v>
      </c>
      <c r="J677" s="4" t="s">
        <v>859</v>
      </c>
      <c r="K677" s="4" t="s">
        <v>1450</v>
      </c>
      <c r="L677" s="2"/>
      <c r="M677" s="2"/>
      <c r="N677" s="2"/>
    </row>
    <row r="678" customFormat="false" ht="14.25" hidden="false" customHeight="false" outlineLevel="0" collapsed="false">
      <c r="A678" s="10" t="s">
        <v>672</v>
      </c>
      <c r="B678" s="10" t="s">
        <v>853</v>
      </c>
      <c r="C678" s="10" t="s">
        <v>669</v>
      </c>
      <c r="D678" s="14" t="b">
        <f aca="false">TRUE()</f>
        <v>1</v>
      </c>
      <c r="E678" s="11" t="n">
        <v>787</v>
      </c>
      <c r="F678" s="13" t="n">
        <f aca="false">E678/SUMIFS($E$2:$E$783,$A$2:$A$783,A678)</f>
        <v>0.811340206185567</v>
      </c>
      <c r="G678" s="11" t="n">
        <v>0</v>
      </c>
      <c r="H678" s="18" t="n">
        <v>44928</v>
      </c>
      <c r="I678" s="18" t="n">
        <v>45055</v>
      </c>
      <c r="J678" s="10" t="s">
        <v>854</v>
      </c>
      <c r="K678" s="10" t="s">
        <v>907</v>
      </c>
      <c r="L678" s="2"/>
      <c r="M678" s="2"/>
      <c r="N678" s="2"/>
    </row>
    <row r="679" customFormat="false" ht="14.25" hidden="false" customHeight="false" outlineLevel="0" collapsed="false">
      <c r="A679" s="4" t="s">
        <v>672</v>
      </c>
      <c r="B679" s="4" t="s">
        <v>853</v>
      </c>
      <c r="C679" s="4" t="s">
        <v>708</v>
      </c>
      <c r="D679" s="8" t="b">
        <f aca="false">FALSE()</f>
        <v>0</v>
      </c>
      <c r="E679" s="5" t="n">
        <v>183</v>
      </c>
      <c r="F679" s="7" t="n">
        <f aca="false">E679/SUMIFS($E$2:$E$783,$A$2:$A$783,A679)</f>
        <v>0.188659793814433</v>
      </c>
      <c r="G679" s="5" t="n">
        <v>0</v>
      </c>
      <c r="H679" s="17" t="n">
        <v>44992</v>
      </c>
      <c r="I679" s="17" t="n">
        <v>45069</v>
      </c>
      <c r="J679" s="4" t="s">
        <v>859</v>
      </c>
      <c r="K679" s="4" t="s">
        <v>1451</v>
      </c>
      <c r="L679" s="2"/>
      <c r="M679" s="2"/>
      <c r="N679" s="2"/>
    </row>
    <row r="680" customFormat="false" ht="14.25" hidden="false" customHeight="false" outlineLevel="0" collapsed="false">
      <c r="A680" s="10" t="s">
        <v>673</v>
      </c>
      <c r="B680" s="10" t="s">
        <v>853</v>
      </c>
      <c r="C680" s="10" t="s">
        <v>669</v>
      </c>
      <c r="D680" s="14" t="b">
        <f aca="false">TRUE()</f>
        <v>1</v>
      </c>
      <c r="E680" s="11" t="n">
        <v>80</v>
      </c>
      <c r="F680" s="13" t="n">
        <f aca="false">E680/SUMIFS($E$2:$E$783,$A$2:$A$783,A680)</f>
        <v>0.606060606060606</v>
      </c>
      <c r="G680" s="11" t="n">
        <v>0</v>
      </c>
      <c r="H680" s="18" t="n">
        <v>44928</v>
      </c>
      <c r="I680" s="18" t="n">
        <v>45054</v>
      </c>
      <c r="J680" s="10" t="s">
        <v>854</v>
      </c>
      <c r="K680" s="10" t="s">
        <v>1452</v>
      </c>
      <c r="L680" s="2"/>
      <c r="M680" s="2"/>
      <c r="N680" s="2"/>
    </row>
    <row r="681" customFormat="false" ht="14.25" hidden="false" customHeight="false" outlineLevel="0" collapsed="false">
      <c r="A681" s="4" t="s">
        <v>673</v>
      </c>
      <c r="B681" s="4" t="s">
        <v>853</v>
      </c>
      <c r="C681" s="4" t="s">
        <v>708</v>
      </c>
      <c r="D681" s="8" t="b">
        <f aca="false">FALSE()</f>
        <v>0</v>
      </c>
      <c r="E681" s="5" t="n">
        <v>52</v>
      </c>
      <c r="F681" s="7" t="n">
        <f aca="false">E681/SUMIFS($E$2:$E$783,$A$2:$A$783,A681)</f>
        <v>0.393939393939394</v>
      </c>
      <c r="G681" s="5" t="n">
        <v>0</v>
      </c>
      <c r="H681" s="17" t="n">
        <v>45000</v>
      </c>
      <c r="I681" s="17" t="n">
        <v>45174</v>
      </c>
      <c r="J681" s="4" t="s">
        <v>859</v>
      </c>
      <c r="K681" s="4" t="s">
        <v>1453</v>
      </c>
      <c r="L681" s="2"/>
      <c r="M681" s="2"/>
      <c r="N681" s="2"/>
    </row>
    <row r="682" customFormat="false" ht="14.25" hidden="false" customHeight="false" outlineLevel="0" collapsed="false">
      <c r="A682" s="10" t="s">
        <v>674</v>
      </c>
      <c r="B682" s="10" t="s">
        <v>853</v>
      </c>
      <c r="C682" s="10" t="s">
        <v>669</v>
      </c>
      <c r="D682" s="14" t="b">
        <f aca="false">TRUE()</f>
        <v>1</v>
      </c>
      <c r="E682" s="11" t="n">
        <v>40</v>
      </c>
      <c r="F682" s="13" t="n">
        <f aca="false">E682/SUMIFS($E$2:$E$783,$A$2:$A$783,A682)</f>
        <v>0.740740740740741</v>
      </c>
      <c r="G682" s="11" t="n">
        <v>0</v>
      </c>
      <c r="H682" s="18" t="n">
        <v>44932</v>
      </c>
      <c r="I682" s="18" t="n">
        <v>45054</v>
      </c>
      <c r="J682" s="10" t="s">
        <v>854</v>
      </c>
      <c r="K682" s="10" t="s">
        <v>1454</v>
      </c>
      <c r="L682" s="2"/>
      <c r="M682" s="2"/>
      <c r="N682" s="2"/>
    </row>
    <row r="683" customFormat="false" ht="14.25" hidden="false" customHeight="false" outlineLevel="0" collapsed="false">
      <c r="A683" s="4" t="s">
        <v>674</v>
      </c>
      <c r="B683" s="4" t="s">
        <v>853</v>
      </c>
      <c r="C683" s="4" t="s">
        <v>708</v>
      </c>
      <c r="D683" s="8" t="b">
        <f aca="false">FALSE()</f>
        <v>0</v>
      </c>
      <c r="E683" s="5" t="n">
        <v>14</v>
      </c>
      <c r="F683" s="7" t="n">
        <f aca="false">E683/SUMIFS($E$2:$E$783,$A$2:$A$783,A683)</f>
        <v>0.259259259259259</v>
      </c>
      <c r="G683" s="5" t="n">
        <v>0</v>
      </c>
      <c r="H683" s="17" t="n">
        <v>45055</v>
      </c>
      <c r="I683" s="17" t="n">
        <v>45163</v>
      </c>
      <c r="J683" s="4" t="s">
        <v>859</v>
      </c>
      <c r="K683" s="4" t="s">
        <v>1455</v>
      </c>
      <c r="L683" s="2"/>
      <c r="M683" s="2"/>
      <c r="N683" s="2"/>
    </row>
    <row r="684" customFormat="false" ht="14.25" hidden="false" customHeight="false" outlineLevel="0" collapsed="false">
      <c r="A684" s="10" t="s">
        <v>675</v>
      </c>
      <c r="B684" s="10" t="s">
        <v>853</v>
      </c>
      <c r="C684" s="10" t="s">
        <v>669</v>
      </c>
      <c r="D684" s="14" t="b">
        <f aca="false">TRUE()</f>
        <v>1</v>
      </c>
      <c r="E684" s="11" t="n">
        <v>30</v>
      </c>
      <c r="F684" s="13" t="n">
        <f aca="false">E684/SUMIFS($E$2:$E$783,$A$2:$A$783,A684)</f>
        <v>0.6</v>
      </c>
      <c r="G684" s="11" t="n">
        <v>0</v>
      </c>
      <c r="H684" s="18" t="n">
        <v>44930</v>
      </c>
      <c r="I684" s="18" t="n">
        <v>45055</v>
      </c>
      <c r="J684" s="10" t="s">
        <v>854</v>
      </c>
      <c r="K684" s="10" t="s">
        <v>1456</v>
      </c>
      <c r="L684" s="2"/>
      <c r="M684" s="2"/>
      <c r="N684" s="2"/>
    </row>
    <row r="685" customFormat="false" ht="14.25" hidden="false" customHeight="false" outlineLevel="0" collapsed="false">
      <c r="A685" s="4" t="s">
        <v>675</v>
      </c>
      <c r="B685" s="4" t="s">
        <v>853</v>
      </c>
      <c r="C685" s="4" t="s">
        <v>708</v>
      </c>
      <c r="D685" s="8" t="b">
        <f aca="false">FALSE()</f>
        <v>0</v>
      </c>
      <c r="E685" s="5" t="n">
        <v>20</v>
      </c>
      <c r="F685" s="7" t="n">
        <f aca="false">E685/SUMIFS($E$2:$E$783,$A$2:$A$783,A685)</f>
        <v>0.4</v>
      </c>
      <c r="G685" s="5" t="n">
        <v>0</v>
      </c>
      <c r="H685" s="17" t="n">
        <v>45056</v>
      </c>
      <c r="I685" s="17" t="n">
        <v>45174</v>
      </c>
      <c r="J685" s="4" t="s">
        <v>859</v>
      </c>
      <c r="K685" s="4" t="s">
        <v>1457</v>
      </c>
      <c r="L685" s="2"/>
      <c r="M685" s="2"/>
      <c r="N685" s="2"/>
    </row>
    <row r="686" customFormat="false" ht="14.25" hidden="false" customHeight="false" outlineLevel="0" collapsed="false">
      <c r="A686" s="10" t="s">
        <v>676</v>
      </c>
      <c r="B686" s="10" t="s">
        <v>853</v>
      </c>
      <c r="C686" s="10" t="s">
        <v>669</v>
      </c>
      <c r="D686" s="14" t="b">
        <f aca="false">TRUE()</f>
        <v>1</v>
      </c>
      <c r="E686" s="11" t="n">
        <v>13</v>
      </c>
      <c r="F686" s="13" t="n">
        <f aca="false">E686/SUMIFS($E$2:$E$783,$A$2:$A$783,A686)</f>
        <v>0.928571428571429</v>
      </c>
      <c r="G686" s="11" t="n">
        <v>0</v>
      </c>
      <c r="H686" s="18" t="n">
        <v>44929</v>
      </c>
      <c r="I686" s="18" t="n">
        <v>45035</v>
      </c>
      <c r="J686" s="10" t="s">
        <v>854</v>
      </c>
      <c r="K686" s="10" t="s">
        <v>1458</v>
      </c>
      <c r="L686" s="2"/>
      <c r="M686" s="2"/>
      <c r="N686" s="2"/>
    </row>
    <row r="687" customFormat="false" ht="14.25" hidden="false" customHeight="false" outlineLevel="0" collapsed="false">
      <c r="A687" s="4" t="s">
        <v>676</v>
      </c>
      <c r="B687" s="4" t="s">
        <v>853</v>
      </c>
      <c r="C687" s="4" t="s">
        <v>708</v>
      </c>
      <c r="D687" s="8" t="b">
        <f aca="false">FALSE()</f>
        <v>0</v>
      </c>
      <c r="E687" s="5" t="n">
        <v>1</v>
      </c>
      <c r="F687" s="7" t="n">
        <f aca="false">E687/SUMIFS($E$2:$E$783,$A$2:$A$783,A687)</f>
        <v>0.0714285714285714</v>
      </c>
      <c r="G687" s="5" t="n">
        <v>0</v>
      </c>
      <c r="H687" s="17" t="n">
        <v>45069</v>
      </c>
      <c r="I687" s="17" t="n">
        <v>45069</v>
      </c>
      <c r="J687" s="4" t="s">
        <v>859</v>
      </c>
      <c r="K687" s="4" t="s">
        <v>1459</v>
      </c>
      <c r="L687" s="2"/>
      <c r="M687" s="2"/>
      <c r="N687" s="2"/>
    </row>
    <row r="688" customFormat="false" ht="14.25" hidden="false" customHeight="false" outlineLevel="0" collapsed="false">
      <c r="A688" s="10" t="s">
        <v>683</v>
      </c>
      <c r="B688" s="10" t="s">
        <v>853</v>
      </c>
      <c r="C688" s="10" t="s">
        <v>680</v>
      </c>
      <c r="D688" s="14" t="b">
        <f aca="false">TRUE()</f>
        <v>1</v>
      </c>
      <c r="E688" s="11" t="n">
        <v>10</v>
      </c>
      <c r="F688" s="13" t="n">
        <f aca="false">E688/SUMIFS($E$2:$E$783,$A$2:$A$783,A688)</f>
        <v>0.588235294117647</v>
      </c>
      <c r="G688" s="11" t="n">
        <v>0</v>
      </c>
      <c r="H688" s="18" t="n">
        <v>45053</v>
      </c>
      <c r="I688" s="18" t="n">
        <v>45234</v>
      </c>
      <c r="J688" s="10" t="s">
        <v>854</v>
      </c>
      <c r="K688" s="10" t="s">
        <v>1460</v>
      </c>
      <c r="L688" s="2"/>
      <c r="M688" s="2"/>
      <c r="N688" s="2"/>
    </row>
    <row r="689" customFormat="false" ht="14.25" hidden="false" customHeight="false" outlineLevel="0" collapsed="false">
      <c r="A689" s="4" t="s">
        <v>683</v>
      </c>
      <c r="B689" s="4" t="s">
        <v>853</v>
      </c>
      <c r="C689" s="4" t="s">
        <v>1461</v>
      </c>
      <c r="D689" s="8" t="b">
        <f aca="false">FALSE()</f>
        <v>0</v>
      </c>
      <c r="E689" s="5" t="n">
        <v>7</v>
      </c>
      <c r="F689" s="7" t="n">
        <f aca="false">E689/SUMIFS($E$2:$E$783,$A$2:$A$783,A689)</f>
        <v>0.411764705882353</v>
      </c>
      <c r="G689" s="5" t="n">
        <v>0</v>
      </c>
      <c r="H689" s="17" t="n">
        <v>44939</v>
      </c>
      <c r="I689" s="17" t="n">
        <v>45020</v>
      </c>
      <c r="J689" s="4" t="s">
        <v>859</v>
      </c>
      <c r="K689" s="4" t="s">
        <v>1462</v>
      </c>
      <c r="L689" s="2"/>
      <c r="M689" s="2"/>
      <c r="N689" s="2"/>
    </row>
    <row r="690" customFormat="false" ht="14.25" hidden="false" customHeight="false" outlineLevel="0" collapsed="false">
      <c r="A690" s="10" t="s">
        <v>684</v>
      </c>
      <c r="B690" s="10" t="s">
        <v>853</v>
      </c>
      <c r="C690" s="10" t="s">
        <v>680</v>
      </c>
      <c r="D690" s="14" t="b">
        <f aca="false">TRUE()</f>
        <v>1</v>
      </c>
      <c r="E690" s="11" t="n">
        <v>7</v>
      </c>
      <c r="F690" s="13" t="n">
        <f aca="false">E690/SUMIFS($E$2:$E$783,$A$2:$A$783,A690)</f>
        <v>0.583333333333333</v>
      </c>
      <c r="G690" s="11" t="n">
        <v>0</v>
      </c>
      <c r="H690" s="18" t="n">
        <v>45089</v>
      </c>
      <c r="I690" s="18" t="n">
        <v>45198</v>
      </c>
      <c r="J690" s="10" t="s">
        <v>854</v>
      </c>
      <c r="K690" s="10" t="s">
        <v>1463</v>
      </c>
      <c r="L690" s="2"/>
      <c r="M690" s="2"/>
      <c r="N690" s="2"/>
    </row>
    <row r="691" customFormat="false" ht="14.25" hidden="false" customHeight="false" outlineLevel="0" collapsed="false">
      <c r="A691" s="4" t="s">
        <v>684</v>
      </c>
      <c r="B691" s="4" t="s">
        <v>853</v>
      </c>
      <c r="C691" s="4" t="s">
        <v>1461</v>
      </c>
      <c r="D691" s="8" t="b">
        <f aca="false">FALSE()</f>
        <v>0</v>
      </c>
      <c r="E691" s="5" t="n">
        <v>5</v>
      </c>
      <c r="F691" s="7" t="n">
        <f aca="false">E691/SUMIFS($E$2:$E$783,$A$2:$A$783,A691)</f>
        <v>0.416666666666667</v>
      </c>
      <c r="G691" s="5" t="n">
        <v>0</v>
      </c>
      <c r="H691" s="17" t="n">
        <v>44932</v>
      </c>
      <c r="I691" s="17" t="n">
        <v>45031</v>
      </c>
      <c r="J691" s="4" t="s">
        <v>859</v>
      </c>
      <c r="K691" s="4" t="s">
        <v>1464</v>
      </c>
      <c r="L691" s="2"/>
      <c r="M691" s="2"/>
      <c r="N691" s="2"/>
    </row>
    <row r="692" customFormat="false" ht="14.25" hidden="false" customHeight="false" outlineLevel="0" collapsed="false">
      <c r="A692" s="10" t="s">
        <v>692</v>
      </c>
      <c r="B692" s="10" t="s">
        <v>853</v>
      </c>
      <c r="C692" s="10" t="s">
        <v>686</v>
      </c>
      <c r="D692" s="14" t="b">
        <f aca="false">TRUE()</f>
        <v>1</v>
      </c>
      <c r="E692" s="11" t="n">
        <v>14</v>
      </c>
      <c r="F692" s="13" t="n">
        <f aca="false">E692/SUMIFS($E$2:$E$783,$A$2:$A$783,A692)</f>
        <v>0.56</v>
      </c>
      <c r="G692" s="11" t="n">
        <v>0</v>
      </c>
      <c r="H692" s="18" t="n">
        <v>45000</v>
      </c>
      <c r="I692" s="18" t="n">
        <v>45133</v>
      </c>
      <c r="J692" s="10" t="s">
        <v>854</v>
      </c>
      <c r="K692" s="10" t="s">
        <v>1465</v>
      </c>
      <c r="L692" s="2"/>
      <c r="M692" s="2"/>
      <c r="N692" s="2"/>
    </row>
    <row r="693" customFormat="false" ht="14.25" hidden="false" customHeight="false" outlineLevel="0" collapsed="false">
      <c r="A693" s="4" t="s">
        <v>692</v>
      </c>
      <c r="B693" s="4" t="s">
        <v>853</v>
      </c>
      <c r="C693" s="4" t="s">
        <v>818</v>
      </c>
      <c r="D693" s="8" t="b">
        <f aca="false">FALSE()</f>
        <v>0</v>
      </c>
      <c r="E693" s="5" t="n">
        <v>11</v>
      </c>
      <c r="F693" s="7" t="n">
        <f aca="false">E693/SUMIFS($E$2:$E$783,$A$2:$A$783,A693)</f>
        <v>0.44</v>
      </c>
      <c r="G693" s="5" t="n">
        <v>0</v>
      </c>
      <c r="H693" s="17" t="n">
        <v>44963</v>
      </c>
      <c r="I693" s="17" t="n">
        <v>45020</v>
      </c>
      <c r="J693" s="4" t="s">
        <v>859</v>
      </c>
      <c r="K693" s="4" t="s">
        <v>1466</v>
      </c>
      <c r="L693" s="2"/>
      <c r="M693" s="2"/>
      <c r="N693" s="2"/>
    </row>
    <row r="694" customFormat="false" ht="14.25" hidden="false" customHeight="false" outlineLevel="0" collapsed="false">
      <c r="A694" s="10" t="s">
        <v>695</v>
      </c>
      <c r="B694" s="10" t="s">
        <v>853</v>
      </c>
      <c r="C694" s="10" t="s">
        <v>686</v>
      </c>
      <c r="D694" s="14" t="b">
        <f aca="false">TRUE()</f>
        <v>1</v>
      </c>
      <c r="E694" s="11" t="n">
        <v>10</v>
      </c>
      <c r="F694" s="13" t="n">
        <f aca="false">E694/SUMIFS($E$2:$E$783,$A$2:$A$783,A694)</f>
        <v>0.714285714285714</v>
      </c>
      <c r="G694" s="11" t="n">
        <v>0</v>
      </c>
      <c r="H694" s="18" t="n">
        <v>45069</v>
      </c>
      <c r="I694" s="18" t="n">
        <v>45187</v>
      </c>
      <c r="J694" s="10" t="s">
        <v>854</v>
      </c>
      <c r="K694" s="10" t="s">
        <v>1467</v>
      </c>
      <c r="L694" s="2"/>
      <c r="M694" s="2"/>
      <c r="N694" s="2"/>
    </row>
    <row r="695" customFormat="false" ht="14.25" hidden="false" customHeight="false" outlineLevel="0" collapsed="false">
      <c r="A695" s="4" t="s">
        <v>695</v>
      </c>
      <c r="B695" s="4" t="s">
        <v>853</v>
      </c>
      <c r="C695" s="4" t="s">
        <v>822</v>
      </c>
      <c r="D695" s="8" t="b">
        <f aca="false">FALSE()</f>
        <v>0</v>
      </c>
      <c r="E695" s="5" t="n">
        <v>4</v>
      </c>
      <c r="F695" s="7" t="n">
        <f aca="false">E695/SUMIFS($E$2:$E$783,$A$2:$A$783,A695)</f>
        <v>0.285714285714286</v>
      </c>
      <c r="G695" s="5" t="n">
        <v>0</v>
      </c>
      <c r="H695" s="17" t="n">
        <v>44959</v>
      </c>
      <c r="I695" s="17" t="n">
        <v>45041</v>
      </c>
      <c r="J695" s="4" t="s">
        <v>859</v>
      </c>
      <c r="K695" s="4" t="s">
        <v>1133</v>
      </c>
      <c r="L695" s="2"/>
      <c r="M695" s="2"/>
      <c r="N695" s="2"/>
    </row>
    <row r="696" customFormat="false" ht="14.25" hidden="false" customHeight="false" outlineLevel="0" collapsed="false">
      <c r="A696" s="10" t="s">
        <v>696</v>
      </c>
      <c r="B696" s="10" t="s">
        <v>853</v>
      </c>
      <c r="C696" s="10" t="s">
        <v>686</v>
      </c>
      <c r="D696" s="14" t="b">
        <f aca="false">TRUE()</f>
        <v>1</v>
      </c>
      <c r="E696" s="11" t="n">
        <v>6</v>
      </c>
      <c r="F696" s="13" t="n">
        <f aca="false">E696/SUMIFS($E$2:$E$783,$A$2:$A$783,A696)</f>
        <v>0.857142857142857</v>
      </c>
      <c r="G696" s="11" t="n">
        <v>0</v>
      </c>
      <c r="H696" s="18" t="n">
        <v>45090</v>
      </c>
      <c r="I696" s="18" t="n">
        <v>45154</v>
      </c>
      <c r="J696" s="10" t="s">
        <v>854</v>
      </c>
      <c r="K696" s="10" t="s">
        <v>1468</v>
      </c>
      <c r="L696" s="2"/>
      <c r="M696" s="2"/>
      <c r="N696" s="2"/>
    </row>
    <row r="697" customFormat="false" ht="14.25" hidden="false" customHeight="false" outlineLevel="0" collapsed="false">
      <c r="A697" s="4" t="s">
        <v>696</v>
      </c>
      <c r="B697" s="4" t="s">
        <v>853</v>
      </c>
      <c r="C697" s="4" t="s">
        <v>822</v>
      </c>
      <c r="D697" s="8" t="b">
        <f aca="false">FALSE()</f>
        <v>0</v>
      </c>
      <c r="E697" s="5" t="n">
        <v>1</v>
      </c>
      <c r="F697" s="7" t="n">
        <f aca="false">E697/SUMIFS($E$2:$E$783,$A$2:$A$783,A697)</f>
        <v>0.142857142857143</v>
      </c>
      <c r="G697" s="5" t="n">
        <v>0</v>
      </c>
      <c r="H697" s="17" t="n">
        <v>44952</v>
      </c>
      <c r="I697" s="17" t="n">
        <v>44952</v>
      </c>
      <c r="J697" s="4" t="s">
        <v>859</v>
      </c>
      <c r="K697" s="4" t="s">
        <v>1469</v>
      </c>
      <c r="L697" s="2"/>
      <c r="M697" s="2"/>
      <c r="N697" s="2"/>
    </row>
    <row r="698" customFormat="false" ht="14.25" hidden="false" customHeight="false" outlineLevel="0" collapsed="false">
      <c r="A698" s="10" t="s">
        <v>702</v>
      </c>
      <c r="B698" s="10" t="s">
        <v>853</v>
      </c>
      <c r="C698" s="10" t="s">
        <v>701</v>
      </c>
      <c r="D698" s="14" t="b">
        <f aca="false">TRUE()</f>
        <v>1</v>
      </c>
      <c r="E698" s="11" t="n">
        <v>155</v>
      </c>
      <c r="F698" s="13" t="n">
        <f aca="false">E698/SUMIFS($E$2:$E$783,$A$2:$A$783,A698)</f>
        <v>0.962732919254658</v>
      </c>
      <c r="G698" s="11" t="n">
        <v>0</v>
      </c>
      <c r="H698" s="18" t="n">
        <v>45040</v>
      </c>
      <c r="I698" s="18" t="n">
        <v>45803</v>
      </c>
      <c r="J698" s="10" t="s">
        <v>854</v>
      </c>
      <c r="K698" s="10" t="s">
        <v>1470</v>
      </c>
      <c r="L698" s="2"/>
      <c r="M698" s="2"/>
      <c r="N698" s="2"/>
    </row>
    <row r="699" customFormat="false" ht="14.25" hidden="false" customHeight="false" outlineLevel="0" collapsed="false">
      <c r="A699" s="4" t="s">
        <v>702</v>
      </c>
      <c r="B699" s="4" t="s">
        <v>853</v>
      </c>
      <c r="C699" s="4" t="s">
        <v>1471</v>
      </c>
      <c r="D699" s="8" t="b">
        <f aca="false">FALSE()</f>
        <v>0</v>
      </c>
      <c r="E699" s="5" t="n">
        <v>6</v>
      </c>
      <c r="F699" s="7" t="n">
        <f aca="false">E699/SUMIFS($E$2:$E$783,$A$2:$A$783,A699)</f>
        <v>0.0372670807453416</v>
      </c>
      <c r="G699" s="5" t="n">
        <v>0</v>
      </c>
      <c r="H699" s="17" t="n">
        <v>44935</v>
      </c>
      <c r="I699" s="17" t="n">
        <v>45029</v>
      </c>
      <c r="J699" s="4" t="s">
        <v>856</v>
      </c>
      <c r="K699" s="4" t="s">
        <v>1472</v>
      </c>
      <c r="L699" s="2"/>
      <c r="M699" s="2"/>
      <c r="N699" s="2"/>
    </row>
    <row r="700" customFormat="false" ht="14.25" hidden="false" customHeight="false" outlineLevel="0" collapsed="false">
      <c r="A700" s="10" t="s">
        <v>709</v>
      </c>
      <c r="B700" s="10" t="s">
        <v>853</v>
      </c>
      <c r="C700" s="10" t="s">
        <v>708</v>
      </c>
      <c r="D700" s="14" t="b">
        <f aca="false">TRUE()</f>
        <v>1</v>
      </c>
      <c r="E700" s="11" t="n">
        <v>6218</v>
      </c>
      <c r="F700" s="13" t="n">
        <f aca="false">E700/SUMIFS($E$2:$E$783,$A$2:$A$783,A700)</f>
        <v>0.59315081560622</v>
      </c>
      <c r="G700" s="11" t="n">
        <v>0</v>
      </c>
      <c r="H700" s="18" t="n">
        <v>45035</v>
      </c>
      <c r="I700" s="18" t="n">
        <v>45174</v>
      </c>
      <c r="J700" s="10" t="s">
        <v>854</v>
      </c>
      <c r="K700" s="10" t="s">
        <v>1473</v>
      </c>
      <c r="L700" s="2"/>
      <c r="M700" s="2"/>
      <c r="N700" s="2"/>
    </row>
    <row r="701" customFormat="false" ht="14.25" hidden="false" customHeight="false" outlineLevel="0" collapsed="false">
      <c r="A701" s="4" t="s">
        <v>709</v>
      </c>
      <c r="B701" s="4" t="s">
        <v>853</v>
      </c>
      <c r="C701" s="4" t="s">
        <v>669</v>
      </c>
      <c r="D701" s="8" t="b">
        <f aca="false">FALSE()</f>
        <v>0</v>
      </c>
      <c r="E701" s="5" t="n">
        <v>4265</v>
      </c>
      <c r="F701" s="7" t="n">
        <f aca="false">E701/SUMIFS($E$2:$E$783,$A$2:$A$783,A701)</f>
        <v>0.40684918439378</v>
      </c>
      <c r="G701" s="5" t="n">
        <v>0</v>
      </c>
      <c r="H701" s="17" t="n">
        <v>44928</v>
      </c>
      <c r="I701" s="17" t="n">
        <v>45055</v>
      </c>
      <c r="J701" s="4" t="s">
        <v>859</v>
      </c>
      <c r="K701" s="4" t="s">
        <v>1474</v>
      </c>
      <c r="L701" s="2"/>
      <c r="M701" s="2"/>
      <c r="N701" s="2"/>
    </row>
    <row r="702" customFormat="false" ht="14.25" hidden="false" customHeight="false" outlineLevel="0" collapsed="false">
      <c r="A702" s="10" t="s">
        <v>711</v>
      </c>
      <c r="B702" s="10" t="s">
        <v>853</v>
      </c>
      <c r="C702" s="10" t="s">
        <v>708</v>
      </c>
      <c r="D702" s="14" t="b">
        <f aca="false">TRUE()</f>
        <v>1</v>
      </c>
      <c r="E702" s="11" t="n">
        <v>3193</v>
      </c>
      <c r="F702" s="13" t="n">
        <f aca="false">E702/SUMIFS($E$2:$E$783,$A$2:$A$783,A702)</f>
        <v>0.500313381385146</v>
      </c>
      <c r="G702" s="11" t="n">
        <v>0</v>
      </c>
      <c r="H702" s="18" t="n">
        <v>45019</v>
      </c>
      <c r="I702" s="18" t="n">
        <v>45174</v>
      </c>
      <c r="J702" s="10" t="s">
        <v>854</v>
      </c>
      <c r="K702" s="10" t="s">
        <v>1475</v>
      </c>
      <c r="L702" s="2"/>
      <c r="M702" s="2"/>
      <c r="N702" s="2"/>
    </row>
    <row r="703" customFormat="false" ht="14.25" hidden="false" customHeight="false" outlineLevel="0" collapsed="false">
      <c r="A703" s="4" t="s">
        <v>711</v>
      </c>
      <c r="B703" s="4" t="s">
        <v>853</v>
      </c>
      <c r="C703" s="4" t="s">
        <v>669</v>
      </c>
      <c r="D703" s="8" t="b">
        <f aca="false">FALSE()</f>
        <v>0</v>
      </c>
      <c r="E703" s="5" t="n">
        <v>3189</v>
      </c>
      <c r="F703" s="7" t="n">
        <f aca="false">E703/SUMIFS($E$2:$E$783,$A$2:$A$783,A703)</f>
        <v>0.499686618614854</v>
      </c>
      <c r="G703" s="5" t="n">
        <v>0</v>
      </c>
      <c r="H703" s="17" t="n">
        <v>44928</v>
      </c>
      <c r="I703" s="17" t="n">
        <v>45055</v>
      </c>
      <c r="J703" s="4" t="s">
        <v>859</v>
      </c>
      <c r="K703" s="4" t="s">
        <v>1476</v>
      </c>
      <c r="L703" s="2"/>
      <c r="M703" s="2"/>
      <c r="N703" s="2"/>
    </row>
    <row r="704" customFormat="false" ht="14.25" hidden="false" customHeight="false" outlineLevel="0" collapsed="false">
      <c r="A704" s="10" t="s">
        <v>714</v>
      </c>
      <c r="B704" s="10" t="s">
        <v>853</v>
      </c>
      <c r="C704" s="10" t="s">
        <v>708</v>
      </c>
      <c r="D704" s="14" t="b">
        <f aca="false">TRUE()</f>
        <v>1</v>
      </c>
      <c r="E704" s="11" t="n">
        <v>3241</v>
      </c>
      <c r="F704" s="13" t="n">
        <f aca="false">E704/SUMIFS($E$2:$E$783,$A$2:$A$783,A704)</f>
        <v>0.534201417504533</v>
      </c>
      <c r="G704" s="11" t="n">
        <v>0</v>
      </c>
      <c r="H704" s="18" t="n">
        <v>44984</v>
      </c>
      <c r="I704" s="18" t="n">
        <v>45174</v>
      </c>
      <c r="J704" s="10" t="s">
        <v>854</v>
      </c>
      <c r="K704" s="10" t="s">
        <v>1477</v>
      </c>
      <c r="L704" s="2"/>
      <c r="M704" s="2"/>
      <c r="N704" s="2"/>
    </row>
    <row r="705" customFormat="false" ht="14.25" hidden="false" customHeight="false" outlineLevel="0" collapsed="false">
      <c r="A705" s="4" t="s">
        <v>714</v>
      </c>
      <c r="B705" s="4" t="s">
        <v>853</v>
      </c>
      <c r="C705" s="4" t="s">
        <v>669</v>
      </c>
      <c r="D705" s="8" t="b">
        <f aca="false">FALSE()</f>
        <v>0</v>
      </c>
      <c r="E705" s="5" t="n">
        <v>2826</v>
      </c>
      <c r="F705" s="7" t="n">
        <f aca="false">E705/SUMIFS($E$2:$E$783,$A$2:$A$783,A705)</f>
        <v>0.465798582495467</v>
      </c>
      <c r="G705" s="5" t="n">
        <v>0</v>
      </c>
      <c r="H705" s="17" t="n">
        <v>44928</v>
      </c>
      <c r="I705" s="17" t="n">
        <v>45055</v>
      </c>
      <c r="J705" s="4" t="s">
        <v>859</v>
      </c>
      <c r="K705" s="4" t="s">
        <v>1305</v>
      </c>
      <c r="L705" s="2"/>
      <c r="M705" s="2"/>
      <c r="N705" s="2"/>
    </row>
    <row r="706" customFormat="false" ht="14.25" hidden="false" customHeight="false" outlineLevel="0" collapsed="false">
      <c r="A706" s="10" t="s">
        <v>721</v>
      </c>
      <c r="B706" s="10" t="s">
        <v>853</v>
      </c>
      <c r="C706" s="10" t="s">
        <v>708</v>
      </c>
      <c r="D706" s="14" t="b">
        <f aca="false">TRUE()</f>
        <v>1</v>
      </c>
      <c r="E706" s="11" t="n">
        <v>1713</v>
      </c>
      <c r="F706" s="13" t="n">
        <f aca="false">E706/SUMIFS($E$2:$E$783,$A$2:$A$783,A706)</f>
        <v>0.514723557692308</v>
      </c>
      <c r="G706" s="11" t="n">
        <v>0</v>
      </c>
      <c r="H706" s="18" t="n">
        <v>45041</v>
      </c>
      <c r="I706" s="18" t="n">
        <v>45174</v>
      </c>
      <c r="J706" s="10" t="s">
        <v>854</v>
      </c>
      <c r="K706" s="10" t="s">
        <v>1478</v>
      </c>
      <c r="L706" s="2"/>
      <c r="M706" s="2"/>
      <c r="N706" s="2"/>
    </row>
    <row r="707" customFormat="false" ht="14.25" hidden="false" customHeight="false" outlineLevel="0" collapsed="false">
      <c r="A707" s="4" t="s">
        <v>721</v>
      </c>
      <c r="B707" s="4" t="s">
        <v>853</v>
      </c>
      <c r="C707" s="4" t="s">
        <v>669</v>
      </c>
      <c r="D707" s="8" t="b">
        <f aca="false">FALSE()</f>
        <v>0</v>
      </c>
      <c r="E707" s="5" t="n">
        <v>1615</v>
      </c>
      <c r="F707" s="7" t="n">
        <f aca="false">E707/SUMIFS($E$2:$E$783,$A$2:$A$783,A707)</f>
        <v>0.485276442307692</v>
      </c>
      <c r="G707" s="5" t="n">
        <v>0</v>
      </c>
      <c r="H707" s="17" t="n">
        <v>44928</v>
      </c>
      <c r="I707" s="17" t="n">
        <v>45055</v>
      </c>
      <c r="J707" s="4" t="s">
        <v>859</v>
      </c>
      <c r="K707" s="4" t="s">
        <v>1479</v>
      </c>
      <c r="L707" s="2"/>
      <c r="M707" s="2"/>
      <c r="N707" s="2"/>
    </row>
    <row r="708" customFormat="false" ht="14.25" hidden="false" customHeight="false" outlineLevel="0" collapsed="false">
      <c r="A708" s="10" t="s">
        <v>725</v>
      </c>
      <c r="B708" s="10" t="s">
        <v>853</v>
      </c>
      <c r="C708" s="10" t="s">
        <v>708</v>
      </c>
      <c r="D708" s="14" t="b">
        <f aca="false">TRUE()</f>
        <v>1</v>
      </c>
      <c r="E708" s="11" t="n">
        <v>1601</v>
      </c>
      <c r="F708" s="13" t="n">
        <f aca="false">E708/SUMIFS($E$2:$E$783,$A$2:$A$783,A708)</f>
        <v>0.533133533133533</v>
      </c>
      <c r="G708" s="11" t="n">
        <v>0</v>
      </c>
      <c r="H708" s="18" t="n">
        <v>45055</v>
      </c>
      <c r="I708" s="18" t="n">
        <v>45174</v>
      </c>
      <c r="J708" s="10" t="s">
        <v>854</v>
      </c>
      <c r="K708" s="10" t="s">
        <v>1480</v>
      </c>
      <c r="L708" s="2"/>
      <c r="M708" s="2"/>
      <c r="N708" s="2"/>
    </row>
    <row r="709" customFormat="false" ht="14.25" hidden="false" customHeight="false" outlineLevel="0" collapsed="false">
      <c r="A709" s="4" t="s">
        <v>725</v>
      </c>
      <c r="B709" s="4" t="s">
        <v>853</v>
      </c>
      <c r="C709" s="4" t="s">
        <v>669</v>
      </c>
      <c r="D709" s="8" t="b">
        <f aca="false">FALSE()</f>
        <v>0</v>
      </c>
      <c r="E709" s="5" t="n">
        <v>1402</v>
      </c>
      <c r="F709" s="7" t="n">
        <f aca="false">E709/SUMIFS($E$2:$E$783,$A$2:$A$783,A709)</f>
        <v>0.466866466866467</v>
      </c>
      <c r="G709" s="5" t="n">
        <v>0</v>
      </c>
      <c r="H709" s="17" t="n">
        <v>44928</v>
      </c>
      <c r="I709" s="17" t="n">
        <v>45055</v>
      </c>
      <c r="J709" s="4" t="s">
        <v>859</v>
      </c>
      <c r="K709" s="4" t="s">
        <v>969</v>
      </c>
      <c r="L709" s="2"/>
      <c r="M709" s="2"/>
      <c r="N709" s="2"/>
    </row>
    <row r="710" customFormat="false" ht="14.25" hidden="false" customHeight="false" outlineLevel="0" collapsed="false">
      <c r="A710" s="10" t="s">
        <v>727</v>
      </c>
      <c r="B710" s="10" t="s">
        <v>853</v>
      </c>
      <c r="C710" s="10" t="s">
        <v>708</v>
      </c>
      <c r="D710" s="14" t="b">
        <f aca="false">TRUE()</f>
        <v>1</v>
      </c>
      <c r="E710" s="11" t="n">
        <v>1598</v>
      </c>
      <c r="F710" s="13" t="n">
        <f aca="false">E710/SUMIFS($E$2:$E$783,$A$2:$A$783,A710)</f>
        <v>0.557960893854749</v>
      </c>
      <c r="G710" s="11" t="n">
        <v>0</v>
      </c>
      <c r="H710" s="18" t="n">
        <v>45012</v>
      </c>
      <c r="I710" s="18" t="n">
        <v>45174</v>
      </c>
      <c r="J710" s="10" t="s">
        <v>854</v>
      </c>
      <c r="K710" s="10" t="s">
        <v>1481</v>
      </c>
      <c r="L710" s="2"/>
      <c r="M710" s="2"/>
      <c r="N710" s="2"/>
    </row>
    <row r="711" customFormat="false" ht="14.25" hidden="false" customHeight="false" outlineLevel="0" collapsed="false">
      <c r="A711" s="4" t="s">
        <v>727</v>
      </c>
      <c r="B711" s="4" t="s">
        <v>853</v>
      </c>
      <c r="C711" s="4" t="s">
        <v>669</v>
      </c>
      <c r="D711" s="8" t="b">
        <f aca="false">FALSE()</f>
        <v>0</v>
      </c>
      <c r="E711" s="5" t="n">
        <v>1266</v>
      </c>
      <c r="F711" s="7" t="n">
        <f aca="false">E711/SUMIFS($E$2:$E$783,$A$2:$A$783,A711)</f>
        <v>0.442039106145251</v>
      </c>
      <c r="G711" s="5" t="n">
        <v>0</v>
      </c>
      <c r="H711" s="17" t="n">
        <v>44928</v>
      </c>
      <c r="I711" s="17" t="n">
        <v>45054</v>
      </c>
      <c r="J711" s="4" t="s">
        <v>859</v>
      </c>
      <c r="K711" s="4" t="s">
        <v>1482</v>
      </c>
      <c r="L711" s="2"/>
      <c r="M711" s="2"/>
      <c r="N711" s="2"/>
    </row>
    <row r="712" customFormat="false" ht="14.25" hidden="false" customHeight="false" outlineLevel="0" collapsed="false">
      <c r="A712" s="10" t="s">
        <v>729</v>
      </c>
      <c r="B712" s="10" t="s">
        <v>853</v>
      </c>
      <c r="C712" s="10" t="s">
        <v>708</v>
      </c>
      <c r="D712" s="14" t="b">
        <f aca="false">TRUE()</f>
        <v>1</v>
      </c>
      <c r="E712" s="11" t="n">
        <v>1453</v>
      </c>
      <c r="F712" s="13" t="n">
        <f aca="false">E712/SUMIFS($E$2:$E$783,$A$2:$A$783,A712)</f>
        <v>0.577274533174414</v>
      </c>
      <c r="G712" s="11" t="n">
        <v>0</v>
      </c>
      <c r="H712" s="18" t="n">
        <v>45048</v>
      </c>
      <c r="I712" s="18" t="n">
        <v>45170</v>
      </c>
      <c r="J712" s="10" t="s">
        <v>854</v>
      </c>
      <c r="K712" s="10" t="s">
        <v>1483</v>
      </c>
      <c r="L712" s="2"/>
      <c r="M712" s="2"/>
      <c r="N712" s="2"/>
    </row>
    <row r="713" customFormat="false" ht="14.25" hidden="false" customHeight="false" outlineLevel="0" collapsed="false">
      <c r="A713" s="4" t="s">
        <v>729</v>
      </c>
      <c r="B713" s="4" t="s">
        <v>853</v>
      </c>
      <c r="C713" s="4" t="s">
        <v>669</v>
      </c>
      <c r="D713" s="8" t="b">
        <f aca="false">FALSE()</f>
        <v>0</v>
      </c>
      <c r="E713" s="5" t="n">
        <v>1064</v>
      </c>
      <c r="F713" s="7" t="n">
        <f aca="false">E713/SUMIFS($E$2:$E$783,$A$2:$A$783,A713)</f>
        <v>0.422725466825586</v>
      </c>
      <c r="G713" s="5" t="n">
        <v>0</v>
      </c>
      <c r="H713" s="17" t="n">
        <v>44928</v>
      </c>
      <c r="I713" s="17" t="n">
        <v>45055</v>
      </c>
      <c r="J713" s="4" t="s">
        <v>859</v>
      </c>
      <c r="K713" s="4" t="s">
        <v>1484</v>
      </c>
      <c r="L713" s="2"/>
      <c r="M713" s="2"/>
      <c r="N713" s="2"/>
    </row>
    <row r="714" customFormat="false" ht="14.25" hidden="false" customHeight="false" outlineLevel="0" collapsed="false">
      <c r="A714" s="10" t="s">
        <v>733</v>
      </c>
      <c r="B714" s="10" t="s">
        <v>853</v>
      </c>
      <c r="C714" s="10" t="s">
        <v>708</v>
      </c>
      <c r="D714" s="14" t="b">
        <f aca="false">TRUE()</f>
        <v>1</v>
      </c>
      <c r="E714" s="11" t="n">
        <v>471</v>
      </c>
      <c r="F714" s="13" t="n">
        <f aca="false">E714/SUMIFS($E$2:$E$783,$A$2:$A$783,A714)</f>
        <v>0.585093167701863</v>
      </c>
      <c r="G714" s="11" t="n">
        <v>0</v>
      </c>
      <c r="H714" s="18" t="n">
        <v>44941</v>
      </c>
      <c r="I714" s="18" t="n">
        <v>45174</v>
      </c>
      <c r="J714" s="10" t="s">
        <v>854</v>
      </c>
      <c r="K714" s="10" t="s">
        <v>1485</v>
      </c>
      <c r="L714" s="2"/>
      <c r="M714" s="2"/>
      <c r="N714" s="2"/>
    </row>
    <row r="715" customFormat="false" ht="14.25" hidden="false" customHeight="false" outlineLevel="0" collapsed="false">
      <c r="A715" s="4" t="s">
        <v>733</v>
      </c>
      <c r="B715" s="4" t="s">
        <v>853</v>
      </c>
      <c r="C715" s="4" t="s">
        <v>669</v>
      </c>
      <c r="D715" s="8" t="b">
        <f aca="false">FALSE()</f>
        <v>0</v>
      </c>
      <c r="E715" s="5" t="n">
        <v>334</v>
      </c>
      <c r="F715" s="7" t="n">
        <f aca="false">E715/SUMIFS($E$2:$E$783,$A$2:$A$783,A715)</f>
        <v>0.414906832298137</v>
      </c>
      <c r="G715" s="5" t="n">
        <v>0</v>
      </c>
      <c r="H715" s="17" t="n">
        <v>44928</v>
      </c>
      <c r="I715" s="17" t="n">
        <v>45054</v>
      </c>
      <c r="J715" s="4" t="s">
        <v>859</v>
      </c>
      <c r="K715" s="4" t="s">
        <v>1486</v>
      </c>
      <c r="L715" s="2"/>
      <c r="M715" s="2"/>
      <c r="N715" s="2"/>
    </row>
    <row r="716" customFormat="false" ht="14.25" hidden="false" customHeight="false" outlineLevel="0" collapsed="false">
      <c r="A716" s="10" t="s">
        <v>734</v>
      </c>
      <c r="B716" s="10" t="s">
        <v>853</v>
      </c>
      <c r="C716" s="10" t="s">
        <v>708</v>
      </c>
      <c r="D716" s="14" t="b">
        <f aca="false">TRUE()</f>
        <v>1</v>
      </c>
      <c r="E716" s="11" t="n">
        <v>407</v>
      </c>
      <c r="F716" s="13" t="n">
        <f aca="false">E716/SUMIFS($E$2:$E$783,$A$2:$A$783,A716)</f>
        <v>0.634945397815913</v>
      </c>
      <c r="G716" s="11" t="n">
        <v>0</v>
      </c>
      <c r="H716" s="18" t="n">
        <v>44931</v>
      </c>
      <c r="I716" s="18" t="n">
        <v>45174</v>
      </c>
      <c r="J716" s="10" t="s">
        <v>854</v>
      </c>
      <c r="K716" s="10" t="s">
        <v>1487</v>
      </c>
      <c r="L716" s="2"/>
      <c r="M716" s="2"/>
      <c r="N716" s="2"/>
    </row>
    <row r="717" customFormat="false" ht="14.25" hidden="false" customHeight="false" outlineLevel="0" collapsed="false">
      <c r="A717" s="4" t="s">
        <v>734</v>
      </c>
      <c r="B717" s="4" t="s">
        <v>853</v>
      </c>
      <c r="C717" s="4" t="s">
        <v>669</v>
      </c>
      <c r="D717" s="8" t="b">
        <f aca="false">FALSE()</f>
        <v>0</v>
      </c>
      <c r="E717" s="5" t="n">
        <v>234</v>
      </c>
      <c r="F717" s="7" t="n">
        <f aca="false">E717/SUMIFS($E$2:$E$783,$A$2:$A$783,A717)</f>
        <v>0.365054602184087</v>
      </c>
      <c r="G717" s="5" t="n">
        <v>0</v>
      </c>
      <c r="H717" s="17" t="n">
        <v>44928</v>
      </c>
      <c r="I717" s="17" t="n">
        <v>45055</v>
      </c>
      <c r="J717" s="4" t="s">
        <v>859</v>
      </c>
      <c r="K717" s="4" t="s">
        <v>944</v>
      </c>
      <c r="L717" s="2"/>
      <c r="M717" s="2"/>
      <c r="N717" s="2"/>
    </row>
    <row r="718" customFormat="false" ht="14.25" hidden="false" customHeight="false" outlineLevel="0" collapsed="false">
      <c r="A718" s="10" t="s">
        <v>737</v>
      </c>
      <c r="B718" s="10" t="s">
        <v>853</v>
      </c>
      <c r="C718" s="10" t="s">
        <v>708</v>
      </c>
      <c r="D718" s="14" t="b">
        <f aca="false">TRUE()</f>
        <v>1</v>
      </c>
      <c r="E718" s="11" t="n">
        <v>354</v>
      </c>
      <c r="F718" s="13" t="n">
        <f aca="false">E718/SUMIFS($E$2:$E$783,$A$2:$A$783,A718)</f>
        <v>0.598984771573604</v>
      </c>
      <c r="G718" s="11" t="n">
        <v>0</v>
      </c>
      <c r="H718" s="18" t="n">
        <v>45019</v>
      </c>
      <c r="I718" s="18" t="n">
        <v>45172</v>
      </c>
      <c r="J718" s="10" t="s">
        <v>854</v>
      </c>
      <c r="K718" s="10" t="s">
        <v>1488</v>
      </c>
      <c r="L718" s="2"/>
      <c r="M718" s="2"/>
      <c r="N718" s="2"/>
    </row>
    <row r="719" customFormat="false" ht="14.25" hidden="false" customHeight="false" outlineLevel="0" collapsed="false">
      <c r="A719" s="4" t="s">
        <v>737</v>
      </c>
      <c r="B719" s="4" t="s">
        <v>853</v>
      </c>
      <c r="C719" s="4" t="s">
        <v>669</v>
      </c>
      <c r="D719" s="8" t="b">
        <f aca="false">FALSE()</f>
        <v>0</v>
      </c>
      <c r="E719" s="5" t="n">
        <v>237</v>
      </c>
      <c r="F719" s="7" t="n">
        <f aca="false">E719/SUMIFS($E$2:$E$783,$A$2:$A$783,A719)</f>
        <v>0.401015228426396</v>
      </c>
      <c r="G719" s="5" t="n">
        <v>0</v>
      </c>
      <c r="H719" s="17" t="n">
        <v>44928</v>
      </c>
      <c r="I719" s="17" t="n">
        <v>45054</v>
      </c>
      <c r="J719" s="4" t="s">
        <v>859</v>
      </c>
      <c r="K719" s="4" t="s">
        <v>1489</v>
      </c>
      <c r="L719" s="2"/>
      <c r="M719" s="2"/>
      <c r="N719" s="2"/>
    </row>
    <row r="720" customFormat="false" ht="14.25" hidden="false" customHeight="false" outlineLevel="0" collapsed="false">
      <c r="A720" s="10" t="s">
        <v>740</v>
      </c>
      <c r="B720" s="10" t="s">
        <v>853</v>
      </c>
      <c r="C720" s="10" t="s">
        <v>708</v>
      </c>
      <c r="D720" s="14" t="b">
        <f aca="false">TRUE()</f>
        <v>1</v>
      </c>
      <c r="E720" s="11" t="n">
        <v>179</v>
      </c>
      <c r="F720" s="13" t="n">
        <f aca="false">E720/SUMIFS($E$2:$E$783,$A$2:$A$783,A720)</f>
        <v>0.529585798816568</v>
      </c>
      <c r="G720" s="11" t="n">
        <v>0</v>
      </c>
      <c r="H720" s="18" t="n">
        <v>45015</v>
      </c>
      <c r="I720" s="18" t="n">
        <v>45169</v>
      </c>
      <c r="J720" s="10" t="s">
        <v>854</v>
      </c>
      <c r="K720" s="10" t="s">
        <v>1490</v>
      </c>
      <c r="L720" s="2"/>
      <c r="M720" s="2"/>
      <c r="N720" s="2"/>
    </row>
    <row r="721" customFormat="false" ht="14.25" hidden="false" customHeight="false" outlineLevel="0" collapsed="false">
      <c r="A721" s="4" t="s">
        <v>740</v>
      </c>
      <c r="B721" s="4" t="s">
        <v>853</v>
      </c>
      <c r="C721" s="4" t="s">
        <v>669</v>
      </c>
      <c r="D721" s="8" t="b">
        <f aca="false">FALSE()</f>
        <v>0</v>
      </c>
      <c r="E721" s="5" t="n">
        <v>159</v>
      </c>
      <c r="F721" s="7" t="n">
        <f aca="false">E721/SUMIFS($E$2:$E$783,$A$2:$A$783,A721)</f>
        <v>0.470414201183432</v>
      </c>
      <c r="G721" s="5" t="n">
        <v>0</v>
      </c>
      <c r="H721" s="17" t="n">
        <v>44928</v>
      </c>
      <c r="I721" s="17" t="n">
        <v>45055</v>
      </c>
      <c r="J721" s="4" t="s">
        <v>859</v>
      </c>
      <c r="K721" s="4" t="s">
        <v>1491</v>
      </c>
      <c r="L721" s="2"/>
      <c r="M721" s="2"/>
      <c r="N721" s="2"/>
    </row>
    <row r="722" customFormat="false" ht="14.25" hidden="false" customHeight="false" outlineLevel="0" collapsed="false">
      <c r="A722" s="10" t="s">
        <v>746</v>
      </c>
      <c r="B722" s="10" t="s">
        <v>853</v>
      </c>
      <c r="C722" s="10" t="s">
        <v>708</v>
      </c>
      <c r="D722" s="14" t="b">
        <f aca="false">TRUE()</f>
        <v>1</v>
      </c>
      <c r="E722" s="11" t="n">
        <v>88</v>
      </c>
      <c r="F722" s="13" t="n">
        <f aca="false">E722/SUMIFS($E$2:$E$783,$A$2:$A$783,A722)</f>
        <v>0.698412698412698</v>
      </c>
      <c r="G722" s="11" t="n">
        <v>0</v>
      </c>
      <c r="H722" s="18" t="n">
        <v>44974</v>
      </c>
      <c r="I722" s="18" t="n">
        <v>45172</v>
      </c>
      <c r="J722" s="10" t="s">
        <v>854</v>
      </c>
      <c r="K722" s="10" t="s">
        <v>1492</v>
      </c>
      <c r="L722" s="2"/>
      <c r="M722" s="2"/>
      <c r="N722" s="2"/>
    </row>
    <row r="723" customFormat="false" ht="14.25" hidden="false" customHeight="false" outlineLevel="0" collapsed="false">
      <c r="A723" s="4" t="s">
        <v>746</v>
      </c>
      <c r="B723" s="4" t="s">
        <v>853</v>
      </c>
      <c r="C723" s="4" t="s">
        <v>669</v>
      </c>
      <c r="D723" s="8" t="b">
        <f aca="false">FALSE()</f>
        <v>0</v>
      </c>
      <c r="E723" s="5" t="n">
        <v>38</v>
      </c>
      <c r="F723" s="7" t="n">
        <f aca="false">E723/SUMIFS($E$2:$E$783,$A$2:$A$783,A723)</f>
        <v>0.301587301587302</v>
      </c>
      <c r="G723" s="5" t="n">
        <v>0</v>
      </c>
      <c r="H723" s="17" t="n">
        <v>44934</v>
      </c>
      <c r="I723" s="17" t="n">
        <v>45054</v>
      </c>
      <c r="J723" s="4" t="s">
        <v>859</v>
      </c>
      <c r="K723" s="4" t="s">
        <v>1493</v>
      </c>
      <c r="L723" s="2"/>
      <c r="M723" s="2"/>
      <c r="N723" s="2"/>
    </row>
    <row r="724" customFormat="false" ht="14.25" hidden="false" customHeight="false" outlineLevel="0" collapsed="false">
      <c r="A724" s="10" t="s">
        <v>748</v>
      </c>
      <c r="B724" s="10" t="s">
        <v>853</v>
      </c>
      <c r="C724" s="10" t="s">
        <v>708</v>
      </c>
      <c r="D724" s="14" t="b">
        <f aca="false">TRUE()</f>
        <v>1</v>
      </c>
      <c r="E724" s="11" t="n">
        <v>30</v>
      </c>
      <c r="F724" s="13" t="n">
        <f aca="false">E724/SUMIFS($E$2:$E$783,$A$2:$A$783,A724)</f>
        <v>0.508474576271186</v>
      </c>
      <c r="G724" s="11" t="n">
        <v>0</v>
      </c>
      <c r="H724" s="18" t="n">
        <v>45002</v>
      </c>
      <c r="I724" s="18" t="n">
        <v>45169</v>
      </c>
      <c r="J724" s="10" t="s">
        <v>854</v>
      </c>
      <c r="K724" s="10" t="s">
        <v>1494</v>
      </c>
      <c r="L724" s="2"/>
      <c r="M724" s="2"/>
      <c r="N724" s="2"/>
    </row>
    <row r="725" customFormat="false" ht="14.25" hidden="false" customHeight="false" outlineLevel="0" collapsed="false">
      <c r="A725" s="4" t="s">
        <v>748</v>
      </c>
      <c r="B725" s="4" t="s">
        <v>853</v>
      </c>
      <c r="C725" s="4" t="s">
        <v>669</v>
      </c>
      <c r="D725" s="8" t="b">
        <f aca="false">FALSE()</f>
        <v>0</v>
      </c>
      <c r="E725" s="5" t="n">
        <v>29</v>
      </c>
      <c r="F725" s="7" t="n">
        <f aca="false">E725/SUMIFS($E$2:$E$783,$A$2:$A$783,A725)</f>
        <v>0.491525423728814</v>
      </c>
      <c r="G725" s="5" t="n">
        <v>0</v>
      </c>
      <c r="H725" s="17" t="n">
        <v>44937</v>
      </c>
      <c r="I725" s="17" t="n">
        <v>45054</v>
      </c>
      <c r="J725" s="4" t="s">
        <v>859</v>
      </c>
      <c r="K725" s="4" t="s">
        <v>1495</v>
      </c>
      <c r="L725" s="2"/>
      <c r="M725" s="2"/>
      <c r="N725" s="2"/>
    </row>
    <row r="726" customFormat="false" ht="14.25" hidden="false" customHeight="false" outlineLevel="0" collapsed="false">
      <c r="A726" s="10" t="s">
        <v>773</v>
      </c>
      <c r="B726" s="10" t="s">
        <v>853</v>
      </c>
      <c r="C726" s="10" t="s">
        <v>774</v>
      </c>
      <c r="D726" s="14" t="b">
        <f aca="false">TRUE()</f>
        <v>1</v>
      </c>
      <c r="E726" s="11" t="n">
        <v>647</v>
      </c>
      <c r="F726" s="13" t="n">
        <f aca="false">E726/SUMIFS($E$2:$E$783,$A$2:$A$783,A726)</f>
        <v>0.862666666666667</v>
      </c>
      <c r="G726" s="11" t="n">
        <v>35</v>
      </c>
      <c r="H726" s="18" t="n">
        <v>45036</v>
      </c>
      <c r="I726" s="18" t="n">
        <v>46112</v>
      </c>
      <c r="J726" s="10" t="s">
        <v>854</v>
      </c>
      <c r="K726" s="10" t="s">
        <v>1496</v>
      </c>
      <c r="L726" s="2"/>
      <c r="M726" s="2"/>
      <c r="N726" s="2"/>
    </row>
    <row r="727" customFormat="false" ht="14.25" hidden="false" customHeight="false" outlineLevel="0" collapsed="false">
      <c r="A727" s="4" t="s">
        <v>773</v>
      </c>
      <c r="B727" s="4" t="s">
        <v>853</v>
      </c>
      <c r="C727" s="4" t="s">
        <v>312</v>
      </c>
      <c r="D727" s="8" t="b">
        <f aca="false">FALSE()</f>
        <v>0</v>
      </c>
      <c r="E727" s="5" t="n">
        <v>103</v>
      </c>
      <c r="F727" s="7" t="n">
        <f aca="false">E727/SUMIFS($E$2:$E$783,$A$2:$A$783,A727)</f>
        <v>0.137333333333333</v>
      </c>
      <c r="G727" s="5" t="n">
        <v>0</v>
      </c>
      <c r="H727" s="17" t="n">
        <v>44929</v>
      </c>
      <c r="I727" s="17" t="n">
        <v>45055</v>
      </c>
      <c r="J727" s="4" t="s">
        <v>859</v>
      </c>
      <c r="K727" s="4" t="s">
        <v>1159</v>
      </c>
      <c r="L727" s="2"/>
      <c r="M727" s="2"/>
      <c r="N727" s="2"/>
    </row>
    <row r="728" customFormat="false" ht="14.25" hidden="false" customHeight="false" outlineLevel="0" collapsed="false">
      <c r="A728" s="10" t="s">
        <v>775</v>
      </c>
      <c r="B728" s="10" t="s">
        <v>853</v>
      </c>
      <c r="C728" s="10" t="s">
        <v>774</v>
      </c>
      <c r="D728" s="14" t="b">
        <f aca="false">TRUE()</f>
        <v>1</v>
      </c>
      <c r="E728" s="11" t="n">
        <v>69</v>
      </c>
      <c r="F728" s="13" t="n">
        <f aca="false">E728/SUMIFS($E$2:$E$783,$A$2:$A$783,A728)</f>
        <v>0.896103896103896</v>
      </c>
      <c r="G728" s="11" t="n">
        <v>9</v>
      </c>
      <c r="H728" s="18" t="n">
        <v>45051</v>
      </c>
      <c r="I728" s="18" t="n">
        <v>46105</v>
      </c>
      <c r="J728" s="10" t="s">
        <v>854</v>
      </c>
      <c r="K728" s="10" t="s">
        <v>1497</v>
      </c>
      <c r="L728" s="2"/>
      <c r="M728" s="2"/>
      <c r="N728" s="2"/>
    </row>
    <row r="729" customFormat="false" ht="14.25" hidden="false" customHeight="false" outlineLevel="0" collapsed="false">
      <c r="A729" s="4" t="s">
        <v>775</v>
      </c>
      <c r="B729" s="4" t="s">
        <v>853</v>
      </c>
      <c r="C729" s="4" t="s">
        <v>312</v>
      </c>
      <c r="D729" s="8" t="b">
        <f aca="false">FALSE()</f>
        <v>0</v>
      </c>
      <c r="E729" s="5" t="n">
        <v>8</v>
      </c>
      <c r="F729" s="7" t="n">
        <f aca="false">E729/SUMIFS($E$2:$E$783,$A$2:$A$783,A729)</f>
        <v>0.103896103896104</v>
      </c>
      <c r="G729" s="5" t="n">
        <v>0</v>
      </c>
      <c r="H729" s="17" t="n">
        <v>44938</v>
      </c>
      <c r="I729" s="17" t="n">
        <v>45051</v>
      </c>
      <c r="J729" s="4" t="s">
        <v>859</v>
      </c>
      <c r="K729" s="4" t="s">
        <v>1498</v>
      </c>
      <c r="L729" s="2"/>
      <c r="M729" s="2"/>
      <c r="N729" s="2"/>
    </row>
    <row r="730" customFormat="false" ht="14.25" hidden="false" customHeight="false" outlineLevel="0" collapsed="false">
      <c r="A730" s="10" t="s">
        <v>777</v>
      </c>
      <c r="B730" s="10" t="s">
        <v>1499</v>
      </c>
      <c r="C730" s="10" t="s">
        <v>774</v>
      </c>
      <c r="D730" s="14" t="b">
        <f aca="false">TRUE()</f>
        <v>1</v>
      </c>
      <c r="E730" s="11" t="n">
        <v>42</v>
      </c>
      <c r="F730" s="13" t="n">
        <f aca="false">E730/SUMIFS($E$2:$E$783,$A$2:$A$783,A730)</f>
        <v>0.807692307692308</v>
      </c>
      <c r="G730" s="11" t="n">
        <v>2</v>
      </c>
      <c r="H730" s="18" t="n">
        <v>44942</v>
      </c>
      <c r="I730" s="18" t="n">
        <v>46093</v>
      </c>
      <c r="J730" s="10" t="s">
        <v>854</v>
      </c>
      <c r="K730" s="10" t="s">
        <v>1500</v>
      </c>
      <c r="L730" s="2"/>
      <c r="M730" s="2"/>
      <c r="N730" s="2"/>
    </row>
    <row r="731" customFormat="false" ht="14.25" hidden="false" customHeight="false" outlineLevel="0" collapsed="false">
      <c r="A731" s="4" t="s">
        <v>777</v>
      </c>
      <c r="B731" s="4" t="s">
        <v>1499</v>
      </c>
      <c r="C731" s="4" t="s">
        <v>797</v>
      </c>
      <c r="D731" s="8" t="b">
        <f aca="false">FALSE()</f>
        <v>0</v>
      </c>
      <c r="E731" s="5" t="n">
        <v>10</v>
      </c>
      <c r="F731" s="7" t="n">
        <f aca="false">E731/SUMIFS($E$2:$E$783,$A$2:$A$783,A731)</f>
        <v>0.192307692307692</v>
      </c>
      <c r="G731" s="5" t="n">
        <v>0</v>
      </c>
      <c r="H731" s="17" t="n">
        <v>45854</v>
      </c>
      <c r="I731" s="17" t="n">
        <v>46002</v>
      </c>
      <c r="J731" s="4" t="s">
        <v>870</v>
      </c>
      <c r="K731" s="4" t="s">
        <v>1501</v>
      </c>
      <c r="L731" s="2"/>
      <c r="M731" s="2"/>
      <c r="N731" s="2"/>
    </row>
    <row r="732" customFormat="false" ht="14.25" hidden="false" customHeight="false" outlineLevel="0" collapsed="false">
      <c r="A732" s="10" t="s">
        <v>778</v>
      </c>
      <c r="B732" s="10" t="s">
        <v>853</v>
      </c>
      <c r="C732" s="10" t="s">
        <v>774</v>
      </c>
      <c r="D732" s="14" t="b">
        <f aca="false">TRUE()</f>
        <v>1</v>
      </c>
      <c r="E732" s="11" t="n">
        <v>32</v>
      </c>
      <c r="F732" s="13" t="n">
        <f aca="false">E732/SUMIFS($E$2:$E$783,$A$2:$A$783,A732)</f>
        <v>0.695652173913044</v>
      </c>
      <c r="G732" s="11" t="n">
        <v>0</v>
      </c>
      <c r="H732" s="18" t="n">
        <v>44958</v>
      </c>
      <c r="I732" s="18" t="n">
        <v>45244</v>
      </c>
      <c r="J732" s="10" t="s">
        <v>854</v>
      </c>
      <c r="K732" s="10" t="s">
        <v>1502</v>
      </c>
      <c r="L732" s="2"/>
      <c r="M732" s="2"/>
      <c r="N732" s="2"/>
    </row>
    <row r="733" customFormat="false" ht="14.25" hidden="false" customHeight="false" outlineLevel="0" collapsed="false">
      <c r="A733" s="4" t="s">
        <v>778</v>
      </c>
      <c r="B733" s="4" t="s">
        <v>853</v>
      </c>
      <c r="C733" s="4" t="s">
        <v>312</v>
      </c>
      <c r="D733" s="8" t="b">
        <f aca="false">FALSE()</f>
        <v>0</v>
      </c>
      <c r="E733" s="5" t="n">
        <v>14</v>
      </c>
      <c r="F733" s="7" t="n">
        <f aca="false">E733/SUMIFS($E$2:$E$783,$A$2:$A$783,A733)</f>
        <v>0.304347826086957</v>
      </c>
      <c r="G733" s="5" t="n">
        <v>0</v>
      </c>
      <c r="H733" s="17" t="n">
        <v>44931</v>
      </c>
      <c r="I733" s="17" t="n">
        <v>45049</v>
      </c>
      <c r="J733" s="4" t="s">
        <v>859</v>
      </c>
      <c r="K733" s="4" t="s">
        <v>1503</v>
      </c>
      <c r="L733" s="2"/>
      <c r="M733" s="2"/>
      <c r="N733" s="2"/>
    </row>
    <row r="734" customFormat="false" ht="14.25" hidden="false" customHeight="false" outlineLevel="0" collapsed="false">
      <c r="A734" s="10" t="s">
        <v>779</v>
      </c>
      <c r="B734" s="10" t="s">
        <v>853</v>
      </c>
      <c r="C734" s="10" t="s">
        <v>774</v>
      </c>
      <c r="D734" s="14" t="b">
        <f aca="false">TRUE()</f>
        <v>1</v>
      </c>
      <c r="E734" s="11" t="n">
        <v>39</v>
      </c>
      <c r="F734" s="13" t="n">
        <f aca="false">E734/SUMIFS($E$2:$E$783,$A$2:$A$783,A734)</f>
        <v>0.951219512195122</v>
      </c>
      <c r="G734" s="11" t="n">
        <v>0</v>
      </c>
      <c r="H734" s="18" t="n">
        <v>44945</v>
      </c>
      <c r="I734" s="18" t="n">
        <v>45216</v>
      </c>
      <c r="J734" s="10" t="s">
        <v>854</v>
      </c>
      <c r="K734" s="10" t="s">
        <v>1504</v>
      </c>
      <c r="L734" s="2"/>
      <c r="M734" s="2"/>
      <c r="N734" s="2"/>
    </row>
    <row r="735" customFormat="false" ht="14.25" hidden="false" customHeight="false" outlineLevel="0" collapsed="false">
      <c r="A735" s="4" t="s">
        <v>779</v>
      </c>
      <c r="B735" s="4" t="s">
        <v>853</v>
      </c>
      <c r="C735" s="4" t="s">
        <v>312</v>
      </c>
      <c r="D735" s="8" t="b">
        <f aca="false">FALSE()</f>
        <v>0</v>
      </c>
      <c r="E735" s="5" t="n">
        <v>2</v>
      </c>
      <c r="F735" s="7" t="n">
        <f aca="false">E735/SUMIFS($E$2:$E$783,$A$2:$A$783,A735)</f>
        <v>0.0487804878048781</v>
      </c>
      <c r="G735" s="5" t="n">
        <v>0</v>
      </c>
      <c r="H735" s="17" t="n">
        <v>45007</v>
      </c>
      <c r="I735" s="17" t="n">
        <v>45043</v>
      </c>
      <c r="J735" s="4" t="s">
        <v>859</v>
      </c>
      <c r="K735" s="4" t="s">
        <v>1505</v>
      </c>
      <c r="L735" s="2"/>
      <c r="M735" s="2"/>
      <c r="N735" s="2"/>
    </row>
    <row r="736" customFormat="false" ht="14.25" hidden="false" customHeight="false" outlineLevel="0" collapsed="false">
      <c r="A736" s="10" t="s">
        <v>781</v>
      </c>
      <c r="B736" s="10" t="s">
        <v>853</v>
      </c>
      <c r="C736" s="10" t="s">
        <v>774</v>
      </c>
      <c r="D736" s="14" t="b">
        <f aca="false">TRUE()</f>
        <v>1</v>
      </c>
      <c r="E736" s="11" t="n">
        <v>16</v>
      </c>
      <c r="F736" s="13" t="n">
        <f aca="false">E736/SUMIFS($E$2:$E$783,$A$2:$A$783,A736)</f>
        <v>0.842105263157895</v>
      </c>
      <c r="G736" s="11" t="n">
        <v>2</v>
      </c>
      <c r="H736" s="18" t="n">
        <v>45055</v>
      </c>
      <c r="I736" s="18" t="n">
        <v>46073</v>
      </c>
      <c r="J736" s="10" t="s">
        <v>854</v>
      </c>
      <c r="K736" s="10" t="s">
        <v>1506</v>
      </c>
      <c r="L736" s="2"/>
      <c r="M736" s="2"/>
      <c r="N736" s="2"/>
    </row>
    <row r="737" customFormat="false" ht="14.25" hidden="false" customHeight="false" outlineLevel="0" collapsed="false">
      <c r="A737" s="4" t="s">
        <v>781</v>
      </c>
      <c r="B737" s="4" t="s">
        <v>853</v>
      </c>
      <c r="C737" s="4" t="s">
        <v>312</v>
      </c>
      <c r="D737" s="8" t="b">
        <f aca="false">FALSE()</f>
        <v>0</v>
      </c>
      <c r="E737" s="5" t="n">
        <v>3</v>
      </c>
      <c r="F737" s="7" t="n">
        <f aca="false">E737/SUMIFS($E$2:$E$783,$A$2:$A$783,A737)</f>
        <v>0.157894736842105</v>
      </c>
      <c r="G737" s="5" t="n">
        <v>0</v>
      </c>
      <c r="H737" s="17" t="n">
        <v>44931</v>
      </c>
      <c r="I737" s="17" t="n">
        <v>44971</v>
      </c>
      <c r="J737" s="4" t="s">
        <v>859</v>
      </c>
      <c r="K737" s="4" t="s">
        <v>1507</v>
      </c>
      <c r="L737" s="2"/>
      <c r="M737" s="2"/>
      <c r="N737" s="2"/>
    </row>
    <row r="738" customFormat="false" ht="14.25" hidden="false" customHeight="false" outlineLevel="0" collapsed="false">
      <c r="A738" s="10" t="s">
        <v>782</v>
      </c>
      <c r="B738" s="10" t="s">
        <v>853</v>
      </c>
      <c r="C738" s="10" t="s">
        <v>774</v>
      </c>
      <c r="D738" s="14" t="b">
        <f aca="false">TRUE()</f>
        <v>1</v>
      </c>
      <c r="E738" s="11" t="n">
        <v>5</v>
      </c>
      <c r="F738" s="13" t="n">
        <f aca="false">E738/SUMIFS($E$2:$E$783,$A$2:$A$783,A738)</f>
        <v>0.833333333333333</v>
      </c>
      <c r="G738" s="11" t="n">
        <v>0</v>
      </c>
      <c r="H738" s="18" t="n">
        <v>45265</v>
      </c>
      <c r="I738" s="18" t="n">
        <v>45659</v>
      </c>
      <c r="J738" s="10" t="s">
        <v>854</v>
      </c>
      <c r="K738" s="10" t="s">
        <v>1508</v>
      </c>
      <c r="L738" s="2"/>
      <c r="M738" s="2"/>
      <c r="N738" s="2"/>
    </row>
    <row r="739" customFormat="false" ht="14.25" hidden="false" customHeight="false" outlineLevel="0" collapsed="false">
      <c r="A739" s="4" t="s">
        <v>782</v>
      </c>
      <c r="B739" s="4" t="s">
        <v>853</v>
      </c>
      <c r="C739" s="4" t="s">
        <v>312</v>
      </c>
      <c r="D739" s="8" t="b">
        <f aca="false">FALSE()</f>
        <v>0</v>
      </c>
      <c r="E739" s="5" t="n">
        <v>1</v>
      </c>
      <c r="F739" s="7" t="n">
        <f aca="false">E739/SUMIFS($E$2:$E$783,$A$2:$A$783,A739)</f>
        <v>0.166666666666667</v>
      </c>
      <c r="G739" s="5" t="n">
        <v>0</v>
      </c>
      <c r="H739" s="17" t="n">
        <v>44928</v>
      </c>
      <c r="I739" s="17" t="n">
        <v>44928</v>
      </c>
      <c r="J739" s="4" t="s">
        <v>859</v>
      </c>
      <c r="K739" s="4" t="s">
        <v>1509</v>
      </c>
      <c r="L739" s="2"/>
      <c r="M739" s="2"/>
      <c r="N739" s="2"/>
    </row>
    <row r="740" customFormat="false" ht="14.25" hidden="false" customHeight="false" outlineLevel="0" collapsed="false">
      <c r="A740" s="10" t="s">
        <v>783</v>
      </c>
      <c r="B740" s="10" t="s">
        <v>853</v>
      </c>
      <c r="C740" s="10" t="s">
        <v>774</v>
      </c>
      <c r="D740" s="14" t="b">
        <f aca="false">TRUE()</f>
        <v>1</v>
      </c>
      <c r="E740" s="11" t="n">
        <v>3</v>
      </c>
      <c r="F740" s="13" t="n">
        <f aca="false">E740/SUMIFS($E$2:$E$783,$A$2:$A$783,A740)</f>
        <v>0.6</v>
      </c>
      <c r="G740" s="11" t="n">
        <v>0</v>
      </c>
      <c r="H740" s="18" t="n">
        <v>45117</v>
      </c>
      <c r="I740" s="18" t="n">
        <v>45176</v>
      </c>
      <c r="J740" s="10" t="s">
        <v>854</v>
      </c>
      <c r="K740" s="10" t="s">
        <v>1510</v>
      </c>
      <c r="L740" s="2"/>
      <c r="M740" s="2"/>
      <c r="N740" s="2"/>
    </row>
    <row r="741" customFormat="false" ht="14.25" hidden="false" customHeight="false" outlineLevel="0" collapsed="false">
      <c r="A741" s="4" t="s">
        <v>783</v>
      </c>
      <c r="B741" s="4" t="s">
        <v>853</v>
      </c>
      <c r="C741" s="4" t="s">
        <v>312</v>
      </c>
      <c r="D741" s="8" t="b">
        <f aca="false">FALSE()</f>
        <v>0</v>
      </c>
      <c r="E741" s="5" t="n">
        <v>2</v>
      </c>
      <c r="F741" s="7" t="n">
        <f aca="false">E741/SUMIFS($E$2:$E$783,$A$2:$A$783,A741)</f>
        <v>0.4</v>
      </c>
      <c r="G741" s="5" t="n">
        <v>0</v>
      </c>
      <c r="H741" s="17" t="n">
        <v>44941</v>
      </c>
      <c r="I741" s="17" t="n">
        <v>45037</v>
      </c>
      <c r="J741" s="4" t="s">
        <v>859</v>
      </c>
      <c r="K741" s="4" t="s">
        <v>1511</v>
      </c>
      <c r="L741" s="2"/>
      <c r="M741" s="2"/>
      <c r="N741" s="2"/>
    </row>
    <row r="742" customFormat="false" ht="14.25" hidden="false" customHeight="false" outlineLevel="0" collapsed="false">
      <c r="A742" s="10" t="s">
        <v>784</v>
      </c>
      <c r="B742" s="10" t="s">
        <v>853</v>
      </c>
      <c r="C742" s="10" t="s">
        <v>774</v>
      </c>
      <c r="D742" s="14" t="b">
        <f aca="false">TRUE()</f>
        <v>1</v>
      </c>
      <c r="E742" s="11" t="n">
        <v>4</v>
      </c>
      <c r="F742" s="13" t="n">
        <f aca="false">E742/SUMIFS($E$2:$E$783,$A$2:$A$783,A742)</f>
        <v>0.8</v>
      </c>
      <c r="G742" s="11" t="n">
        <v>0</v>
      </c>
      <c r="H742" s="18" t="n">
        <v>45086</v>
      </c>
      <c r="I742" s="18" t="n">
        <v>45222</v>
      </c>
      <c r="J742" s="10" t="s">
        <v>854</v>
      </c>
      <c r="K742" s="10" t="s">
        <v>1512</v>
      </c>
      <c r="L742" s="2"/>
      <c r="M742" s="2"/>
      <c r="N742" s="2"/>
    </row>
    <row r="743" customFormat="false" ht="14.25" hidden="false" customHeight="false" outlineLevel="0" collapsed="false">
      <c r="A743" s="4" t="s">
        <v>784</v>
      </c>
      <c r="B743" s="4" t="s">
        <v>853</v>
      </c>
      <c r="C743" s="4" t="s">
        <v>312</v>
      </c>
      <c r="D743" s="8" t="b">
        <f aca="false">FALSE()</f>
        <v>0</v>
      </c>
      <c r="E743" s="5" t="n">
        <v>1</v>
      </c>
      <c r="F743" s="7" t="n">
        <f aca="false">E743/SUMIFS($E$2:$E$783,$A$2:$A$783,A743)</f>
        <v>0.2</v>
      </c>
      <c r="G743" s="5" t="n">
        <v>0</v>
      </c>
      <c r="H743" s="17" t="n">
        <v>44972</v>
      </c>
      <c r="I743" s="17" t="n">
        <v>44972</v>
      </c>
      <c r="J743" s="4" t="s">
        <v>859</v>
      </c>
      <c r="K743" s="4" t="s">
        <v>1513</v>
      </c>
      <c r="L743" s="2"/>
      <c r="M743" s="2"/>
      <c r="N743" s="2"/>
    </row>
    <row r="744" customFormat="false" ht="14.25" hidden="false" customHeight="false" outlineLevel="0" collapsed="false">
      <c r="A744" s="10" t="s">
        <v>785</v>
      </c>
      <c r="B744" s="10" t="s">
        <v>853</v>
      </c>
      <c r="C744" s="10" t="s">
        <v>774</v>
      </c>
      <c r="D744" s="14" t="b">
        <f aca="false">TRUE()</f>
        <v>1</v>
      </c>
      <c r="E744" s="11" t="n">
        <v>1</v>
      </c>
      <c r="F744" s="13" t="n">
        <f aca="false">E744/SUMIFS($E$2:$E$783,$A$2:$A$783,A744)</f>
        <v>0.5</v>
      </c>
      <c r="G744" s="11" t="n">
        <v>0</v>
      </c>
      <c r="H744" s="18" t="n">
        <v>45103</v>
      </c>
      <c r="I744" s="18" t="n">
        <v>45103</v>
      </c>
      <c r="J744" s="10" t="s">
        <v>854</v>
      </c>
      <c r="K744" s="10" t="s">
        <v>1514</v>
      </c>
      <c r="L744" s="2"/>
      <c r="M744" s="2"/>
      <c r="N744" s="2"/>
    </row>
    <row r="745" customFormat="false" ht="14.25" hidden="false" customHeight="false" outlineLevel="0" collapsed="false">
      <c r="A745" s="4" t="s">
        <v>785</v>
      </c>
      <c r="B745" s="4" t="s">
        <v>853</v>
      </c>
      <c r="C745" s="4" t="s">
        <v>312</v>
      </c>
      <c r="D745" s="8" t="b">
        <f aca="false">FALSE()</f>
        <v>0</v>
      </c>
      <c r="E745" s="5" t="n">
        <v>1</v>
      </c>
      <c r="F745" s="7" t="n">
        <f aca="false">E745/SUMIFS($E$2:$E$783,$A$2:$A$783,A745)</f>
        <v>0.5</v>
      </c>
      <c r="G745" s="5" t="n">
        <v>0</v>
      </c>
      <c r="H745" s="17" t="n">
        <v>44987</v>
      </c>
      <c r="I745" s="17" t="n">
        <v>44987</v>
      </c>
      <c r="J745" s="4" t="s">
        <v>859</v>
      </c>
      <c r="K745" s="4" t="s">
        <v>1515</v>
      </c>
      <c r="L745" s="2"/>
      <c r="M745" s="2"/>
      <c r="N745" s="2"/>
    </row>
    <row r="746" customFormat="false" ht="14.25" hidden="false" customHeight="false" outlineLevel="0" collapsed="false">
      <c r="A746" s="10" t="s">
        <v>786</v>
      </c>
      <c r="B746" s="10" t="s">
        <v>853</v>
      </c>
      <c r="C746" s="10" t="s">
        <v>787</v>
      </c>
      <c r="D746" s="14" t="b">
        <f aca="false">TRUE()</f>
        <v>1</v>
      </c>
      <c r="E746" s="11" t="n">
        <v>22540</v>
      </c>
      <c r="F746" s="13" t="n">
        <f aca="false">E746/SUMIFS($E$2:$E$783,$A$2:$A$783,A746)</f>
        <v>0.866256725595696</v>
      </c>
      <c r="G746" s="11" t="n">
        <v>0</v>
      </c>
      <c r="H746" s="18" t="n">
        <v>44986</v>
      </c>
      <c r="I746" s="18" t="n">
        <v>45876</v>
      </c>
      <c r="J746" s="10" t="s">
        <v>854</v>
      </c>
      <c r="K746" s="10" t="s">
        <v>1516</v>
      </c>
      <c r="L746" s="2"/>
      <c r="M746" s="2"/>
      <c r="N746" s="2"/>
    </row>
    <row r="747" customFormat="false" ht="14.25" hidden="false" customHeight="false" outlineLevel="0" collapsed="false">
      <c r="A747" s="4" t="s">
        <v>786</v>
      </c>
      <c r="B747" s="4" t="s">
        <v>853</v>
      </c>
      <c r="C747" s="4" t="s">
        <v>1517</v>
      </c>
      <c r="D747" s="8" t="b">
        <f aca="false">FALSE()</f>
        <v>0</v>
      </c>
      <c r="E747" s="5" t="n">
        <v>3480</v>
      </c>
      <c r="F747" s="7" t="n">
        <f aca="false">E747/SUMIFS($E$2:$E$783,$A$2:$A$783,A747)</f>
        <v>0.133743274404304</v>
      </c>
      <c r="G747" s="5" t="n">
        <v>0</v>
      </c>
      <c r="H747" s="17" t="n">
        <v>44928</v>
      </c>
      <c r="I747" s="17" t="n">
        <v>45061</v>
      </c>
      <c r="J747" s="4" t="s">
        <v>859</v>
      </c>
      <c r="K747" s="4" t="s">
        <v>1518</v>
      </c>
      <c r="L747" s="2"/>
      <c r="M747" s="2"/>
      <c r="N747" s="2"/>
    </row>
    <row r="748" customFormat="false" ht="14.25" hidden="false" customHeight="false" outlineLevel="0" collapsed="false">
      <c r="A748" s="10" t="s">
        <v>788</v>
      </c>
      <c r="B748" s="10" t="s">
        <v>853</v>
      </c>
      <c r="C748" s="10" t="s">
        <v>787</v>
      </c>
      <c r="D748" s="14" t="b">
        <f aca="false">TRUE()</f>
        <v>1</v>
      </c>
      <c r="E748" s="11" t="n">
        <v>2144</v>
      </c>
      <c r="F748" s="13" t="n">
        <f aca="false">E748/SUMIFS($E$2:$E$783,$A$2:$A$783,A748)</f>
        <v>0.884123711340206</v>
      </c>
      <c r="G748" s="11" t="n">
        <v>0</v>
      </c>
      <c r="H748" s="18" t="n">
        <v>45051</v>
      </c>
      <c r="I748" s="18" t="n">
        <v>45834</v>
      </c>
      <c r="J748" s="10" t="s">
        <v>854</v>
      </c>
      <c r="K748" s="10" t="s">
        <v>1519</v>
      </c>
      <c r="L748" s="2"/>
      <c r="M748" s="2"/>
      <c r="N748" s="2"/>
    </row>
    <row r="749" customFormat="false" ht="14.25" hidden="false" customHeight="false" outlineLevel="0" collapsed="false">
      <c r="A749" s="4" t="s">
        <v>788</v>
      </c>
      <c r="B749" s="4" t="s">
        <v>853</v>
      </c>
      <c r="C749" s="4" t="s">
        <v>1517</v>
      </c>
      <c r="D749" s="8" t="b">
        <f aca="false">FALSE()</f>
        <v>0</v>
      </c>
      <c r="E749" s="5" t="n">
        <v>281</v>
      </c>
      <c r="F749" s="7" t="n">
        <f aca="false">E749/SUMIFS($E$2:$E$783,$A$2:$A$783,A749)</f>
        <v>0.115876288659794</v>
      </c>
      <c r="G749" s="5" t="n">
        <v>0</v>
      </c>
      <c r="H749" s="17" t="n">
        <v>44928</v>
      </c>
      <c r="I749" s="17" t="n">
        <v>45055</v>
      </c>
      <c r="J749" s="4" t="s">
        <v>859</v>
      </c>
      <c r="K749" s="4" t="s">
        <v>1520</v>
      </c>
      <c r="L749" s="2"/>
      <c r="M749" s="2"/>
      <c r="N749" s="2"/>
    </row>
    <row r="750" customFormat="false" ht="14.25" hidden="false" customHeight="false" outlineLevel="0" collapsed="false">
      <c r="A750" s="10" t="s">
        <v>789</v>
      </c>
      <c r="B750" s="10" t="s">
        <v>853</v>
      </c>
      <c r="C750" s="10" t="s">
        <v>787</v>
      </c>
      <c r="D750" s="14" t="b">
        <f aca="false">TRUE()</f>
        <v>1</v>
      </c>
      <c r="E750" s="11" t="n">
        <v>1630</v>
      </c>
      <c r="F750" s="13" t="n">
        <f aca="false">E750/SUMIFS($E$2:$E$783,$A$2:$A$783,A750)</f>
        <v>0.895604395604396</v>
      </c>
      <c r="G750" s="11" t="n">
        <v>90</v>
      </c>
      <c r="H750" s="18" t="n">
        <v>44929</v>
      </c>
      <c r="I750" s="18" t="n">
        <v>46114</v>
      </c>
      <c r="J750" s="10" t="s">
        <v>854</v>
      </c>
      <c r="K750" s="10" t="s">
        <v>1521</v>
      </c>
      <c r="L750" s="2"/>
      <c r="M750" s="2"/>
      <c r="N750" s="2"/>
    </row>
    <row r="751" customFormat="false" ht="14.25" hidden="false" customHeight="false" outlineLevel="0" collapsed="false">
      <c r="A751" s="4" t="s">
        <v>789</v>
      </c>
      <c r="B751" s="4" t="s">
        <v>853</v>
      </c>
      <c r="C751" s="4" t="s">
        <v>1517</v>
      </c>
      <c r="D751" s="8" t="b">
        <f aca="false">FALSE()</f>
        <v>0</v>
      </c>
      <c r="E751" s="5" t="n">
        <v>190</v>
      </c>
      <c r="F751" s="7" t="n">
        <f aca="false">E751/SUMIFS($E$2:$E$783,$A$2:$A$783,A751)</f>
        <v>0.104395604395604</v>
      </c>
      <c r="G751" s="5" t="n">
        <v>0</v>
      </c>
      <c r="H751" s="17" t="n">
        <v>44928</v>
      </c>
      <c r="I751" s="17" t="n">
        <v>45054</v>
      </c>
      <c r="J751" s="4" t="s">
        <v>859</v>
      </c>
      <c r="K751" s="4" t="s">
        <v>945</v>
      </c>
      <c r="L751" s="2"/>
      <c r="M751" s="2"/>
      <c r="N751" s="2"/>
    </row>
    <row r="752" customFormat="false" ht="14.25" hidden="false" customHeight="false" outlineLevel="0" collapsed="false">
      <c r="A752" s="10" t="s">
        <v>791</v>
      </c>
      <c r="B752" s="10" t="s">
        <v>853</v>
      </c>
      <c r="C752" s="10" t="s">
        <v>787</v>
      </c>
      <c r="D752" s="14" t="b">
        <f aca="false">TRUE()</f>
        <v>1</v>
      </c>
      <c r="E752" s="11" t="n">
        <v>67</v>
      </c>
      <c r="F752" s="13" t="n">
        <f aca="false">E752/SUMIFS($E$2:$E$783,$A$2:$A$783,A752)</f>
        <v>0.893333333333333</v>
      </c>
      <c r="G752" s="11" t="n">
        <v>5</v>
      </c>
      <c r="H752" s="18" t="n">
        <v>45048</v>
      </c>
      <c r="I752" s="18" t="n">
        <v>46105</v>
      </c>
      <c r="J752" s="10" t="s">
        <v>854</v>
      </c>
      <c r="K752" s="10" t="s">
        <v>1522</v>
      </c>
      <c r="L752" s="2"/>
      <c r="M752" s="2"/>
      <c r="N752" s="2"/>
    </row>
    <row r="753" customFormat="false" ht="14.25" hidden="false" customHeight="false" outlineLevel="0" collapsed="false">
      <c r="A753" s="4" t="s">
        <v>791</v>
      </c>
      <c r="B753" s="4" t="s">
        <v>853</v>
      </c>
      <c r="C753" s="4" t="s">
        <v>1517</v>
      </c>
      <c r="D753" s="8" t="b">
        <f aca="false">FALSE()</f>
        <v>0</v>
      </c>
      <c r="E753" s="5" t="n">
        <v>8</v>
      </c>
      <c r="F753" s="7" t="n">
        <f aca="false">E753/SUMIFS($E$2:$E$783,$A$2:$A$783,A753)</f>
        <v>0.106666666666667</v>
      </c>
      <c r="G753" s="5" t="n">
        <v>0</v>
      </c>
      <c r="H753" s="17" t="n">
        <v>44928</v>
      </c>
      <c r="I753" s="17" t="n">
        <v>45014</v>
      </c>
      <c r="J753" s="4" t="s">
        <v>859</v>
      </c>
      <c r="K753" s="4" t="s">
        <v>1523</v>
      </c>
      <c r="L753" s="2"/>
      <c r="M753" s="2"/>
      <c r="N753" s="2"/>
    </row>
    <row r="754" customFormat="false" ht="14.25" hidden="false" customHeight="false" outlineLevel="0" collapsed="false">
      <c r="A754" s="10" t="s">
        <v>792</v>
      </c>
      <c r="B754" s="10" t="s">
        <v>853</v>
      </c>
      <c r="C754" s="10" t="s">
        <v>787</v>
      </c>
      <c r="D754" s="14" t="b">
        <f aca="false">TRUE()</f>
        <v>1</v>
      </c>
      <c r="E754" s="11" t="n">
        <v>63</v>
      </c>
      <c r="F754" s="13" t="n">
        <f aca="false">E754/SUMIFS($E$2:$E$783,$A$2:$A$783,A754)</f>
        <v>0.984375</v>
      </c>
      <c r="G754" s="11" t="n">
        <v>0</v>
      </c>
      <c r="H754" s="18" t="n">
        <v>45016</v>
      </c>
      <c r="I754" s="18" t="n">
        <v>45874</v>
      </c>
      <c r="J754" s="10" t="s">
        <v>854</v>
      </c>
      <c r="K754" s="10" t="s">
        <v>1524</v>
      </c>
      <c r="L754" s="2"/>
      <c r="M754" s="2"/>
      <c r="N754" s="2"/>
    </row>
    <row r="755" customFormat="false" ht="14.25" hidden="false" customHeight="false" outlineLevel="0" collapsed="false">
      <c r="A755" s="4" t="s">
        <v>792</v>
      </c>
      <c r="B755" s="4" t="s">
        <v>853</v>
      </c>
      <c r="C755" s="4" t="s">
        <v>1517</v>
      </c>
      <c r="D755" s="8" t="b">
        <f aca="false">FALSE()</f>
        <v>0</v>
      </c>
      <c r="E755" s="5" t="n">
        <v>1</v>
      </c>
      <c r="F755" s="7" t="n">
        <f aca="false">E755/SUMIFS($E$2:$E$783,$A$2:$A$783,A755)</f>
        <v>0.015625</v>
      </c>
      <c r="G755" s="5" t="n">
        <v>0</v>
      </c>
      <c r="H755" s="17" t="n">
        <v>44984</v>
      </c>
      <c r="I755" s="17" t="n">
        <v>44984</v>
      </c>
      <c r="J755" s="4" t="s">
        <v>859</v>
      </c>
      <c r="K755" s="4" t="s">
        <v>1525</v>
      </c>
      <c r="L755" s="2"/>
      <c r="M755" s="2"/>
      <c r="N755" s="2"/>
    </row>
    <row r="756" customFormat="false" ht="14.25" hidden="false" customHeight="false" outlineLevel="0" collapsed="false">
      <c r="A756" s="10" t="s">
        <v>794</v>
      </c>
      <c r="B756" s="10" t="s">
        <v>853</v>
      </c>
      <c r="C756" s="10" t="s">
        <v>795</v>
      </c>
      <c r="D756" s="14" t="b">
        <f aca="false">TRUE()</f>
        <v>1</v>
      </c>
      <c r="E756" s="11" t="n">
        <v>4494</v>
      </c>
      <c r="F756" s="13" t="n">
        <f aca="false">E756/SUMIFS($E$2:$E$783,$A$2:$A$783,A756)</f>
        <v>0.97462589459987</v>
      </c>
      <c r="G756" s="11" t="n">
        <v>1083</v>
      </c>
      <c r="H756" s="18" t="n">
        <v>44928</v>
      </c>
      <c r="I756" s="18" t="n">
        <v>46296</v>
      </c>
      <c r="J756" s="10" t="s">
        <v>854</v>
      </c>
      <c r="K756" s="10" t="s">
        <v>936</v>
      </c>
      <c r="L756" s="2"/>
      <c r="M756" s="2"/>
      <c r="N756" s="2"/>
    </row>
    <row r="757" customFormat="false" ht="14.25" hidden="false" customHeight="false" outlineLevel="0" collapsed="false">
      <c r="A757" s="4" t="s">
        <v>794</v>
      </c>
      <c r="B757" s="4" t="s">
        <v>853</v>
      </c>
      <c r="C757" s="4" t="s">
        <v>1526</v>
      </c>
      <c r="D757" s="8" t="b">
        <f aca="false">FALSE()</f>
        <v>0</v>
      </c>
      <c r="E757" s="5" t="n">
        <v>117</v>
      </c>
      <c r="F757" s="7" t="n">
        <f aca="false">E757/SUMIFS($E$2:$E$783,$A$2:$A$783,A757)</f>
        <v>0.0253741054001301</v>
      </c>
      <c r="G757" s="5" t="n">
        <v>0</v>
      </c>
      <c r="H757" s="17" t="n">
        <v>44929</v>
      </c>
      <c r="I757" s="17" t="n">
        <v>45049</v>
      </c>
      <c r="J757" s="4" t="s">
        <v>856</v>
      </c>
      <c r="K757" s="4" t="s">
        <v>1527</v>
      </c>
      <c r="L757" s="2"/>
      <c r="M757" s="2"/>
      <c r="N757" s="2"/>
    </row>
    <row r="758" customFormat="false" ht="14.25" hidden="false" customHeight="false" outlineLevel="0" collapsed="false">
      <c r="A758" s="10" t="s">
        <v>800</v>
      </c>
      <c r="B758" s="10" t="s">
        <v>853</v>
      </c>
      <c r="C758" s="10" t="s">
        <v>797</v>
      </c>
      <c r="D758" s="14" t="b">
        <f aca="false">TRUE()</f>
        <v>1</v>
      </c>
      <c r="E758" s="11" t="n">
        <v>10</v>
      </c>
      <c r="F758" s="13" t="n">
        <f aca="false">E758/SUMIFS($E$2:$E$783,$A$2:$A$783,A758)</f>
        <v>0.909090909090909</v>
      </c>
      <c r="G758" s="11" t="n">
        <v>2</v>
      </c>
      <c r="H758" s="18" t="n">
        <v>45154</v>
      </c>
      <c r="I758" s="18" t="n">
        <v>46203</v>
      </c>
      <c r="J758" s="10" t="s">
        <v>854</v>
      </c>
      <c r="K758" s="10" t="s">
        <v>1528</v>
      </c>
      <c r="L758" s="2"/>
      <c r="M758" s="2"/>
      <c r="N758" s="2"/>
    </row>
    <row r="759" customFormat="false" ht="14.25" hidden="false" customHeight="false" outlineLevel="0" collapsed="false">
      <c r="A759" s="4" t="s">
        <v>800</v>
      </c>
      <c r="B759" s="4" t="s">
        <v>853</v>
      </c>
      <c r="C759" s="4" t="s">
        <v>1529</v>
      </c>
      <c r="D759" s="8" t="b">
        <f aca="false">FALSE()</f>
        <v>0</v>
      </c>
      <c r="E759" s="5" t="n">
        <v>1</v>
      </c>
      <c r="F759" s="7" t="n">
        <f aca="false">E759/SUMIFS($E$2:$E$783,$A$2:$A$783,A759)</f>
        <v>0.0909090909090909</v>
      </c>
      <c r="G759" s="5" t="n">
        <v>0</v>
      </c>
      <c r="H759" s="17" t="n">
        <v>44957</v>
      </c>
      <c r="I759" s="17" t="n">
        <v>44957</v>
      </c>
      <c r="J759" s="4" t="s">
        <v>856</v>
      </c>
      <c r="K759" s="4" t="s">
        <v>1530</v>
      </c>
      <c r="L759" s="2"/>
      <c r="M759" s="2"/>
      <c r="N759" s="2"/>
    </row>
    <row r="760" customFormat="false" ht="14.25" hidden="false" customHeight="false" outlineLevel="0" collapsed="false">
      <c r="A760" s="10" t="s">
        <v>806</v>
      </c>
      <c r="B760" s="10" t="s">
        <v>853</v>
      </c>
      <c r="C760" s="10" t="s">
        <v>807</v>
      </c>
      <c r="D760" s="14" t="b">
        <f aca="false">TRUE()</f>
        <v>1</v>
      </c>
      <c r="E760" s="11" t="n">
        <v>1</v>
      </c>
      <c r="F760" s="13" t="n">
        <f aca="false">E760/SUMIFS($E$2:$E$783,$A$2:$A$783,A760)</f>
        <v>0.5</v>
      </c>
      <c r="G760" s="11" t="n">
        <v>0</v>
      </c>
      <c r="H760" s="18" t="n">
        <v>44952</v>
      </c>
      <c r="I760" s="18" t="n">
        <v>44952</v>
      </c>
      <c r="J760" s="10" t="s">
        <v>854</v>
      </c>
      <c r="K760" s="10" t="s">
        <v>1531</v>
      </c>
      <c r="L760" s="2"/>
      <c r="M760" s="2"/>
      <c r="N760" s="2"/>
    </row>
    <row r="761" customFormat="false" ht="14.25" hidden="false" customHeight="false" outlineLevel="0" collapsed="false">
      <c r="A761" s="4" t="s">
        <v>806</v>
      </c>
      <c r="B761" s="4" t="s">
        <v>853</v>
      </c>
      <c r="C761" s="4" t="s">
        <v>119</v>
      </c>
      <c r="D761" s="8" t="b">
        <f aca="false">FALSE()</f>
        <v>0</v>
      </c>
      <c r="E761" s="5" t="n">
        <v>1</v>
      </c>
      <c r="F761" s="7" t="n">
        <f aca="false">E761/SUMIFS($E$2:$E$783,$A$2:$A$783,A761)</f>
        <v>0.5</v>
      </c>
      <c r="G761" s="5" t="n">
        <v>0</v>
      </c>
      <c r="H761" s="17" t="n">
        <v>44945</v>
      </c>
      <c r="I761" s="17" t="n">
        <v>44945</v>
      </c>
      <c r="J761" s="4" t="s">
        <v>859</v>
      </c>
      <c r="K761" s="4" t="s">
        <v>1532</v>
      </c>
      <c r="L761" s="2"/>
      <c r="M761" s="2"/>
      <c r="N761" s="2"/>
    </row>
    <row r="762" customFormat="false" ht="14.25" hidden="false" customHeight="false" outlineLevel="0" collapsed="false">
      <c r="A762" s="10" t="s">
        <v>810</v>
      </c>
      <c r="B762" s="10" t="s">
        <v>853</v>
      </c>
      <c r="C762" s="10" t="s">
        <v>811</v>
      </c>
      <c r="D762" s="14" t="b">
        <f aca="false">TRUE()</f>
        <v>1</v>
      </c>
      <c r="E762" s="11" t="n">
        <v>271</v>
      </c>
      <c r="F762" s="13" t="n">
        <f aca="false">E762/SUMIFS($E$2:$E$783,$A$2:$A$783,A762)</f>
        <v>0.654589371980676</v>
      </c>
      <c r="G762" s="11" t="n">
        <v>0</v>
      </c>
      <c r="H762" s="18" t="n">
        <v>44929</v>
      </c>
      <c r="I762" s="18" t="n">
        <v>45762</v>
      </c>
      <c r="J762" s="10" t="s">
        <v>854</v>
      </c>
      <c r="K762" s="10" t="s">
        <v>1533</v>
      </c>
      <c r="L762" s="2"/>
      <c r="M762" s="2"/>
      <c r="N762" s="2"/>
    </row>
    <row r="763" customFormat="false" ht="14.25" hidden="false" customHeight="false" outlineLevel="0" collapsed="false">
      <c r="A763" s="4" t="s">
        <v>810</v>
      </c>
      <c r="B763" s="4" t="s">
        <v>853</v>
      </c>
      <c r="C763" s="4" t="s">
        <v>1534</v>
      </c>
      <c r="D763" s="8" t="b">
        <f aca="false">FALSE()</f>
        <v>0</v>
      </c>
      <c r="E763" s="5" t="n">
        <v>143</v>
      </c>
      <c r="F763" s="7" t="n">
        <f aca="false">E763/SUMIFS($E$2:$E$783,$A$2:$A$783,A763)</f>
        <v>0.345410628019324</v>
      </c>
      <c r="G763" s="5" t="n">
        <v>85</v>
      </c>
      <c r="H763" s="17" t="n">
        <v>45730</v>
      </c>
      <c r="I763" s="17" t="n">
        <v>46286</v>
      </c>
      <c r="J763" s="4" t="s">
        <v>859</v>
      </c>
      <c r="K763" s="4" t="s">
        <v>1535</v>
      </c>
      <c r="L763" s="2"/>
      <c r="M763" s="2"/>
      <c r="N763" s="2"/>
    </row>
    <row r="764" customFormat="false" ht="14.25" hidden="false" customHeight="false" outlineLevel="0" collapsed="false">
      <c r="A764" s="10" t="s">
        <v>812</v>
      </c>
      <c r="B764" s="10" t="s">
        <v>853</v>
      </c>
      <c r="C764" s="10" t="s">
        <v>813</v>
      </c>
      <c r="D764" s="14" t="b">
        <f aca="false">TRUE()</f>
        <v>1</v>
      </c>
      <c r="E764" s="11" t="n">
        <v>317</v>
      </c>
      <c r="F764" s="13" t="n">
        <f aca="false">E764/SUMIFS($E$2:$E$783,$A$2:$A$783,A764)</f>
        <v>0.581651376146789</v>
      </c>
      <c r="G764" s="11" t="n">
        <v>0</v>
      </c>
      <c r="H764" s="18" t="n">
        <v>44929</v>
      </c>
      <c r="I764" s="18" t="n">
        <v>45055</v>
      </c>
      <c r="J764" s="10" t="s">
        <v>854</v>
      </c>
      <c r="K764" s="10" t="s">
        <v>1449</v>
      </c>
      <c r="L764" s="2"/>
      <c r="M764" s="2"/>
      <c r="N764" s="2"/>
    </row>
    <row r="765" customFormat="false" ht="14.25" hidden="false" customHeight="false" outlineLevel="0" collapsed="false">
      <c r="A765" s="4" t="s">
        <v>812</v>
      </c>
      <c r="B765" s="4" t="s">
        <v>853</v>
      </c>
      <c r="C765" s="4" t="s">
        <v>433</v>
      </c>
      <c r="D765" s="8" t="b">
        <f aca="false">FALSE()</f>
        <v>0</v>
      </c>
      <c r="E765" s="5" t="n">
        <v>228</v>
      </c>
      <c r="F765" s="7" t="n">
        <f aca="false">E765/SUMIFS($E$2:$E$783,$A$2:$A$783,A765)</f>
        <v>0.418348623853211</v>
      </c>
      <c r="G765" s="5" t="n">
        <v>0</v>
      </c>
      <c r="H765" s="17" t="n">
        <v>45034</v>
      </c>
      <c r="I765" s="17" t="n">
        <v>45126</v>
      </c>
      <c r="J765" s="4" t="s">
        <v>859</v>
      </c>
      <c r="K765" s="4" t="s">
        <v>1536</v>
      </c>
      <c r="L765" s="2"/>
      <c r="M765" s="2"/>
      <c r="N765" s="2"/>
    </row>
    <row r="766" customFormat="false" ht="14.25" hidden="false" customHeight="false" outlineLevel="0" collapsed="false">
      <c r="A766" s="10" t="s">
        <v>814</v>
      </c>
      <c r="B766" s="10" t="s">
        <v>853</v>
      </c>
      <c r="C766" s="10" t="s">
        <v>813</v>
      </c>
      <c r="D766" s="14" t="b">
        <f aca="false">TRUE()</f>
        <v>1</v>
      </c>
      <c r="E766" s="11" t="n">
        <v>60</v>
      </c>
      <c r="F766" s="13" t="n">
        <f aca="false">E766/SUMIFS($E$2:$E$783,$A$2:$A$783,A766)</f>
        <v>0.909090909090909</v>
      </c>
      <c r="G766" s="11" t="n">
        <v>0</v>
      </c>
      <c r="H766" s="18" t="n">
        <v>44930</v>
      </c>
      <c r="I766" s="18" t="n">
        <v>45046</v>
      </c>
      <c r="J766" s="10" t="s">
        <v>854</v>
      </c>
      <c r="K766" s="10" t="s">
        <v>1537</v>
      </c>
      <c r="L766" s="2"/>
      <c r="M766" s="2"/>
      <c r="N766" s="2"/>
    </row>
    <row r="767" customFormat="false" ht="14.25" hidden="false" customHeight="false" outlineLevel="0" collapsed="false">
      <c r="A767" s="4" t="s">
        <v>814</v>
      </c>
      <c r="B767" s="4" t="s">
        <v>853</v>
      </c>
      <c r="C767" s="4" t="s">
        <v>433</v>
      </c>
      <c r="D767" s="8" t="b">
        <f aca="false">FALSE()</f>
        <v>0</v>
      </c>
      <c r="E767" s="5" t="n">
        <v>6</v>
      </c>
      <c r="F767" s="7" t="n">
        <f aca="false">E767/SUMIFS($E$2:$E$783,$A$2:$A$783,A767)</f>
        <v>0.0909090909090909</v>
      </c>
      <c r="G767" s="5" t="n">
        <v>0</v>
      </c>
      <c r="H767" s="17" t="n">
        <v>45033</v>
      </c>
      <c r="I767" s="17" t="n">
        <v>45058</v>
      </c>
      <c r="J767" s="4" t="s">
        <v>859</v>
      </c>
      <c r="K767" s="4" t="s">
        <v>1538</v>
      </c>
      <c r="L767" s="2"/>
      <c r="M767" s="2"/>
      <c r="N767" s="2"/>
    </row>
    <row r="768" customFormat="false" ht="14.25" hidden="false" customHeight="false" outlineLevel="0" collapsed="false">
      <c r="A768" s="10" t="s">
        <v>815</v>
      </c>
      <c r="B768" s="10" t="s">
        <v>853</v>
      </c>
      <c r="C768" s="10" t="s">
        <v>816</v>
      </c>
      <c r="D768" s="14" t="b">
        <f aca="false">TRUE()</f>
        <v>1</v>
      </c>
      <c r="E768" s="11" t="n">
        <v>138</v>
      </c>
      <c r="F768" s="13" t="n">
        <f aca="false">E768/SUMIFS($E$2:$E$783,$A$2:$A$783,A768)</f>
        <v>0.501818181818182</v>
      </c>
      <c r="G768" s="11" t="n">
        <v>0</v>
      </c>
      <c r="H768" s="18" t="n">
        <v>44928</v>
      </c>
      <c r="I768" s="18" t="n">
        <v>45055</v>
      </c>
      <c r="J768" s="10" t="s">
        <v>854</v>
      </c>
      <c r="K768" s="10" t="s">
        <v>907</v>
      </c>
      <c r="L768" s="2"/>
      <c r="M768" s="2"/>
      <c r="N768" s="2"/>
    </row>
    <row r="769" customFormat="false" ht="14.25" hidden="false" customHeight="false" outlineLevel="0" collapsed="false">
      <c r="A769" s="4" t="s">
        <v>815</v>
      </c>
      <c r="B769" s="4" t="s">
        <v>853</v>
      </c>
      <c r="C769" s="4" t="s">
        <v>337</v>
      </c>
      <c r="D769" s="8" t="b">
        <f aca="false">FALSE()</f>
        <v>0</v>
      </c>
      <c r="E769" s="5" t="n">
        <v>137</v>
      </c>
      <c r="F769" s="7" t="n">
        <f aca="false">E769/SUMIFS($E$2:$E$783,$A$2:$A$783,A769)</f>
        <v>0.498181818181818</v>
      </c>
      <c r="G769" s="5" t="n">
        <v>0</v>
      </c>
      <c r="H769" s="17" t="n">
        <v>44995</v>
      </c>
      <c r="I769" s="17" t="n">
        <v>45224</v>
      </c>
      <c r="J769" s="4" t="s">
        <v>859</v>
      </c>
      <c r="K769" s="4" t="s">
        <v>1539</v>
      </c>
      <c r="L769" s="2"/>
      <c r="M769" s="2"/>
      <c r="N769" s="2"/>
    </row>
    <row r="770" customFormat="false" ht="14.25" hidden="false" customHeight="false" outlineLevel="0" collapsed="false">
      <c r="A770" s="10" t="s">
        <v>821</v>
      </c>
      <c r="B770" s="10" t="s">
        <v>853</v>
      </c>
      <c r="C770" s="10" t="s">
        <v>822</v>
      </c>
      <c r="D770" s="14" t="b">
        <f aca="false">TRUE()</f>
        <v>1</v>
      </c>
      <c r="E770" s="11" t="n">
        <v>98</v>
      </c>
      <c r="F770" s="13" t="n">
        <f aca="false">E770/SUMIFS($E$2:$E$783,$A$2:$A$783,A770)</f>
        <v>0.636363636363636</v>
      </c>
      <c r="G770" s="11" t="n">
        <v>0</v>
      </c>
      <c r="H770" s="18" t="n">
        <v>44928</v>
      </c>
      <c r="I770" s="18" t="n">
        <v>45054</v>
      </c>
      <c r="J770" s="10" t="s">
        <v>854</v>
      </c>
      <c r="K770" s="10" t="s">
        <v>1452</v>
      </c>
      <c r="L770" s="2"/>
      <c r="M770" s="2"/>
      <c r="N770" s="2"/>
    </row>
    <row r="771" customFormat="false" ht="14.25" hidden="false" customHeight="false" outlineLevel="0" collapsed="false">
      <c r="A771" s="4" t="s">
        <v>821</v>
      </c>
      <c r="B771" s="4" t="s">
        <v>853</v>
      </c>
      <c r="C771" s="4" t="s">
        <v>600</v>
      </c>
      <c r="D771" s="8" t="b">
        <f aca="false">FALSE()</f>
        <v>0</v>
      </c>
      <c r="E771" s="5" t="n">
        <v>56</v>
      </c>
      <c r="F771" s="7" t="n">
        <f aca="false">E771/SUMIFS($E$2:$E$783,$A$2:$A$783,A771)</f>
        <v>0.363636363636364</v>
      </c>
      <c r="G771" s="5" t="n">
        <v>0</v>
      </c>
      <c r="H771" s="17" t="n">
        <v>44931</v>
      </c>
      <c r="I771" s="17" t="n">
        <v>45093</v>
      </c>
      <c r="J771" s="4" t="s">
        <v>859</v>
      </c>
      <c r="K771" s="4" t="s">
        <v>1540</v>
      </c>
      <c r="L771" s="2"/>
      <c r="M771" s="2"/>
      <c r="N771" s="2"/>
    </row>
    <row r="772" customFormat="false" ht="14.25" hidden="false" customHeight="false" outlineLevel="0" collapsed="false">
      <c r="A772" s="10" t="s">
        <v>823</v>
      </c>
      <c r="B772" s="10" t="s">
        <v>853</v>
      </c>
      <c r="C772" s="10" t="s">
        <v>822</v>
      </c>
      <c r="D772" s="14" t="b">
        <f aca="false">TRUE()</f>
        <v>1</v>
      </c>
      <c r="E772" s="11" t="n">
        <v>53</v>
      </c>
      <c r="F772" s="13" t="n">
        <f aca="false">E772/SUMIFS($E$2:$E$783,$A$2:$A$783,A772)</f>
        <v>0.779411764705882</v>
      </c>
      <c r="G772" s="11" t="n">
        <v>0</v>
      </c>
      <c r="H772" s="18" t="n">
        <v>44929</v>
      </c>
      <c r="I772" s="18" t="n">
        <v>45054</v>
      </c>
      <c r="J772" s="10" t="s">
        <v>854</v>
      </c>
      <c r="K772" s="10" t="s">
        <v>1541</v>
      </c>
      <c r="L772" s="2"/>
      <c r="M772" s="2"/>
      <c r="N772" s="2"/>
    </row>
    <row r="773" customFormat="false" ht="14.25" hidden="false" customHeight="false" outlineLevel="0" collapsed="false">
      <c r="A773" s="4" t="s">
        <v>823</v>
      </c>
      <c r="B773" s="4" t="s">
        <v>853</v>
      </c>
      <c r="C773" s="4" t="s">
        <v>600</v>
      </c>
      <c r="D773" s="8" t="b">
        <f aca="false">FALSE()</f>
        <v>0</v>
      </c>
      <c r="E773" s="5" t="n">
        <v>15</v>
      </c>
      <c r="F773" s="7" t="n">
        <f aca="false">E773/SUMIFS($E$2:$E$783,$A$2:$A$783,A773)</f>
        <v>0.220588235294118</v>
      </c>
      <c r="G773" s="5" t="n">
        <v>0</v>
      </c>
      <c r="H773" s="17" t="n">
        <v>45062</v>
      </c>
      <c r="I773" s="17" t="n">
        <v>45091</v>
      </c>
      <c r="J773" s="4" t="s">
        <v>859</v>
      </c>
      <c r="K773" s="4" t="s">
        <v>1542</v>
      </c>
      <c r="L773" s="2"/>
      <c r="M773" s="2"/>
      <c r="N773" s="2"/>
    </row>
    <row r="774" customFormat="false" ht="14.25" hidden="false" customHeight="false" outlineLevel="0" collapsed="false">
      <c r="A774" s="10" t="s">
        <v>824</v>
      </c>
      <c r="B774" s="10" t="s">
        <v>853</v>
      </c>
      <c r="C774" s="10" t="s">
        <v>822</v>
      </c>
      <c r="D774" s="14" t="b">
        <f aca="false">TRUE()</f>
        <v>1</v>
      </c>
      <c r="E774" s="11" t="n">
        <v>29</v>
      </c>
      <c r="F774" s="13" t="n">
        <f aca="false">E774/SUMIFS($E$2:$E$783,$A$2:$A$783,A774)</f>
        <v>0.674418604651163</v>
      </c>
      <c r="G774" s="11" t="n">
        <v>0</v>
      </c>
      <c r="H774" s="18" t="n">
        <v>44931</v>
      </c>
      <c r="I774" s="18" t="n">
        <v>45054</v>
      </c>
      <c r="J774" s="10" t="s">
        <v>854</v>
      </c>
      <c r="K774" s="10" t="s">
        <v>1543</v>
      </c>
      <c r="L774" s="2"/>
      <c r="M774" s="2"/>
      <c r="N774" s="2"/>
    </row>
    <row r="775" customFormat="false" ht="14.25" hidden="false" customHeight="false" outlineLevel="0" collapsed="false">
      <c r="A775" s="4" t="s">
        <v>824</v>
      </c>
      <c r="B775" s="4" t="s">
        <v>853</v>
      </c>
      <c r="C775" s="4" t="s">
        <v>600</v>
      </c>
      <c r="D775" s="8" t="b">
        <f aca="false">FALSE()</f>
        <v>0</v>
      </c>
      <c r="E775" s="5" t="n">
        <v>14</v>
      </c>
      <c r="F775" s="7" t="n">
        <f aca="false">E775/SUMIFS($E$2:$E$783,$A$2:$A$783,A775)</f>
        <v>0.325581395348837</v>
      </c>
      <c r="G775" s="5" t="n">
        <v>0</v>
      </c>
      <c r="H775" s="17" t="n">
        <v>45055</v>
      </c>
      <c r="I775" s="17" t="n">
        <v>45089</v>
      </c>
      <c r="J775" s="4" t="s">
        <v>859</v>
      </c>
      <c r="K775" s="4" t="s">
        <v>1544</v>
      </c>
      <c r="L775" s="2"/>
      <c r="M775" s="2"/>
      <c r="N775" s="2"/>
    </row>
    <row r="776" customFormat="false" ht="14.25" hidden="false" customHeight="false" outlineLevel="0" collapsed="false">
      <c r="A776" s="10" t="s">
        <v>825</v>
      </c>
      <c r="B776" s="10" t="s">
        <v>1134</v>
      </c>
      <c r="C776" s="10" t="s">
        <v>822</v>
      </c>
      <c r="D776" s="14" t="b">
        <f aca="false">TRUE()</f>
        <v>1</v>
      </c>
      <c r="E776" s="11" t="n">
        <v>29</v>
      </c>
      <c r="F776" s="13" t="n">
        <f aca="false">E776/SUMIFS($E$2:$E$783,$A$2:$A$783,A776)</f>
        <v>0.966666666666667</v>
      </c>
      <c r="G776" s="11" t="n">
        <v>0</v>
      </c>
      <c r="H776" s="18" t="n">
        <v>44929</v>
      </c>
      <c r="I776" s="18" t="n">
        <v>45042</v>
      </c>
      <c r="J776" s="10" t="s">
        <v>854</v>
      </c>
      <c r="K776" s="10" t="s">
        <v>1545</v>
      </c>
      <c r="L776" s="2"/>
      <c r="M776" s="2"/>
      <c r="N776" s="2"/>
    </row>
    <row r="777" customFormat="false" ht="14.25" hidden="false" customHeight="false" outlineLevel="0" collapsed="false">
      <c r="A777" s="4" t="s">
        <v>825</v>
      </c>
      <c r="B777" s="4" t="s">
        <v>1134</v>
      </c>
      <c r="C777" s="4" t="s">
        <v>600</v>
      </c>
      <c r="D777" s="8" t="b">
        <f aca="false">FALSE()</f>
        <v>0</v>
      </c>
      <c r="E777" s="5" t="n">
        <v>1</v>
      </c>
      <c r="F777" s="7" t="n">
        <f aca="false">E777/SUMIFS($E$2:$E$783,$A$2:$A$783,A777)</f>
        <v>0.0333333333333333</v>
      </c>
      <c r="G777" s="5" t="n">
        <v>0</v>
      </c>
      <c r="H777" s="17" t="n">
        <v>44995</v>
      </c>
      <c r="I777" s="17" t="n">
        <v>44995</v>
      </c>
      <c r="J777" s="4" t="s">
        <v>867</v>
      </c>
      <c r="K777" s="4" t="s">
        <v>1546</v>
      </c>
      <c r="L777" s="2"/>
      <c r="M777" s="2"/>
      <c r="N777" s="2"/>
    </row>
    <row r="778" customFormat="false" ht="14.25" hidden="false" customHeight="false" outlineLevel="0" collapsed="false">
      <c r="A778" s="10" t="s">
        <v>826</v>
      </c>
      <c r="B778" s="10" t="s">
        <v>853</v>
      </c>
      <c r="C778" s="10" t="s">
        <v>822</v>
      </c>
      <c r="D778" s="14" t="b">
        <f aca="false">TRUE()</f>
        <v>1</v>
      </c>
      <c r="E778" s="11" t="n">
        <v>8</v>
      </c>
      <c r="F778" s="13" t="n">
        <f aca="false">E778/SUMIFS($E$2:$E$783,$A$2:$A$783,A778)</f>
        <v>0.615384615384615</v>
      </c>
      <c r="G778" s="11" t="n">
        <v>0</v>
      </c>
      <c r="H778" s="18" t="n">
        <v>44931</v>
      </c>
      <c r="I778" s="18" t="n">
        <v>45035</v>
      </c>
      <c r="J778" s="10" t="s">
        <v>854</v>
      </c>
      <c r="K778" s="10" t="s">
        <v>1547</v>
      </c>
      <c r="L778" s="2"/>
      <c r="M778" s="2"/>
      <c r="N778" s="2"/>
    </row>
    <row r="779" customFormat="false" ht="14.25" hidden="false" customHeight="false" outlineLevel="0" collapsed="false">
      <c r="A779" s="4" t="s">
        <v>826</v>
      </c>
      <c r="B779" s="4" t="s">
        <v>853</v>
      </c>
      <c r="C779" s="4" t="s">
        <v>686</v>
      </c>
      <c r="D779" s="8" t="b">
        <f aca="false">FALSE()</f>
        <v>0</v>
      </c>
      <c r="E779" s="5" t="n">
        <v>5</v>
      </c>
      <c r="F779" s="7" t="n">
        <f aca="false">E779/SUMIFS($E$2:$E$783,$A$2:$A$783,A779)</f>
        <v>0.384615384615385</v>
      </c>
      <c r="G779" s="5" t="n">
        <v>0</v>
      </c>
      <c r="H779" s="17" t="n">
        <v>45048</v>
      </c>
      <c r="I779" s="17" t="n">
        <v>45093</v>
      </c>
      <c r="J779" s="4" t="s">
        <v>859</v>
      </c>
      <c r="K779" s="4" t="s">
        <v>1548</v>
      </c>
      <c r="L779" s="2"/>
      <c r="M779" s="2"/>
      <c r="N779" s="2"/>
    </row>
    <row r="780" customFormat="false" ht="14.25" hidden="false" customHeight="false" outlineLevel="0" collapsed="false">
      <c r="A780" s="10" t="s">
        <v>827</v>
      </c>
      <c r="B780" s="10" t="s">
        <v>853</v>
      </c>
      <c r="C780" s="10" t="s">
        <v>822</v>
      </c>
      <c r="D780" s="14" t="b">
        <f aca="false">TRUE()</f>
        <v>1</v>
      </c>
      <c r="E780" s="11" t="n">
        <v>7</v>
      </c>
      <c r="F780" s="13" t="n">
        <f aca="false">E780/SUMIFS($E$2:$E$783,$A$2:$A$783,A780)</f>
        <v>0.7</v>
      </c>
      <c r="G780" s="11" t="n">
        <v>0</v>
      </c>
      <c r="H780" s="18" t="n">
        <v>44951</v>
      </c>
      <c r="I780" s="18" t="n">
        <v>45029</v>
      </c>
      <c r="J780" s="10" t="s">
        <v>854</v>
      </c>
      <c r="K780" s="10" t="s">
        <v>1549</v>
      </c>
      <c r="L780" s="2"/>
      <c r="M780" s="2"/>
      <c r="N780" s="2"/>
    </row>
    <row r="781" customFormat="false" ht="14.25" hidden="false" customHeight="false" outlineLevel="0" collapsed="false">
      <c r="A781" s="4" t="s">
        <v>827</v>
      </c>
      <c r="B781" s="4" t="s">
        <v>853</v>
      </c>
      <c r="C781" s="4" t="s">
        <v>686</v>
      </c>
      <c r="D781" s="8" t="b">
        <f aca="false">FALSE()</f>
        <v>0</v>
      </c>
      <c r="E781" s="5" t="n">
        <v>3</v>
      </c>
      <c r="F781" s="7" t="n">
        <f aca="false">E781/SUMIFS($E$2:$E$783,$A$2:$A$783,A781)</f>
        <v>0.3</v>
      </c>
      <c r="G781" s="5" t="n">
        <v>0</v>
      </c>
      <c r="H781" s="17" t="n">
        <v>45077</v>
      </c>
      <c r="I781" s="17" t="n">
        <v>45119</v>
      </c>
      <c r="J781" s="4" t="s">
        <v>859</v>
      </c>
      <c r="K781" s="4" t="s">
        <v>1550</v>
      </c>
      <c r="L781" s="2"/>
      <c r="M781" s="2"/>
      <c r="N781" s="2"/>
    </row>
    <row r="782" customFormat="false" ht="14.25" hidden="false" customHeight="false" outlineLevel="0" collapsed="false">
      <c r="A782" s="10" t="s">
        <v>828</v>
      </c>
      <c r="B782" s="10" t="s">
        <v>853</v>
      </c>
      <c r="C782" s="10" t="s">
        <v>829</v>
      </c>
      <c r="D782" s="14" t="b">
        <f aca="false">TRUE()</f>
        <v>1</v>
      </c>
      <c r="E782" s="11" t="n">
        <v>53</v>
      </c>
      <c r="F782" s="13" t="n">
        <f aca="false">E782/SUMIFS($E$2:$E$783,$A$2:$A$783,A782)</f>
        <v>0.519607843137255</v>
      </c>
      <c r="G782" s="11" t="n">
        <v>0</v>
      </c>
      <c r="H782" s="18" t="n">
        <v>44952</v>
      </c>
      <c r="I782" s="18" t="n">
        <v>45055</v>
      </c>
      <c r="J782" s="10" t="s">
        <v>854</v>
      </c>
      <c r="K782" s="10" t="s">
        <v>1551</v>
      </c>
      <c r="L782" s="2"/>
      <c r="M782" s="2"/>
      <c r="N782" s="2"/>
    </row>
    <row r="783" customFormat="false" ht="14.25" hidden="false" customHeight="false" outlineLevel="0" collapsed="false">
      <c r="A783" s="4" t="s">
        <v>828</v>
      </c>
      <c r="B783" s="4" t="s">
        <v>853</v>
      </c>
      <c r="C783" s="4" t="s">
        <v>600</v>
      </c>
      <c r="D783" s="8" t="b">
        <f aca="false">FALSE()</f>
        <v>0</v>
      </c>
      <c r="E783" s="5" t="n">
        <v>49</v>
      </c>
      <c r="F783" s="7" t="n">
        <f aca="false">E783/SUMIFS($E$2:$E$783,$A$2:$A$783,A783)</f>
        <v>0.480392156862745</v>
      </c>
      <c r="G783" s="5" t="n">
        <v>0</v>
      </c>
      <c r="H783" s="17" t="n">
        <v>45049</v>
      </c>
      <c r="I783" s="17" t="n">
        <v>45372</v>
      </c>
      <c r="J783" s="4" t="s">
        <v>856</v>
      </c>
      <c r="K783" s="4" t="s">
        <v>1552</v>
      </c>
      <c r="L783" s="2"/>
      <c r="M783" s="2"/>
      <c r="N783" s="2"/>
    </row>
  </sheetData>
  <autoFilter ref="A1:K783"/>
  <conditionalFormatting sqref="A2:K783">
    <cfRule type="expression" priority="2" aboveAverage="0" equalAverage="0" bottom="0" percent="0" rank="0" text="" dxfId="9">
      <formula>$B2="REAL SPLIT"</formula>
    </cfRule>
    <cfRule type="expression" priority="3" aboveAverage="0" equalAverage="0" bottom="0" percent="0" rank="0" text="" dxfId="10">
      <formula>$B2="Rename/merge + minor misrouting"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2026-10-03T07:34:13Z</dcterms:created>
  <dc:creator>openpyxl</dc:creator>
  <dc:description/>
  <dc:language>en-US</dc:language>
  <cp:lastModifiedBy>Thurein Aung</cp:lastModifiedBy>
  <dcterms:modified xsi:type="dcterms:W3CDTF">2026-10-03T07:58:54Z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